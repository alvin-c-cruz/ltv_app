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ecbaa47801ba437e/Documents/LTV/server/instance/excel_templates/"/>
    </mc:Choice>
  </mc:AlternateContent>
  <xr:revisionPtr revIDLastSave="4" documentId="13_ncr:1_{1DAAC3BA-9B20-4737-A34D-B577D0F98B40}" xr6:coauthVersionLast="47" xr6:coauthVersionMax="47" xr10:uidLastSave="{37F0B1C1-0926-4116-9237-7A63E882D30C}"/>
  <bookViews>
    <workbookView xWindow="-108" yWindow="-108" windowWidth="23256" windowHeight="12456" xr2:uid="{00000000-000D-0000-FFFF-FFFF00000000}"/>
  </bookViews>
  <sheets>
    <sheet name="notebook" sheetId="2" r:id="rId1"/>
    <sheet name="notebook (2)" sheetId="8" state="hidden" r:id="rId2"/>
    <sheet name="from internet" sheetId="3" r:id="rId3"/>
    <sheet name="Closing 4PM" sheetId="4" r:id="rId4"/>
    <sheet name="Transfer template" sheetId="6" r:id="rId5"/>
    <sheet name="spot template" sheetId="7" r:id="rId6"/>
  </sheets>
  <definedNames>
    <definedName name="a" localSheetId="5">#REF!</definedName>
    <definedName name="a" localSheetId="4">#REF!</definedName>
    <definedName name="a">#REF!</definedName>
    <definedName name="Average" localSheetId="5">#REF!</definedName>
    <definedName name="Average" localSheetId="4">#REF!</definedName>
    <definedName name="Average">#REF!</definedName>
    <definedName name="BLOCKED" localSheetId="4">#REF!</definedName>
    <definedName name="BLOCKED">#REF!</definedName>
    <definedName name="news" localSheetId="3">'Closing 4PM'!#REF!</definedName>
    <definedName name="_xlnm.Print_Area" localSheetId="3">'Closing 4PM'!$A$1:$H$26</definedName>
    <definedName name="_xlnm.Print_Area" localSheetId="0">notebook!$A$1:$Q$24</definedName>
    <definedName name="_xlnm.Print_Area" localSheetId="5">'spot template'!$A$1:$Q$8</definedName>
    <definedName name="_xlnm.Print_Area" localSheetId="4">'Transfer template'!$A$1:$Q$1220</definedName>
    <definedName name="_xlnm.Print_Titles" localSheetId="0">notebook!$1:$2</definedName>
    <definedName name="_xlnm.Print_Titles" localSheetId="1">'notebook (2)'!$1:$3</definedName>
    <definedName name="_xlnm.Print_Titles" localSheetId="5">'spot template'!$1:$2</definedName>
    <definedName name="_xlnm.Print_Titles" localSheetId="4">'Transfer template'!$1:$1</definedName>
    <definedName name="q" localSheetId="5">#REF!</definedName>
    <definedName name="q" localSheetId="4">#REF!</definedName>
    <definedName name="q">#REF!</definedName>
    <definedName name="s" localSheetId="4">#REF!</definedName>
    <definedName name="s">#REF!</definedName>
    <definedName name="UNBLOCKED" localSheetId="5">#REF!</definedName>
    <definedName name="UNBLOCKED" localSheetId="4">#REF!</definedName>
    <definedName name="UNBLOCKE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4" l="1"/>
  <c r="D20" i="4"/>
  <c r="E20" i="4"/>
  <c r="F20" i="4"/>
  <c r="G20" i="4"/>
  <c r="H20" i="4"/>
  <c r="D21" i="4"/>
  <c r="E21" i="4"/>
  <c r="F21" i="4"/>
  <c r="G21" i="4"/>
  <c r="H21" i="4"/>
  <c r="C4" i="6"/>
  <c r="R4" i="6"/>
  <c r="R7" i="6"/>
  <c r="G6" i="7"/>
  <c r="G7" i="7" s="1"/>
  <c r="C4" i="7"/>
  <c r="M11" i="6"/>
  <c r="E11" i="6"/>
  <c r="M10" i="6"/>
  <c r="C7" i="6"/>
  <c r="R6" i="6" s="1"/>
  <c r="C6" i="6"/>
  <c r="C5" i="6"/>
  <c r="H25" i="4"/>
  <c r="G25" i="4"/>
  <c r="F25" i="4"/>
  <c r="E25" i="4"/>
  <c r="D25" i="4"/>
  <c r="H24" i="4"/>
  <c r="G24" i="4"/>
  <c r="F24" i="4"/>
  <c r="E24" i="4"/>
  <c r="D24" i="4"/>
  <c r="H23" i="4"/>
  <c r="G23" i="4"/>
  <c r="F23" i="4"/>
  <c r="E23" i="4"/>
  <c r="D23" i="4"/>
  <c r="H22" i="4"/>
  <c r="G22" i="4"/>
  <c r="F22" i="4"/>
  <c r="E22" i="4"/>
  <c r="D22" i="4"/>
  <c r="H19" i="4"/>
  <c r="G19" i="4"/>
  <c r="F19" i="4"/>
  <c r="E19" i="4"/>
  <c r="D19" i="4"/>
  <c r="H18" i="4"/>
  <c r="G18" i="4"/>
  <c r="F18" i="4"/>
  <c r="E18" i="4"/>
  <c r="D18" i="4"/>
  <c r="H17" i="4"/>
  <c r="G17" i="4"/>
  <c r="F17" i="4"/>
  <c r="E17" i="4"/>
  <c r="D17" i="4"/>
  <c r="H16" i="4"/>
  <c r="G16" i="4"/>
  <c r="F16" i="4"/>
  <c r="E16" i="4"/>
  <c r="D16" i="4"/>
  <c r="H15" i="4"/>
  <c r="G15" i="4"/>
  <c r="F15" i="4"/>
  <c r="E15" i="4"/>
  <c r="D15" i="4"/>
  <c r="H14" i="4"/>
  <c r="G14" i="4"/>
  <c r="F14" i="4"/>
  <c r="E14" i="4"/>
  <c r="D14" i="4"/>
  <c r="H13" i="4"/>
  <c r="G13" i="4"/>
  <c r="F13" i="4"/>
  <c r="E13" i="4"/>
  <c r="D13" i="4"/>
  <c r="H12" i="4"/>
  <c r="G12" i="4"/>
  <c r="F12" i="4"/>
  <c r="E12" i="4"/>
  <c r="D12" i="4"/>
  <c r="H11" i="4"/>
  <c r="G11" i="4"/>
  <c r="F11" i="4"/>
  <c r="E11" i="4"/>
  <c r="D11" i="4"/>
  <c r="H10" i="4"/>
  <c r="G10" i="4"/>
  <c r="F10" i="4"/>
  <c r="E10" i="4"/>
  <c r="D10" i="4"/>
  <c r="H9" i="4"/>
  <c r="G9" i="4"/>
  <c r="F9" i="4"/>
  <c r="E9" i="4"/>
  <c r="D9" i="4"/>
  <c r="H8" i="4"/>
  <c r="G8" i="4"/>
  <c r="F8" i="4"/>
  <c r="E8" i="4"/>
  <c r="D8" i="4"/>
  <c r="H7" i="4"/>
  <c r="G7" i="4"/>
  <c r="F7" i="4"/>
  <c r="E7" i="4"/>
  <c r="D7" i="4"/>
  <c r="H6" i="4"/>
  <c r="G6" i="4"/>
  <c r="F6" i="4"/>
  <c r="E6" i="4"/>
  <c r="D6" i="4"/>
  <c r="H5" i="4"/>
  <c r="G5" i="4"/>
  <c r="F5" i="4"/>
  <c r="E5" i="4"/>
  <c r="D5" i="4"/>
  <c r="N22" i="2"/>
  <c r="K22" i="2"/>
  <c r="N21" i="2"/>
  <c r="K21" i="2"/>
  <c r="N20" i="2"/>
  <c r="K20" i="2"/>
  <c r="N19" i="2"/>
  <c r="K19" i="2"/>
  <c r="N18" i="2"/>
  <c r="K18" i="2"/>
  <c r="N17" i="2"/>
  <c r="K17" i="2"/>
  <c r="N16" i="2"/>
  <c r="K16" i="2"/>
  <c r="N15" i="2"/>
  <c r="K15" i="2"/>
  <c r="N14" i="2"/>
  <c r="K14" i="2"/>
  <c r="N13" i="2"/>
  <c r="K13" i="2"/>
  <c r="N12" i="2"/>
  <c r="K12" i="2"/>
  <c r="N11" i="2"/>
  <c r="K11" i="2"/>
  <c r="N10" i="2"/>
  <c r="K10" i="2"/>
  <c r="N9" i="2"/>
  <c r="K9" i="2"/>
  <c r="N8" i="2"/>
  <c r="K8" i="2"/>
  <c r="R5" i="6" l="1"/>
</calcChain>
</file>

<file path=xl/sharedStrings.xml><?xml version="1.0" encoding="utf-8"?>
<sst xmlns="http://schemas.openxmlformats.org/spreadsheetml/2006/main" count="121" uniqueCount="79">
  <si>
    <t>STOCK</t>
  </si>
  <si>
    <t>PRICE AS OF</t>
  </si>
  <si>
    <t>NAME</t>
  </si>
  <si>
    <t>CODE</t>
  </si>
  <si>
    <t>PRICE</t>
  </si>
  <si>
    <t>CHANGE</t>
  </si>
  <si>
    <t>HSBC</t>
  </si>
  <si>
    <t>0005.HK</t>
  </si>
  <si>
    <t>Geely Motor</t>
  </si>
  <si>
    <t>0175.HK</t>
  </si>
  <si>
    <t>HK Exchange</t>
  </si>
  <si>
    <t>0388.HK</t>
  </si>
  <si>
    <t>Tencent</t>
  </si>
  <si>
    <t>0700.HK</t>
  </si>
  <si>
    <t>Kuaishou Tech</t>
  </si>
  <si>
    <t>1024.HK</t>
  </si>
  <si>
    <t>Sinopharm</t>
  </si>
  <si>
    <t>1099.HK</t>
  </si>
  <si>
    <t>Agricultural Bank of China</t>
  </si>
  <si>
    <t>1288.HK</t>
  </si>
  <si>
    <t>Great Wall Motor</t>
  </si>
  <si>
    <t>2333.HK</t>
  </si>
  <si>
    <t>Bank of China Limited</t>
  </si>
  <si>
    <t>3988.HK</t>
  </si>
  <si>
    <t>China Molybdenum</t>
  </si>
  <si>
    <t>3993.HK</t>
  </si>
  <si>
    <t>CITIC Securities Company</t>
  </si>
  <si>
    <t>6030.HK</t>
  </si>
  <si>
    <t>Baidu Inc</t>
  </si>
  <si>
    <t>9888.HK</t>
  </si>
  <si>
    <t>Alibaba</t>
  </si>
  <si>
    <t>9988.HK</t>
  </si>
  <si>
    <t>Nomura</t>
  </si>
  <si>
    <t>8604.T</t>
  </si>
  <si>
    <t>RIO.AX</t>
  </si>
  <si>
    <t>Hang Seng Index</t>
  </si>
  <si>
    <t>^HSI</t>
  </si>
  <si>
    <t>+</t>
  </si>
  <si>
    <t>Average</t>
  </si>
  <si>
    <t>Deutsche Bank Personal</t>
  </si>
  <si>
    <t>-</t>
  </si>
  <si>
    <t>Symbol</t>
  </si>
  <si>
    <t>Company Name</t>
  </si>
  <si>
    <t>CHG</t>
  </si>
  <si>
    <t>% Chg</t>
  </si>
  <si>
    <t>Volume</t>
  </si>
  <si>
    <t>Prev Close</t>
  </si>
  <si>
    <t>0981.HK</t>
  </si>
  <si>
    <t>2196.HK</t>
  </si>
  <si>
    <t>China Molybdenum Co., Ltd.</t>
  </si>
  <si>
    <t>D05.SI</t>
  </si>
  <si>
    <t>DBS Group Holdings Ltd</t>
  </si>
  <si>
    <t>BAC</t>
  </si>
  <si>
    <t>HANG SENG INDEX</t>
  </si>
  <si>
    <t>^HSCE</t>
  </si>
  <si>
    <t>HANG SENG CHINA ENTERPRISES IND</t>
  </si>
  <si>
    <t>Name</t>
  </si>
  <si>
    <t>Chg &amp; % Chg</t>
  </si>
  <si>
    <t>Chg</t>
  </si>
  <si>
    <t>1:17 PM HKT</t>
  </si>
  <si>
    <t>BANK OF CHINA</t>
  </si>
  <si>
    <t>1:16 PM HKT</t>
  </si>
  <si>
    <t>HSBC HOLDINGS</t>
  </si>
  <si>
    <t>TENCENT</t>
  </si>
  <si>
    <t>Citic Securities</t>
  </si>
  <si>
    <t>GEELY AUTO</t>
  </si>
  <si>
    <t>GREATWALL MOTOR</t>
  </si>
  <si>
    <t>Semiconductor Mfg Int'l</t>
  </si>
  <si>
    <t>Shanghai Fosun Pharma</t>
  </si>
  <si>
    <t>Rio Tinto Limited</t>
  </si>
  <si>
    <t>3:13 PM AEST</t>
  </si>
  <si>
    <t>Bank of America</t>
  </si>
  <si>
    <t>Nomura Holdings</t>
  </si>
  <si>
    <t>Transfer of Stocks</t>
  </si>
  <si>
    <t>Morgan Stanley Titan no. 1</t>
  </si>
  <si>
    <t>shares</t>
  </si>
  <si>
    <t>Buy (Spot) Jiangxi Copper (0358)</t>
  </si>
  <si>
    <t>3690.HK</t>
  </si>
  <si>
    <t xml:space="preserve">Meituan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</si>
</sst>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3409]mmmm\ dd\,\ yyyy;@"/>
    <numFmt numFmtId="165" formatCode="_(* #,##0.00_);_(* \(#,##0.00\);_(* &quot;-&quot;??_);_(@_)"/>
    <numFmt numFmtId="166" formatCode="0\)"/>
    <numFmt numFmtId="167" formatCode="#,##0.0000"/>
    <numFmt numFmtId="168" formatCode="#,##0_ ;[Red]\(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sz val="13"/>
      <name val="AR JULIAN"/>
    </font>
    <font>
      <b/>
      <sz val="18"/>
      <name val="Calibri"/>
      <family val="2"/>
    </font>
    <font>
      <sz val="11"/>
      <name val="Calibri"/>
      <family val="2"/>
    </font>
    <font>
      <b/>
      <sz val="11"/>
      <color rgb="FF00B050"/>
      <name val="Calibri"/>
      <family val="2"/>
    </font>
    <font>
      <b/>
      <sz val="12"/>
      <name val="Calibri"/>
      <family val="2"/>
    </font>
    <font>
      <b/>
      <sz val="12.5"/>
      <name val="Calibri"/>
      <family val="2"/>
    </font>
    <font>
      <b/>
      <sz val="11"/>
      <name val="Calibri"/>
      <family val="2"/>
    </font>
    <font>
      <b/>
      <sz val="12.5"/>
      <color rgb="FF00B050"/>
      <name val="Calibri"/>
      <family val="2"/>
    </font>
    <font>
      <sz val="12.5"/>
      <name val="Calibri"/>
      <family val="2"/>
    </font>
    <font>
      <b/>
      <sz val="12.5"/>
      <name val="Calibri"/>
      <family val="2"/>
      <scheme val="minor"/>
    </font>
    <font>
      <b/>
      <sz val="12.5"/>
      <color rgb="FF00B050"/>
      <name val="Calibri"/>
      <family val="2"/>
      <scheme val="minor"/>
    </font>
    <font>
      <sz val="12.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AR JULI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auto="1"/>
      </top>
      <bottom style="thin">
        <color rgb="FFC0C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rgb="FFC0C0C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164" fontId="1" fillId="0" borderId="0"/>
    <xf numFmtId="164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" fillId="0" borderId="0" applyNumberFormat="0" applyFill="0" applyBorder="0" applyAlignment="0" applyProtection="0">
      <alignment vertical="top"/>
      <protection locked="0"/>
    </xf>
    <xf numFmtId="164" fontId="1" fillId="0" borderId="0"/>
    <xf numFmtId="164" fontId="1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10" xfId="0" applyBorder="1"/>
    <xf numFmtId="166" fontId="5" fillId="0" borderId="10" xfId="0" applyNumberFormat="1" applyFont="1" applyBorder="1" applyAlignment="1">
      <alignment horizontal="right"/>
    </xf>
    <xf numFmtId="0" fontId="5" fillId="0" borderId="10" xfId="0" applyFont="1" applyBorder="1"/>
    <xf numFmtId="0" fontId="6" fillId="0" borderId="10" xfId="0" applyFont="1" applyBorder="1" applyAlignment="1">
      <alignment horizontal="right"/>
    </xf>
    <xf numFmtId="0" fontId="1" fillId="0" borderId="0" xfId="1" applyNumberFormat="1" applyAlignment="1">
      <alignment horizontal="center"/>
    </xf>
    <xf numFmtId="0" fontId="1" fillId="0" borderId="0" xfId="1" applyNumberFormat="1"/>
    <xf numFmtId="0" fontId="0" fillId="0" borderId="0" xfId="4" applyNumberFormat="1" applyFont="1" applyAlignment="1">
      <alignment horizontal="center"/>
    </xf>
    <xf numFmtId="0" fontId="0" fillId="0" borderId="0" xfId="4" applyNumberFormat="1" applyFont="1"/>
    <xf numFmtId="10" fontId="1" fillId="0" borderId="0" xfId="1" applyNumberFormat="1"/>
    <xf numFmtId="3" fontId="1" fillId="0" borderId="0" xfId="1" applyNumberFormat="1"/>
    <xf numFmtId="4" fontId="1" fillId="0" borderId="0" xfId="1" applyNumberFormat="1"/>
    <xf numFmtId="4" fontId="0" fillId="0" borderId="0" xfId="4" applyNumberFormat="1" applyFont="1" applyAlignment="1">
      <alignment horizontal="center"/>
    </xf>
    <xf numFmtId="164" fontId="7" fillId="2" borderId="0" xfId="1" applyFont="1" applyFill="1"/>
    <xf numFmtId="164" fontId="8" fillId="2" borderId="0" xfId="1" applyFont="1" applyFill="1"/>
    <xf numFmtId="2" fontId="8" fillId="2" borderId="0" xfId="1" applyNumberFormat="1" applyFont="1" applyFill="1"/>
    <xf numFmtId="2" fontId="9" fillId="2" borderId="0" xfId="1" applyNumberFormat="1" applyFont="1" applyFill="1"/>
    <xf numFmtId="164" fontId="9" fillId="2" borderId="0" xfId="1" applyFont="1" applyFill="1"/>
    <xf numFmtId="3" fontId="8" fillId="2" borderId="0" xfId="1" applyNumberFormat="1" applyFont="1" applyFill="1" applyAlignment="1">
      <alignment horizontal="center" vertical="center"/>
    </xf>
    <xf numFmtId="164" fontId="10" fillId="0" borderId="0" xfId="1" applyFont="1" applyAlignment="1">
      <alignment horizontal="center" vertical="center"/>
    </xf>
    <xf numFmtId="164" fontId="11" fillId="2" borderId="5" xfId="1" applyFont="1" applyFill="1" applyBorder="1" applyAlignment="1">
      <alignment horizontal="center" vertical="center" wrapText="1"/>
    </xf>
    <xf numFmtId="3" fontId="11" fillId="2" borderId="5" xfId="1" applyNumberFormat="1" applyFont="1" applyFill="1" applyBorder="1" applyAlignment="1">
      <alignment horizontal="center" vertical="center" wrapText="1"/>
    </xf>
    <xf numFmtId="164" fontId="12" fillId="2" borderId="0" xfId="1" applyFont="1" applyFill="1"/>
    <xf numFmtId="164" fontId="11" fillId="2" borderId="12" xfId="1" applyFont="1" applyFill="1" applyBorder="1" applyAlignment="1">
      <alignment horizontal="center" vertical="center" wrapText="1"/>
    </xf>
    <xf numFmtId="164" fontId="11" fillId="2" borderId="13" xfId="1" applyFont="1" applyFill="1" applyBorder="1" applyAlignment="1">
      <alignment horizontal="center" vertical="center" wrapText="1"/>
    </xf>
    <xf numFmtId="164" fontId="13" fillId="2" borderId="12" xfId="1" applyFont="1" applyFill="1" applyBorder="1" applyAlignment="1">
      <alignment horizontal="center" vertical="center" wrapText="1"/>
    </xf>
    <xf numFmtId="164" fontId="13" fillId="2" borderId="13" xfId="1" applyFont="1" applyFill="1" applyBorder="1" applyAlignment="1">
      <alignment horizontal="center" vertical="center" wrapText="1"/>
    </xf>
    <xf numFmtId="164" fontId="14" fillId="0" borderId="5" xfId="5" applyFont="1" applyBorder="1" applyAlignment="1" applyProtection="1">
      <alignment vertical="center" wrapText="1"/>
    </xf>
    <xf numFmtId="164" fontId="14" fillId="0" borderId="5" xfId="1" applyFont="1" applyBorder="1" applyAlignment="1">
      <alignment horizontal="left" vertical="center" wrapText="1"/>
    </xf>
    <xf numFmtId="164" fontId="14" fillId="0" borderId="5" xfId="1" applyFont="1" applyBorder="1" applyAlignment="1">
      <alignment vertical="center" wrapText="1"/>
    </xf>
    <xf numFmtId="165" fontId="15" fillId="0" borderId="5" xfId="1" applyNumberFormat="1" applyFont="1" applyBorder="1" applyAlignment="1">
      <alignment vertical="center" wrapText="1"/>
    </xf>
    <xf numFmtId="2" fontId="16" fillId="0" borderId="5" xfId="1" applyNumberFormat="1" applyFont="1" applyBorder="1" applyAlignment="1">
      <alignment vertical="center" wrapText="1"/>
    </xf>
    <xf numFmtId="10" fontId="16" fillId="0" borderId="5" xfId="1" applyNumberFormat="1" applyFont="1" applyBorder="1" applyAlignment="1">
      <alignment vertical="center" wrapText="1"/>
    </xf>
    <xf numFmtId="3" fontId="17" fillId="0" borderId="5" xfId="1" applyNumberFormat="1" applyFont="1" applyBorder="1" applyAlignment="1">
      <alignment horizontal="right" vertical="center" wrapText="1"/>
    </xf>
    <xf numFmtId="4" fontId="17" fillId="0" borderId="5" xfId="1" applyNumberFormat="1" applyFont="1" applyBorder="1" applyAlignment="1">
      <alignment vertical="center" wrapText="1"/>
    </xf>
    <xf numFmtId="165" fontId="8" fillId="2" borderId="0" xfId="1" applyNumberFormat="1" applyFont="1" applyFill="1"/>
    <xf numFmtId="164" fontId="14" fillId="2" borderId="5" xfId="5" applyFont="1" applyFill="1" applyBorder="1" applyAlignment="1" applyProtection="1">
      <alignment vertical="center" wrapText="1"/>
    </xf>
    <xf numFmtId="164" fontId="14" fillId="2" borderId="5" xfId="1" applyFont="1" applyFill="1" applyBorder="1" applyAlignment="1">
      <alignment vertical="center" wrapText="1"/>
    </xf>
    <xf numFmtId="16" fontId="14" fillId="2" borderId="5" xfId="1" applyNumberFormat="1" applyFont="1" applyFill="1" applyBorder="1" applyAlignment="1">
      <alignment vertical="center" wrapText="1"/>
    </xf>
    <xf numFmtId="164" fontId="14" fillId="2" borderId="0" xfId="5" applyFont="1" applyFill="1" applyAlignment="1" applyProtection="1">
      <alignment wrapText="1"/>
    </xf>
    <xf numFmtId="164" fontId="14" fillId="2" borderId="0" xfId="1" applyFont="1" applyFill="1" applyAlignment="1">
      <alignment wrapText="1"/>
    </xf>
    <xf numFmtId="16" fontId="14" fillId="2" borderId="0" xfId="1" applyNumberFormat="1" applyFont="1" applyFill="1" applyAlignment="1">
      <alignment wrapText="1"/>
    </xf>
    <xf numFmtId="2" fontId="11" fillId="2" borderId="0" xfId="4" applyNumberFormat="1" applyFont="1" applyFill="1"/>
    <xf numFmtId="10" fontId="13" fillId="0" borderId="0" xfId="3" applyNumberFormat="1" applyFont="1"/>
    <xf numFmtId="10" fontId="13" fillId="0" borderId="0" xfId="3" applyNumberFormat="1" applyFont="1" applyAlignment="1">
      <alignment wrapText="1"/>
    </xf>
    <xf numFmtId="3" fontId="11" fillId="0" borderId="0" xfId="1" applyNumberFormat="1" applyFont="1" applyAlignment="1">
      <alignment horizontal="center" vertical="center" wrapText="1"/>
    </xf>
    <xf numFmtId="165" fontId="11" fillId="2" borderId="0" xfId="4" applyFont="1" applyFill="1"/>
    <xf numFmtId="2" fontId="13" fillId="0" borderId="0" xfId="1" applyNumberFormat="1" applyFont="1"/>
    <xf numFmtId="3" fontId="13" fillId="0" borderId="0" xfId="3" applyNumberFormat="1" applyFont="1" applyAlignment="1">
      <alignment wrapText="1"/>
    </xf>
    <xf numFmtId="164" fontId="1" fillId="0" borderId="0" xfId="6"/>
    <xf numFmtId="164" fontId="1" fillId="0" borderId="10" xfId="7" applyBorder="1"/>
    <xf numFmtId="164" fontId="1" fillId="0" borderId="0" xfId="7"/>
    <xf numFmtId="164" fontId="18" fillId="0" borderId="14" xfId="6" applyFont="1" applyBorder="1"/>
    <xf numFmtId="164" fontId="18" fillId="0" borderId="0" xfId="6" applyFont="1"/>
    <xf numFmtId="166" fontId="18" fillId="0" borderId="14" xfId="6" applyNumberFormat="1" applyFont="1" applyBorder="1"/>
    <xf numFmtId="164" fontId="18" fillId="0" borderId="14" xfId="6" applyFont="1" applyBorder="1" applyAlignment="1">
      <alignment horizontal="left"/>
    </xf>
    <xf numFmtId="164" fontId="19" fillId="0" borderId="14" xfId="6" applyFont="1" applyBorder="1" applyAlignment="1">
      <alignment horizontal="center"/>
    </xf>
    <xf numFmtId="164" fontId="18" fillId="0" borderId="14" xfId="6" applyFont="1" applyBorder="1" applyAlignment="1">
      <alignment horizontal="left" vertical="top"/>
    </xf>
    <xf numFmtId="164" fontId="20" fillId="0" borderId="14" xfId="6" applyFont="1" applyBorder="1"/>
    <xf numFmtId="164" fontId="21" fillId="0" borderId="14" xfId="6" applyFont="1" applyBorder="1" applyAlignment="1">
      <alignment horizontal="right"/>
    </xf>
    <xf numFmtId="164" fontId="18" fillId="0" borderId="14" xfId="6" applyFont="1" applyBorder="1" applyAlignment="1">
      <alignment horizontal="right"/>
    </xf>
    <xf numFmtId="167" fontId="18" fillId="0" borderId="14" xfId="6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8" fillId="0" borderId="0" xfId="0" applyFont="1"/>
    <xf numFmtId="0" fontId="18" fillId="0" borderId="0" xfId="6" applyNumberFormat="1" applyFont="1"/>
    <xf numFmtId="0" fontId="0" fillId="0" borderId="16" xfId="0" applyBorder="1"/>
    <xf numFmtId="43" fontId="8" fillId="2" borderId="0" xfId="1" applyNumberFormat="1" applyFont="1" applyFill="1"/>
    <xf numFmtId="164" fontId="1" fillId="0" borderId="0" xfId="1"/>
    <xf numFmtId="164" fontId="1" fillId="0" borderId="17" xfId="1" applyBorder="1"/>
    <xf numFmtId="164" fontId="1" fillId="0" borderId="18" xfId="1" applyBorder="1"/>
    <xf numFmtId="43" fontId="8" fillId="2" borderId="0" xfId="8" applyFont="1" applyFill="1"/>
    <xf numFmtId="164" fontId="1" fillId="2" borderId="4" xfId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49" fontId="1" fillId="2" borderId="5" xfId="1" applyNumberForma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 wrapText="1"/>
    </xf>
    <xf numFmtId="40" fontId="3" fillId="2" borderId="5" xfId="1" applyNumberFormat="1" applyFont="1" applyFill="1" applyBorder="1" applyAlignment="1">
      <alignment horizontal="center" vertical="center" wrapText="1"/>
    </xf>
    <xf numFmtId="40" fontId="3" fillId="2" borderId="6" xfId="1" applyNumberFormat="1" applyFont="1" applyFill="1" applyBorder="1" applyAlignment="1">
      <alignment horizontal="center" vertical="center" wrapText="1"/>
    </xf>
    <xf numFmtId="164" fontId="1" fillId="2" borderId="7" xfId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49" fontId="1" fillId="2" borderId="8" xfId="1" applyNumberFormat="1" applyFill="1" applyBorder="1" applyAlignment="1">
      <alignment horizontal="center" vertical="center"/>
    </xf>
    <xf numFmtId="165" fontId="3" fillId="2" borderId="8" xfId="1" applyNumberFormat="1" applyFont="1" applyFill="1" applyBorder="1" applyAlignment="1">
      <alignment horizontal="center" vertical="center" wrapText="1"/>
    </xf>
    <xf numFmtId="40" fontId="3" fillId="2" borderId="8" xfId="1" applyNumberFormat="1" applyFont="1" applyFill="1" applyBorder="1" applyAlignment="1">
      <alignment horizontal="center" vertical="center" wrapText="1"/>
    </xf>
    <xf numFmtId="40" fontId="3" fillId="2" borderId="9" xfId="1" applyNumberFormat="1" applyFont="1" applyFill="1" applyBorder="1" applyAlignment="1">
      <alignment horizontal="center" vertical="center" wrapText="1"/>
    </xf>
    <xf numFmtId="164" fontId="1" fillId="2" borderId="5" xfId="1" applyFill="1" applyBorder="1" applyAlignment="1">
      <alignment horizontal="center" vertical="center"/>
    </xf>
    <xf numFmtId="164" fontId="1" fillId="2" borderId="1" xfId="1" applyFill="1" applyBorder="1" applyAlignment="1">
      <alignment horizontal="left" vertical="center"/>
    </xf>
    <xf numFmtId="164" fontId="1" fillId="2" borderId="2" xfId="1" applyFill="1" applyBorder="1" applyAlignment="1">
      <alignment horizontal="left" vertical="center"/>
    </xf>
    <xf numFmtId="49" fontId="1" fillId="2" borderId="2" xfId="1" applyNumberForma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 wrapText="1"/>
    </xf>
    <xf numFmtId="40" fontId="3" fillId="2" borderId="2" xfId="1" applyNumberFormat="1" applyFont="1" applyFill="1" applyBorder="1" applyAlignment="1">
      <alignment horizontal="center" vertical="center" wrapText="1"/>
    </xf>
    <xf numFmtId="40" fontId="3" fillId="2" borderId="3" xfId="1" applyNumberFormat="1" applyFont="1" applyFill="1" applyBorder="1" applyAlignment="1">
      <alignment horizontal="center" vertical="center" wrapText="1"/>
    </xf>
    <xf numFmtId="164" fontId="3" fillId="2" borderId="1" xfId="1" applyFont="1" applyFill="1" applyBorder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164" fontId="3" fillId="2" borderId="4" xfId="1" applyFont="1" applyFill="1" applyBorder="1" applyAlignment="1">
      <alignment horizontal="center" vertical="center"/>
    </xf>
    <xf numFmtId="164" fontId="3" fillId="2" borderId="5" xfId="1" applyFont="1" applyFill="1" applyBorder="1" applyAlignment="1">
      <alignment horizontal="center" vertical="center"/>
    </xf>
    <xf numFmtId="164" fontId="3" fillId="2" borderId="7" xfId="1" applyFont="1" applyFill="1" applyBorder="1" applyAlignment="1">
      <alignment horizontal="center" vertical="center"/>
    </xf>
    <xf numFmtId="164" fontId="3" fillId="2" borderId="8" xfId="1" applyFont="1" applyFill="1" applyBorder="1" applyAlignment="1">
      <alignment horizontal="center" vertical="center"/>
    </xf>
    <xf numFmtId="49" fontId="3" fillId="2" borderId="5" xfId="1" applyNumberFormat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164" fontId="3" fillId="2" borderId="6" xfId="1" applyFont="1" applyFill="1" applyBorder="1" applyAlignment="1">
      <alignment horizontal="center" vertical="center"/>
    </xf>
    <xf numFmtId="49" fontId="3" fillId="2" borderId="9" xfId="1" applyNumberFormat="1" applyFont="1" applyFill="1" applyBorder="1" applyAlignment="1">
      <alignment horizontal="center" vertical="center"/>
    </xf>
    <xf numFmtId="164" fontId="11" fillId="2" borderId="12" xfId="1" applyFont="1" applyFill="1" applyBorder="1" applyAlignment="1">
      <alignment horizontal="center" vertical="center" wrapText="1"/>
    </xf>
    <xf numFmtId="164" fontId="11" fillId="2" borderId="13" xfId="1" applyFont="1" applyFill="1" applyBorder="1" applyAlignment="1">
      <alignment horizontal="center" vertical="center" wrapText="1"/>
    </xf>
    <xf numFmtId="3" fontId="18" fillId="0" borderId="14" xfId="6" applyNumberFormat="1" applyFont="1" applyBorder="1" applyAlignment="1">
      <alignment horizontal="right"/>
    </xf>
    <xf numFmtId="167" fontId="18" fillId="0" borderId="14" xfId="6" applyNumberFormat="1" applyFont="1" applyBorder="1" applyAlignment="1">
      <alignment horizontal="center"/>
    </xf>
    <xf numFmtId="164" fontId="3" fillId="0" borderId="0" xfId="6" applyFont="1" applyAlignment="1">
      <alignment horizontal="center"/>
    </xf>
    <xf numFmtId="164" fontId="19" fillId="0" borderId="14" xfId="6" applyFont="1" applyBorder="1" applyAlignment="1">
      <alignment horizontal="center"/>
    </xf>
    <xf numFmtId="3" fontId="18" fillId="0" borderId="15" xfId="6" applyNumberFormat="1" applyFont="1" applyBorder="1" applyAlignment="1">
      <alignment horizontal="right"/>
    </xf>
    <xf numFmtId="168" fontId="5" fillId="0" borderId="10" xfId="0" applyNumberFormat="1" applyFont="1" applyBorder="1"/>
    <xf numFmtId="0" fontId="0" fillId="0" borderId="10" xfId="0" applyBorder="1"/>
    <xf numFmtId="0" fontId="5" fillId="0" borderId="10" xfId="0" applyFont="1" applyBorder="1" applyAlignment="1">
      <alignment horizontal="center"/>
    </xf>
    <xf numFmtId="168" fontId="5" fillId="0" borderId="11" xfId="0" applyNumberFormat="1" applyFont="1" applyBorder="1"/>
    <xf numFmtId="0" fontId="0" fillId="0" borderId="11" xfId="0" applyBorder="1"/>
    <xf numFmtId="167" fontId="5" fillId="0" borderId="10" xfId="0" applyNumberFormat="1" applyFont="1" applyBorder="1" applyAlignment="1">
      <alignment horizontal="center"/>
    </xf>
  </cellXfs>
  <cellStyles count="9">
    <cellStyle name="Comma" xfId="8" builtinId="3"/>
    <cellStyle name="Comma 2" xfId="4" xr:uid="{113A5A7D-9DE0-4BE3-9AAB-79AFA648CE01}"/>
    <cellStyle name="Hyperlink 2" xfId="2" xr:uid="{AF764039-7674-4D7A-838D-00D6FF0BEDFD}"/>
    <cellStyle name="Hyperlink 2 2" xfId="5" xr:uid="{795450ED-CC00-448C-8CFA-6160D4D7610D}"/>
    <cellStyle name="Normal" xfId="0" builtinId="0"/>
    <cellStyle name="Normal 133" xfId="1" xr:uid="{24809EE5-4B18-46C6-B0F9-FAF6B3FB06E2}"/>
    <cellStyle name="Normal 2" xfId="6" xr:uid="{DE9C41E9-8E54-4E9B-AC0F-9A5BEFC47054}"/>
    <cellStyle name="Normal 89" xfId="7" xr:uid="{5A728186-3546-4B66-B91D-46C354CC78C9}"/>
    <cellStyle name="Percent" xfId="3" builtinId="5"/>
  </cellStyles>
  <dxfs count="6">
    <dxf>
      <font>
        <color rgb="FFFF0000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2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2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2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2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2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2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2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2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2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2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2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2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228600</xdr:colOff>
          <xdr:row>3</xdr:row>
          <xdr:rowOff>60960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2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26" Type="http://schemas.openxmlformats.org/officeDocument/2006/relationships/control" Target="../activeX/activeX22.xml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7.xml"/><Relationship Id="rId34" Type="http://schemas.openxmlformats.org/officeDocument/2006/relationships/control" Target="../activeX/activeX30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33" Type="http://schemas.openxmlformats.org/officeDocument/2006/relationships/control" Target="../activeX/activeX29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2.xml"/><Relationship Id="rId20" Type="http://schemas.openxmlformats.org/officeDocument/2006/relationships/control" Target="../activeX/activeX16.xml"/><Relationship Id="rId29" Type="http://schemas.openxmlformats.org/officeDocument/2006/relationships/control" Target="../activeX/activeX25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24" Type="http://schemas.openxmlformats.org/officeDocument/2006/relationships/control" Target="../activeX/activeX20.xml"/><Relationship Id="rId32" Type="http://schemas.openxmlformats.org/officeDocument/2006/relationships/control" Target="../activeX/activeX28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31" Type="http://schemas.openxmlformats.org/officeDocument/2006/relationships/control" Target="../activeX/activeX27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30" Type="http://schemas.openxmlformats.org/officeDocument/2006/relationships/control" Target="../activeX/activeX26.xml"/><Relationship Id="rId35" Type="http://schemas.openxmlformats.org/officeDocument/2006/relationships/image" Target="../media/image2.emf"/><Relationship Id="rId8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0700.HK" TargetMode="External"/><Relationship Id="rId13" Type="http://schemas.openxmlformats.org/officeDocument/2006/relationships/hyperlink" Target="https://finance.yahoo.com/quote/%5EHSI" TargetMode="External"/><Relationship Id="rId3" Type="http://schemas.openxmlformats.org/officeDocument/2006/relationships/hyperlink" Target="https://finance.yahoo.com/quote/6881.HK" TargetMode="External"/><Relationship Id="rId7" Type="http://schemas.openxmlformats.org/officeDocument/2006/relationships/hyperlink" Target="https://finance.yahoo.com/quote/0388.HK" TargetMode="External"/><Relationship Id="rId12" Type="http://schemas.openxmlformats.org/officeDocument/2006/relationships/hyperlink" Target="https://finance.yahoo.com/quote/2899.HK" TargetMode="External"/><Relationship Id="rId2" Type="http://schemas.openxmlformats.org/officeDocument/2006/relationships/hyperlink" Target="https://finance.yahoo.com/quote/%5EHSI" TargetMode="External"/><Relationship Id="rId1" Type="http://schemas.openxmlformats.org/officeDocument/2006/relationships/hyperlink" Target="https://finance.yahoo.com/quote/RIO.AX" TargetMode="External"/><Relationship Id="rId6" Type="http://schemas.openxmlformats.org/officeDocument/2006/relationships/hyperlink" Target="https://finance.yahoo.com/quote/0175.HK" TargetMode="External"/><Relationship Id="rId11" Type="http://schemas.openxmlformats.org/officeDocument/2006/relationships/hyperlink" Target="https://finance.yahoo.com/quote/0762.HK" TargetMode="External"/><Relationship Id="rId5" Type="http://schemas.openxmlformats.org/officeDocument/2006/relationships/hyperlink" Target="https://finance.yahoo.com/quote/0005.HK" TargetMode="External"/><Relationship Id="rId10" Type="http://schemas.openxmlformats.org/officeDocument/2006/relationships/hyperlink" Target="https://finance.yahoo.com/quote/2333.HK" TargetMode="External"/><Relationship Id="rId4" Type="http://schemas.openxmlformats.org/officeDocument/2006/relationships/hyperlink" Target="https://finance.yahoo.com/quote/3988.HK" TargetMode="External"/><Relationship Id="rId9" Type="http://schemas.openxmlformats.org/officeDocument/2006/relationships/hyperlink" Target="https://finance.yahoo.com/quote/1288.HK" TargetMode="External"/><Relationship Id="rId1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F7E2-7B9B-45DA-A80D-FC5F627DD120}">
  <dimension ref="A1:Q24"/>
  <sheetViews>
    <sheetView tabSelected="1" view="pageBreakPreview" topLeftCell="A2" zoomScaleNormal="100" zoomScaleSheetLayoutView="100" workbookViewId="0">
      <selection activeCell="T24" sqref="T24"/>
    </sheetView>
  </sheetViews>
  <sheetFormatPr defaultRowHeight="17.25" customHeight="1"/>
  <cols>
    <col min="1" max="17" width="3.6640625" customWidth="1"/>
  </cols>
  <sheetData>
    <row r="1" spans="1:17" ht="17.25" customHeight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3" spans="1:17" ht="17.25" customHeight="1" thickBot="1"/>
    <row r="4" spans="1:17" ht="17.25" hidden="1" customHeight="1" thickBot="1"/>
    <row r="5" spans="1:17" s="67" customFormat="1" ht="12" customHeight="1">
      <c r="C5" s="90" t="s">
        <v>0</v>
      </c>
      <c r="D5" s="91"/>
      <c r="E5" s="91"/>
      <c r="F5" s="91"/>
      <c r="G5" s="91"/>
      <c r="H5" s="91"/>
      <c r="I5" s="91"/>
      <c r="J5" s="91"/>
      <c r="K5" s="92" t="s">
        <v>1</v>
      </c>
      <c r="L5" s="92"/>
      <c r="M5" s="92"/>
      <c r="N5" s="92"/>
      <c r="O5" s="93"/>
    </row>
    <row r="6" spans="1:17" s="67" customFormat="1" ht="15" customHeight="1">
      <c r="C6" s="94" t="s">
        <v>2</v>
      </c>
      <c r="D6" s="95"/>
      <c r="E6" s="95"/>
      <c r="F6" s="95"/>
      <c r="G6" s="95"/>
      <c r="H6" s="95"/>
      <c r="I6" s="98" t="s">
        <v>3</v>
      </c>
      <c r="J6" s="98"/>
      <c r="K6" s="95">
        <v>44803</v>
      </c>
      <c r="L6" s="95"/>
      <c r="M6" s="95"/>
      <c r="N6" s="95"/>
      <c r="O6" s="100"/>
    </row>
    <row r="7" spans="1:17" s="67" customFormat="1" ht="15.75" customHeight="1" thickBot="1">
      <c r="C7" s="96"/>
      <c r="D7" s="97"/>
      <c r="E7" s="97"/>
      <c r="F7" s="97"/>
      <c r="G7" s="97"/>
      <c r="H7" s="97"/>
      <c r="I7" s="99"/>
      <c r="J7" s="99"/>
      <c r="K7" s="99" t="s">
        <v>4</v>
      </c>
      <c r="L7" s="99"/>
      <c r="M7" s="99"/>
      <c r="N7" s="99" t="s">
        <v>5</v>
      </c>
      <c r="O7" s="101"/>
    </row>
    <row r="8" spans="1:17" s="67" customFormat="1" ht="12" customHeight="1">
      <c r="C8" s="84" t="s">
        <v>6</v>
      </c>
      <c r="D8" s="85"/>
      <c r="E8" s="85"/>
      <c r="F8" s="85"/>
      <c r="G8" s="85"/>
      <c r="H8" s="85"/>
      <c r="I8" s="86" t="s">
        <v>7</v>
      </c>
      <c r="J8" s="86"/>
      <c r="K8" s="87" t="e">
        <f>INDEX('from internet'!$1:$1048576,MATCH(I8,'from internet'!$A:$A,),MATCH("Price",'from internet'!$1:$1,))</f>
        <v>#N/A</v>
      </c>
      <c r="L8" s="87"/>
      <c r="M8" s="87"/>
      <c r="N8" s="88" t="e">
        <f>INDEX('from internet'!$1:$1048576,MATCH(I8,'from internet'!$A:$A,),MATCH("CHG",'from internet'!$1:$1,))</f>
        <v>#N/A</v>
      </c>
      <c r="O8" s="89"/>
    </row>
    <row r="9" spans="1:17" s="67" customFormat="1" ht="12" customHeight="1">
      <c r="C9" s="71" t="s">
        <v>8</v>
      </c>
      <c r="D9" s="72"/>
      <c r="E9" s="72"/>
      <c r="F9" s="72"/>
      <c r="G9" s="72"/>
      <c r="H9" s="72"/>
      <c r="I9" s="73" t="s">
        <v>9</v>
      </c>
      <c r="J9" s="73"/>
      <c r="K9" s="74" t="e">
        <f>INDEX('from internet'!$1:$1048576,MATCH(I9,'from internet'!$A:$A,),MATCH("Price",'from internet'!$1:$1,))</f>
        <v>#N/A</v>
      </c>
      <c r="L9" s="74"/>
      <c r="M9" s="74"/>
      <c r="N9" s="75" t="e">
        <f>INDEX('from internet'!$1:$1048576,MATCH(I9,'from internet'!$A:$A,),MATCH("CHG",'from internet'!$1:$1,))</f>
        <v>#N/A</v>
      </c>
      <c r="O9" s="76"/>
    </row>
    <row r="10" spans="1:17" s="67" customFormat="1" ht="12" customHeight="1">
      <c r="C10" s="71" t="s">
        <v>10</v>
      </c>
      <c r="D10" s="72"/>
      <c r="E10" s="72"/>
      <c r="F10" s="72"/>
      <c r="G10" s="72"/>
      <c r="H10" s="72"/>
      <c r="I10" s="73" t="s">
        <v>11</v>
      </c>
      <c r="J10" s="73"/>
      <c r="K10" s="74" t="e">
        <f>INDEX('from internet'!$1:$1048576,MATCH(I10,'from internet'!$A:$A,),MATCH("Price",'from internet'!$1:$1,))</f>
        <v>#N/A</v>
      </c>
      <c r="L10" s="74"/>
      <c r="M10" s="74"/>
      <c r="N10" s="75" t="e">
        <f>INDEX('from internet'!$1:$1048576,MATCH(I10,'from internet'!$A:$A,),MATCH("CHG",'from internet'!$1:$1,))</f>
        <v>#N/A</v>
      </c>
      <c r="O10" s="76"/>
    </row>
    <row r="11" spans="1:17" s="67" customFormat="1" ht="12" customHeight="1">
      <c r="C11" s="71" t="s">
        <v>12</v>
      </c>
      <c r="D11" s="72"/>
      <c r="E11" s="72"/>
      <c r="F11" s="72"/>
      <c r="G11" s="72"/>
      <c r="H11" s="72"/>
      <c r="I11" s="73" t="s">
        <v>13</v>
      </c>
      <c r="J11" s="73"/>
      <c r="K11" s="74" t="e">
        <f>INDEX('from internet'!$1:$1048576,MATCH(I11,'from internet'!$A:$A,),MATCH("Price",'from internet'!$1:$1,))</f>
        <v>#N/A</v>
      </c>
      <c r="L11" s="74"/>
      <c r="M11" s="74"/>
      <c r="N11" s="75" t="e">
        <f>INDEX('from internet'!$1:$1048576,MATCH(I11,'from internet'!$A:$A,),MATCH("CHG",'from internet'!$1:$1,))</f>
        <v>#N/A</v>
      </c>
      <c r="O11" s="76"/>
    </row>
    <row r="12" spans="1:17" s="67" customFormat="1" ht="12" customHeight="1">
      <c r="C12" s="71" t="s">
        <v>14</v>
      </c>
      <c r="D12" s="72"/>
      <c r="E12" s="72"/>
      <c r="F12" s="72"/>
      <c r="G12" s="72"/>
      <c r="H12" s="72"/>
      <c r="I12" s="73" t="s">
        <v>15</v>
      </c>
      <c r="J12" s="73"/>
      <c r="K12" s="74" t="e">
        <f>INDEX('from internet'!$1:$1048576,MATCH(I12,'from internet'!$A:$A,),MATCH("Price",'from internet'!$1:$1,))</f>
        <v>#N/A</v>
      </c>
      <c r="L12" s="74"/>
      <c r="M12" s="74"/>
      <c r="N12" s="75" t="e">
        <f>INDEX('from internet'!$1:$1048576,MATCH(I12,'from internet'!$A:$A,),MATCH("CHG",'from internet'!$1:$1,))</f>
        <v>#N/A</v>
      </c>
      <c r="O12" s="76"/>
    </row>
    <row r="13" spans="1:17" s="67" customFormat="1" ht="12" customHeight="1">
      <c r="C13" s="71" t="s">
        <v>16</v>
      </c>
      <c r="D13" s="72"/>
      <c r="E13" s="72"/>
      <c r="F13" s="72"/>
      <c r="G13" s="72"/>
      <c r="H13" s="72"/>
      <c r="I13" s="73" t="s">
        <v>17</v>
      </c>
      <c r="J13" s="73"/>
      <c r="K13" s="74" t="e">
        <f>INDEX('from internet'!$1:$1048576,MATCH(I13,'from internet'!$A:$A,),MATCH("Price",'from internet'!$1:$1,))</f>
        <v>#N/A</v>
      </c>
      <c r="L13" s="74"/>
      <c r="M13" s="74"/>
      <c r="N13" s="75" t="e">
        <f>INDEX('from internet'!$1:$1048576,MATCH(I13,'from internet'!$A:$A,),MATCH("CHG",'from internet'!$1:$1,))</f>
        <v>#N/A</v>
      </c>
      <c r="O13" s="76"/>
    </row>
    <row r="14" spans="1:17" s="67" customFormat="1" ht="12" customHeight="1">
      <c r="C14" s="71" t="s">
        <v>18</v>
      </c>
      <c r="D14" s="72"/>
      <c r="E14" s="72"/>
      <c r="F14" s="72"/>
      <c r="G14" s="72"/>
      <c r="H14" s="72"/>
      <c r="I14" s="83" t="s">
        <v>19</v>
      </c>
      <c r="J14" s="83"/>
      <c r="K14" s="74" t="e">
        <f>INDEX('from internet'!$1:$1048576,MATCH(I14,'from internet'!$A:$A,),MATCH("Price",'from internet'!$1:$1,))</f>
        <v>#N/A</v>
      </c>
      <c r="L14" s="74"/>
      <c r="M14" s="74"/>
      <c r="N14" s="75" t="e">
        <f>INDEX('from internet'!$1:$1048576,MATCH(I14,'from internet'!$A:$A,),MATCH("CHG",'from internet'!$1:$1,))</f>
        <v>#N/A</v>
      </c>
      <c r="O14" s="76"/>
    </row>
    <row r="15" spans="1:17" s="67" customFormat="1" ht="12" customHeight="1">
      <c r="C15" s="71" t="s">
        <v>20</v>
      </c>
      <c r="D15" s="72"/>
      <c r="E15" s="72"/>
      <c r="F15" s="72"/>
      <c r="G15" s="72"/>
      <c r="H15" s="72"/>
      <c r="I15" s="73" t="s">
        <v>21</v>
      </c>
      <c r="J15" s="73"/>
      <c r="K15" s="74" t="e">
        <f>INDEX('from internet'!$1:$1048576,MATCH(I15,'from internet'!$A:$A,),MATCH("Price",'from internet'!$1:$1,))</f>
        <v>#N/A</v>
      </c>
      <c r="L15" s="74"/>
      <c r="M15" s="74"/>
      <c r="N15" s="75" t="e">
        <f>INDEX('from internet'!$1:$1048576,MATCH(I15,'from internet'!$A:$A,),MATCH("CHG",'from internet'!$1:$1,))</f>
        <v>#N/A</v>
      </c>
      <c r="O15" s="76"/>
    </row>
    <row r="16" spans="1:17" s="67" customFormat="1" ht="12" customHeight="1">
      <c r="C16" s="71" t="s">
        <v>22</v>
      </c>
      <c r="D16" s="72"/>
      <c r="E16" s="72"/>
      <c r="F16" s="72"/>
      <c r="G16" s="72"/>
      <c r="H16" s="72"/>
      <c r="I16" s="73" t="s">
        <v>23</v>
      </c>
      <c r="J16" s="73"/>
      <c r="K16" s="74" t="e">
        <f>INDEX('from internet'!$1:$1048576,MATCH(I16,'from internet'!$A:$A,),MATCH("Price",'from internet'!$1:$1,))</f>
        <v>#N/A</v>
      </c>
      <c r="L16" s="74"/>
      <c r="M16" s="74"/>
      <c r="N16" s="75" t="e">
        <f>INDEX('from internet'!$1:$1048576,MATCH(I16,'from internet'!$A:$A,),MATCH("CHG",'from internet'!$1:$1,))</f>
        <v>#N/A</v>
      </c>
      <c r="O16" s="76"/>
    </row>
    <row r="17" spans="1:17" s="67" customFormat="1" ht="12" customHeight="1">
      <c r="C17" s="71" t="s">
        <v>24</v>
      </c>
      <c r="D17" s="72"/>
      <c r="E17" s="72"/>
      <c r="F17" s="72"/>
      <c r="G17" s="72"/>
      <c r="H17" s="72"/>
      <c r="I17" s="73" t="s">
        <v>25</v>
      </c>
      <c r="J17" s="73"/>
      <c r="K17" s="74" t="e">
        <f>INDEX('from internet'!$1:$1048576,MATCH(I17,'from internet'!$A:$A,),MATCH("Price",'from internet'!$1:$1,))</f>
        <v>#N/A</v>
      </c>
      <c r="L17" s="74"/>
      <c r="M17" s="74"/>
      <c r="N17" s="75" t="e">
        <f>INDEX('from internet'!$1:$1048576,MATCH(I17,'from internet'!$A:$A,),MATCH("CHG",'from internet'!$1:$1,))</f>
        <v>#N/A</v>
      </c>
      <c r="O17" s="76"/>
    </row>
    <row r="18" spans="1:17" s="67" customFormat="1" ht="12" customHeight="1">
      <c r="C18" s="71" t="s">
        <v>26</v>
      </c>
      <c r="D18" s="72"/>
      <c r="E18" s="72"/>
      <c r="F18" s="72"/>
      <c r="G18" s="72"/>
      <c r="H18" s="72"/>
      <c r="I18" s="73" t="s">
        <v>27</v>
      </c>
      <c r="J18" s="73"/>
      <c r="K18" s="74" t="e">
        <f>INDEX('from internet'!$1:$1048576,MATCH(I18,'from internet'!$A:$A,),MATCH("Price",'from internet'!$1:$1,))</f>
        <v>#N/A</v>
      </c>
      <c r="L18" s="74"/>
      <c r="M18" s="74"/>
      <c r="N18" s="75" t="e">
        <f>INDEX('from internet'!$1:$1048576,MATCH(I18,'from internet'!$A:$A,),MATCH("CHG",'from internet'!$1:$1,))</f>
        <v>#N/A</v>
      </c>
      <c r="O18" s="76"/>
    </row>
    <row r="19" spans="1:17" s="67" customFormat="1" ht="12" customHeight="1">
      <c r="C19" s="71" t="s">
        <v>28</v>
      </c>
      <c r="D19" s="72"/>
      <c r="E19" s="72"/>
      <c r="F19" s="72"/>
      <c r="G19" s="72"/>
      <c r="H19" s="72"/>
      <c r="I19" s="73" t="s">
        <v>29</v>
      </c>
      <c r="J19" s="73"/>
      <c r="K19" s="74" t="e">
        <f>INDEX('from internet'!$1:$1048576,MATCH(I19,'from internet'!$A:$A,),MATCH("Price",'from internet'!$1:$1,))</f>
        <v>#N/A</v>
      </c>
      <c r="L19" s="74"/>
      <c r="M19" s="74"/>
      <c r="N19" s="75" t="e">
        <f>INDEX('from internet'!$1:$1048576,MATCH(I19,'from internet'!$A:$A,),MATCH("CHG",'from internet'!$1:$1,))</f>
        <v>#N/A</v>
      </c>
      <c r="O19" s="76"/>
    </row>
    <row r="20" spans="1:17" s="67" customFormat="1" ht="12" customHeight="1">
      <c r="C20" s="71" t="s">
        <v>30</v>
      </c>
      <c r="D20" s="72"/>
      <c r="E20" s="72"/>
      <c r="F20" s="72"/>
      <c r="G20" s="72"/>
      <c r="H20" s="72"/>
      <c r="I20" s="73" t="s">
        <v>31</v>
      </c>
      <c r="J20" s="73"/>
      <c r="K20" s="74" t="e">
        <f>INDEX('from internet'!$1:$1048576,MATCH(I20,'from internet'!$A:$A,),MATCH("Price",'from internet'!$1:$1,))</f>
        <v>#N/A</v>
      </c>
      <c r="L20" s="74"/>
      <c r="M20" s="74"/>
      <c r="N20" s="75" t="e">
        <f>INDEX('from internet'!$1:$1048576,MATCH(I20,'from internet'!$A:$A,),MATCH("CHG",'from internet'!$1:$1,))</f>
        <v>#N/A</v>
      </c>
      <c r="O20" s="76"/>
    </row>
    <row r="21" spans="1:17" s="67" customFormat="1" ht="12" customHeight="1">
      <c r="C21" s="71" t="s">
        <v>32</v>
      </c>
      <c r="D21" s="72"/>
      <c r="E21" s="72"/>
      <c r="F21" s="72"/>
      <c r="G21" s="72"/>
      <c r="H21" s="72"/>
      <c r="I21" s="73" t="s">
        <v>33</v>
      </c>
      <c r="J21" s="73"/>
      <c r="K21" s="74" t="e">
        <f>INDEX('from internet'!$1:$1048576,MATCH(I21,'from internet'!$A:$A,),MATCH("Price",'from internet'!$1:$1,))</f>
        <v>#N/A</v>
      </c>
      <c r="L21" s="74"/>
      <c r="M21" s="74"/>
      <c r="N21" s="75" t="e">
        <f>INDEX('from internet'!$1:$1048576,MATCH(I21,'from internet'!$A:$A,),MATCH("CHG",'from internet'!$1:$1,))</f>
        <v>#N/A</v>
      </c>
      <c r="O21" s="76"/>
    </row>
    <row r="22" spans="1:17" s="67" customFormat="1" ht="12" customHeight="1" thickBot="1">
      <c r="B22" s="68"/>
      <c r="C22" s="77" t="s">
        <v>35</v>
      </c>
      <c r="D22" s="78"/>
      <c r="E22" s="78"/>
      <c r="F22" s="78"/>
      <c r="G22" s="78"/>
      <c r="H22" s="78"/>
      <c r="I22" s="79" t="s">
        <v>36</v>
      </c>
      <c r="J22" s="79"/>
      <c r="K22" s="80" t="e">
        <f>INDEX('from internet'!$1:$1048576,MATCH(I22,'from internet'!$A:$A,),MATCH("Price",'from internet'!$1:$1,))</f>
        <v>#N/A</v>
      </c>
      <c r="L22" s="80"/>
      <c r="M22" s="80"/>
      <c r="N22" s="81" t="e">
        <f>INDEX('from internet'!$1:$1048576,MATCH(I22,'from internet'!$A:$A,),MATCH("CHG",'from internet'!$1:$1,))</f>
        <v>#N/A</v>
      </c>
      <c r="O22" s="82"/>
      <c r="P22" s="69"/>
    </row>
    <row r="23" spans="1:17" ht="17.25" customHeight="1">
      <c r="A23" s="65"/>
      <c r="B23" s="6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65"/>
      <c r="Q23" s="65"/>
    </row>
    <row r="24" spans="1:17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</sheetData>
  <mergeCells count="67">
    <mergeCell ref="C8:H8"/>
    <mergeCell ref="I8:J8"/>
    <mergeCell ref="K8:M8"/>
    <mergeCell ref="N8:O8"/>
    <mergeCell ref="C9:H9"/>
    <mergeCell ref="I9:J9"/>
    <mergeCell ref="K9:M9"/>
    <mergeCell ref="N9:O9"/>
    <mergeCell ref="C5:J5"/>
    <mergeCell ref="K5:O5"/>
    <mergeCell ref="C6:H7"/>
    <mergeCell ref="I6:J7"/>
    <mergeCell ref="K6:O6"/>
    <mergeCell ref="K7:M7"/>
    <mergeCell ref="N7:O7"/>
    <mergeCell ref="C10:H10"/>
    <mergeCell ref="I10:J10"/>
    <mergeCell ref="K10:M10"/>
    <mergeCell ref="N10:O10"/>
    <mergeCell ref="C13:H13"/>
    <mergeCell ref="I13:J13"/>
    <mergeCell ref="K13:M13"/>
    <mergeCell ref="N13:O13"/>
    <mergeCell ref="C14:H14"/>
    <mergeCell ref="I14:J14"/>
    <mergeCell ref="K14:M14"/>
    <mergeCell ref="N14:O14"/>
    <mergeCell ref="C11:H11"/>
    <mergeCell ref="I11:J11"/>
    <mergeCell ref="K11:M11"/>
    <mergeCell ref="N11:O11"/>
    <mergeCell ref="C12:H12"/>
    <mergeCell ref="I12:J12"/>
    <mergeCell ref="K12:M12"/>
    <mergeCell ref="N12:O12"/>
    <mergeCell ref="C15:H15"/>
    <mergeCell ref="I15:J15"/>
    <mergeCell ref="K15:M15"/>
    <mergeCell ref="N15:O15"/>
    <mergeCell ref="C16:H16"/>
    <mergeCell ref="I16:J16"/>
    <mergeCell ref="K16:M16"/>
    <mergeCell ref="N16:O16"/>
    <mergeCell ref="C19:H19"/>
    <mergeCell ref="I19:J19"/>
    <mergeCell ref="K19:M19"/>
    <mergeCell ref="N19:O19"/>
    <mergeCell ref="C20:H20"/>
    <mergeCell ref="I20:J20"/>
    <mergeCell ref="K20:M20"/>
    <mergeCell ref="N20:O20"/>
    <mergeCell ref="C17:H17"/>
    <mergeCell ref="I17:J17"/>
    <mergeCell ref="K17:M17"/>
    <mergeCell ref="N17:O17"/>
    <mergeCell ref="C18:H18"/>
    <mergeCell ref="I18:J18"/>
    <mergeCell ref="K18:M18"/>
    <mergeCell ref="N18:O18"/>
    <mergeCell ref="C22:H22"/>
    <mergeCell ref="I22:J22"/>
    <mergeCell ref="K22:M22"/>
    <mergeCell ref="N22:O22"/>
    <mergeCell ref="C21:H21"/>
    <mergeCell ref="I21:J21"/>
    <mergeCell ref="K21:M21"/>
    <mergeCell ref="N21:O21"/>
  </mergeCells>
  <conditionalFormatting sqref="I18 C18">
    <cfRule type="duplicateValues" dxfId="5" priority="1"/>
  </conditionalFormatting>
  <conditionalFormatting sqref="I19 C19">
    <cfRule type="duplicateValues" dxfId="4" priority="4"/>
  </conditionalFormatting>
  <conditionalFormatting sqref="I20 C20">
    <cfRule type="duplicateValues" dxfId="3" priority="3"/>
  </conditionalFormatting>
  <conditionalFormatting sqref="I22 C22">
    <cfRule type="duplicateValues" dxfId="2" priority="2"/>
  </conditionalFormatting>
  <pageMargins left="0.23622047244094491" right="0.23622047244094491" top="0.15748031496062992" bottom="0.35433070866141736" header="0.31496062992125984" footer="0.19685039370078741"/>
  <pageSetup paperSize="10001" orientation="portrait" horizontalDpi="4294967293" r:id="rId1"/>
  <headerFoot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0F14-AAD2-4C18-8388-595498DFB3B8}">
  <dimension ref="A1"/>
  <sheetViews>
    <sheetView view="pageBreakPreview" zoomScale="150" zoomScaleNormal="100" zoomScaleSheetLayoutView="150" workbookViewId="0"/>
  </sheetViews>
  <sheetFormatPr defaultRowHeight="17.25" customHeight="1"/>
  <cols>
    <col min="1" max="17" width="3.6640625" customWidth="1"/>
  </cols>
  <sheetData/>
  <pageMargins left="0.23622047244094491" right="0.23622047244094491" top="0.15748031496062992" bottom="0.35433070866141736" header="0.31496062992125984" footer="0.19685039370078741"/>
  <pageSetup paperSize="10001" orientation="portrait" horizontalDpi="4294967293" r:id="rId1"/>
  <headerFooter>
    <oddFooter>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2825A-56E6-425E-B8A6-F559044898BC}">
  <sheetPr codeName="Sheet1">
    <tabColor rgb="FFFFFF00"/>
  </sheetPr>
  <dimension ref="A1:J89"/>
  <sheetViews>
    <sheetView workbookViewId="0">
      <pane xSplit="1" ySplit="2" topLeftCell="B3" activePane="bottomRight" state="frozen"/>
      <selection activeCell="C11" sqref="C11:H11"/>
      <selection pane="topRight" activeCell="C11" sqref="C11:H11"/>
      <selection pane="bottomLeft" activeCell="C11" sqref="C11:H11"/>
      <selection pane="bottomRight" activeCell="E15" sqref="E15"/>
    </sheetView>
  </sheetViews>
  <sheetFormatPr defaultColWidth="9.109375" defaultRowHeight="14.4"/>
  <cols>
    <col min="1" max="1" width="8" style="5" bestFit="1" customWidth="1"/>
    <col min="2" max="2" width="52" style="6" bestFit="1" customWidth="1"/>
    <col min="3" max="3" width="9.109375" style="7" bestFit="1" customWidth="1"/>
    <col min="4" max="4" width="7.6640625" style="7" bestFit="1" customWidth="1"/>
    <col min="5" max="5" width="6.88671875" style="6" bestFit="1" customWidth="1"/>
    <col min="6" max="6" width="8.33203125" style="6" bestFit="1" customWidth="1"/>
    <col min="7" max="7" width="10.33203125" style="7" bestFit="1" customWidth="1"/>
    <col min="8" max="8" width="5" style="6" bestFit="1" customWidth="1"/>
    <col min="9" max="9" width="9.109375" style="6" bestFit="1" customWidth="1"/>
    <col min="10" max="10" width="9.109375" style="6"/>
    <col min="11" max="11" width="12.109375" style="6" bestFit="1" customWidth="1"/>
    <col min="12" max="16384" width="9.109375" style="6"/>
  </cols>
  <sheetData>
    <row r="1" spans="1:9">
      <c r="A1" s="5" t="s">
        <v>41</v>
      </c>
      <c r="B1" s="6" t="s">
        <v>42</v>
      </c>
      <c r="C1" s="7" t="s">
        <v>4</v>
      </c>
      <c r="D1" s="7" t="s">
        <v>43</v>
      </c>
      <c r="E1" s="5" t="s">
        <v>44</v>
      </c>
      <c r="F1" s="5" t="s">
        <v>45</v>
      </c>
      <c r="G1" s="7" t="s">
        <v>46</v>
      </c>
      <c r="I1" s="8"/>
    </row>
    <row r="2" spans="1:9">
      <c r="A2" s="6"/>
      <c r="C2" s="5"/>
      <c r="D2" s="5"/>
      <c r="G2" s="5"/>
      <c r="I2" s="8"/>
    </row>
    <row r="3" spans="1:9">
      <c r="E3" s="9"/>
      <c r="F3" s="10"/>
    </row>
    <row r="4" spans="1:9">
      <c r="E4" s="9"/>
    </row>
    <row r="5" spans="1:9">
      <c r="E5" s="9"/>
    </row>
    <row r="6" spans="1:9">
      <c r="E6" s="9"/>
      <c r="F6" s="10"/>
    </row>
    <row r="7" spans="1:9">
      <c r="E7" s="9"/>
      <c r="F7" s="10"/>
    </row>
    <row r="8" spans="1:9">
      <c r="E8" s="9"/>
      <c r="F8" s="10"/>
    </row>
    <row r="9" spans="1:9">
      <c r="E9" s="9"/>
      <c r="F9" s="10"/>
    </row>
    <row r="10" spans="1:9">
      <c r="E10" s="9"/>
      <c r="F10" s="10"/>
    </row>
    <row r="11" spans="1:9">
      <c r="E11" s="9"/>
      <c r="F11" s="10"/>
    </row>
    <row r="12" spans="1:9">
      <c r="E12" s="9"/>
    </row>
    <row r="13" spans="1:9">
      <c r="E13" s="9"/>
    </row>
    <row r="15" spans="1:9">
      <c r="E15" s="9"/>
    </row>
    <row r="16" spans="1:9">
      <c r="E16" s="9"/>
    </row>
    <row r="17" spans="5:6">
      <c r="E17" s="9"/>
    </row>
    <row r="18" spans="5:6">
      <c r="E18" s="9"/>
    </row>
    <row r="19" spans="5:6">
      <c r="E19" s="9"/>
      <c r="F19" s="10"/>
    </row>
    <row r="20" spans="5:6">
      <c r="E20" s="9"/>
    </row>
    <row r="21" spans="5:6">
      <c r="E21" s="9"/>
    </row>
    <row r="22" spans="5:6">
      <c r="E22" s="9"/>
      <c r="F22" s="10"/>
    </row>
    <row r="23" spans="5:6">
      <c r="E23" s="9"/>
    </row>
    <row r="24" spans="5:6">
      <c r="E24" s="9"/>
    </row>
    <row r="25" spans="5:6">
      <c r="E25" s="9"/>
    </row>
    <row r="26" spans="5:6">
      <c r="E26" s="9"/>
    </row>
    <row r="27" spans="5:6">
      <c r="E27" s="9"/>
    </row>
    <row r="28" spans="5:6">
      <c r="E28" s="9"/>
    </row>
    <row r="29" spans="5:6">
      <c r="E29" s="9"/>
    </row>
    <row r="30" spans="5:6">
      <c r="E30" s="9"/>
      <c r="F30" s="10"/>
    </row>
    <row r="31" spans="5:6">
      <c r="E31" s="9"/>
      <c r="F31" s="10"/>
    </row>
    <row r="32" spans="5:6">
      <c r="E32" s="9"/>
    </row>
    <row r="33" spans="5:6">
      <c r="E33" s="9"/>
    </row>
    <row r="34" spans="5:6">
      <c r="E34" s="9"/>
      <c r="F34" s="10"/>
    </row>
    <row r="35" spans="5:6">
      <c r="E35" s="9"/>
    </row>
    <row r="36" spans="5:6">
      <c r="E36" s="9"/>
    </row>
    <row r="37" spans="5:6">
      <c r="E37" s="9"/>
    </row>
    <row r="38" spans="5:6">
      <c r="E38" s="9"/>
    </row>
    <row r="39" spans="5:6">
      <c r="E39" s="9"/>
    </row>
    <row r="40" spans="5:6">
      <c r="E40" s="9"/>
    </row>
    <row r="41" spans="5:6">
      <c r="E41" s="9"/>
    </row>
    <row r="42" spans="5:6">
      <c r="E42" s="9"/>
    </row>
    <row r="43" spans="5:6">
      <c r="E43" s="9"/>
    </row>
    <row r="44" spans="5:6">
      <c r="E44" s="9"/>
    </row>
    <row r="45" spans="5:6">
      <c r="E45" s="9"/>
      <c r="F45" s="10"/>
    </row>
    <row r="46" spans="5:6">
      <c r="E46" s="9"/>
    </row>
    <row r="47" spans="5:6">
      <c r="E47" s="9"/>
    </row>
    <row r="48" spans="5:6">
      <c r="E48" s="9"/>
    </row>
    <row r="49" spans="5:6">
      <c r="E49" s="9"/>
    </row>
    <row r="50" spans="5:6">
      <c r="E50" s="9"/>
    </row>
    <row r="51" spans="5:6">
      <c r="E51" s="9"/>
      <c r="F51" s="10"/>
    </row>
    <row r="52" spans="5:6">
      <c r="E52" s="9"/>
      <c r="F52" s="10"/>
    </row>
    <row r="53" spans="5:6">
      <c r="E53" s="9"/>
      <c r="F53" s="10"/>
    </row>
    <row r="54" spans="5:6">
      <c r="E54" s="9"/>
      <c r="F54" s="10"/>
    </row>
    <row r="55" spans="5:6">
      <c r="E55" s="9"/>
      <c r="F55" s="10"/>
    </row>
    <row r="56" spans="5:6">
      <c r="E56" s="9"/>
    </row>
    <row r="57" spans="5:6">
      <c r="E57" s="9"/>
      <c r="F57" s="10"/>
    </row>
    <row r="58" spans="5:6">
      <c r="E58" s="9"/>
    </row>
    <row r="59" spans="5:6">
      <c r="E59" s="9"/>
    </row>
    <row r="60" spans="5:6">
      <c r="E60" s="9"/>
    </row>
    <row r="61" spans="5:6">
      <c r="E61" s="9"/>
    </row>
    <row r="62" spans="5:6">
      <c r="E62" s="9"/>
    </row>
    <row r="63" spans="5:6">
      <c r="E63" s="9"/>
      <c r="F63" s="10"/>
    </row>
    <row r="64" spans="5:6">
      <c r="E64" s="9"/>
    </row>
    <row r="65" spans="5:6">
      <c r="E65" s="9"/>
    </row>
    <row r="66" spans="5:6">
      <c r="E66" s="9"/>
    </row>
    <row r="67" spans="5:6">
      <c r="E67" s="9"/>
    </row>
    <row r="68" spans="5:6">
      <c r="E68" s="9"/>
    </row>
    <row r="69" spans="5:6">
      <c r="E69" s="9"/>
    </row>
    <row r="70" spans="5:6">
      <c r="E70" s="9"/>
    </row>
    <row r="71" spans="5:6">
      <c r="E71" s="9"/>
      <c r="F71" s="10"/>
    </row>
    <row r="72" spans="5:6">
      <c r="E72" s="9"/>
    </row>
    <row r="73" spans="5:6">
      <c r="E73" s="9"/>
      <c r="F73" s="10"/>
    </row>
    <row r="74" spans="5:6">
      <c r="E74" s="9"/>
    </row>
    <row r="75" spans="5:6">
      <c r="E75" s="9"/>
    </row>
    <row r="76" spans="5:6">
      <c r="E76" s="9"/>
    </row>
    <row r="77" spans="5:6">
      <c r="E77" s="9"/>
    </row>
    <row r="78" spans="5:6">
      <c r="E78" s="9"/>
    </row>
    <row r="79" spans="5:6">
      <c r="E79" s="9"/>
    </row>
    <row r="80" spans="5:6">
      <c r="E80" s="9"/>
      <c r="F80" s="10"/>
    </row>
    <row r="81" spans="3:10">
      <c r="E81" s="9"/>
      <c r="F81" s="10"/>
      <c r="I81" s="11"/>
    </row>
    <row r="82" spans="3:10">
      <c r="E82" s="9"/>
      <c r="F82" s="10"/>
    </row>
    <row r="83" spans="3:10">
      <c r="C83" s="12"/>
      <c r="E83" s="9"/>
      <c r="F83" s="10"/>
      <c r="G83" s="12"/>
      <c r="I83" s="11"/>
      <c r="J83" s="11"/>
    </row>
    <row r="84" spans="3:10">
      <c r="C84" s="12"/>
      <c r="E84" s="9"/>
      <c r="F84" s="10"/>
      <c r="G84" s="12"/>
      <c r="I84" s="11"/>
      <c r="J84" s="11"/>
    </row>
    <row r="85" spans="3:10">
      <c r="C85" s="12"/>
      <c r="E85" s="9"/>
      <c r="G85" s="12"/>
      <c r="I85" s="11"/>
      <c r="J85" s="11"/>
    </row>
    <row r="86" spans="3:10">
      <c r="C86" s="12"/>
      <c r="E86" s="9"/>
      <c r="F86" s="10"/>
      <c r="G86" s="12"/>
      <c r="I86" s="11"/>
      <c r="J86" s="11"/>
    </row>
    <row r="87" spans="3:10">
      <c r="C87" s="12"/>
      <c r="E87" s="9"/>
      <c r="G87" s="12"/>
      <c r="I87" s="11"/>
      <c r="J87" s="11"/>
    </row>
    <row r="88" spans="3:10">
      <c r="C88" s="12"/>
      <c r="E88" s="9"/>
      <c r="G88" s="12"/>
      <c r="I88" s="11"/>
      <c r="J88" s="11"/>
    </row>
    <row r="89" spans="3:10">
      <c r="C89" s="12"/>
      <c r="E89" s="9"/>
      <c r="G89" s="12"/>
      <c r="I89" s="11"/>
      <c r="J89" s="11"/>
    </row>
  </sheetData>
  <pageMargins left="0.7" right="0.7" top="0.75" bottom="0.75" header="0.3" footer="0.3"/>
  <pageSetup paperSize="9"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28" r:id="rId8" name="Control 4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31" r:id="rId11" name="Control 7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31" r:id="rId11" name="Control 7"/>
      </mc:Fallback>
    </mc:AlternateContent>
    <mc:AlternateContent xmlns:mc="http://schemas.openxmlformats.org/markup-compatibility/2006">
      <mc:Choice Requires="x14">
        <control shapeId="1032" r:id="rId12" name="Control 8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32" r:id="rId12" name="Control 8"/>
      </mc:Fallback>
    </mc:AlternateContent>
    <mc:AlternateContent xmlns:mc="http://schemas.openxmlformats.org/markup-compatibility/2006">
      <mc:Choice Requires="x14">
        <control shapeId="1033" r:id="rId13" name="Control 9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33" r:id="rId13" name="Control 9"/>
      </mc:Fallback>
    </mc:AlternateContent>
    <mc:AlternateContent xmlns:mc="http://schemas.openxmlformats.org/markup-compatibility/2006">
      <mc:Choice Requires="x14">
        <control shapeId="1034" r:id="rId14" name="Control 10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34" r:id="rId14" name="Control 10"/>
      </mc:Fallback>
    </mc:AlternateContent>
    <mc:AlternateContent xmlns:mc="http://schemas.openxmlformats.org/markup-compatibility/2006">
      <mc:Choice Requires="x14">
        <control shapeId="1035" r:id="rId15" name="Control 11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35" r:id="rId15" name="Control 11"/>
      </mc:Fallback>
    </mc:AlternateContent>
    <mc:AlternateContent xmlns:mc="http://schemas.openxmlformats.org/markup-compatibility/2006">
      <mc:Choice Requires="x14">
        <control shapeId="1036" r:id="rId16" name="Control 12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36" r:id="rId16" name="Control 12"/>
      </mc:Fallback>
    </mc:AlternateContent>
    <mc:AlternateContent xmlns:mc="http://schemas.openxmlformats.org/markup-compatibility/2006">
      <mc:Choice Requires="x14">
        <control shapeId="1037" r:id="rId17" name="Control 13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37" r:id="rId17" name="Control 13"/>
      </mc:Fallback>
    </mc:AlternateContent>
    <mc:AlternateContent xmlns:mc="http://schemas.openxmlformats.org/markup-compatibility/2006">
      <mc:Choice Requires="x14">
        <control shapeId="1038" r:id="rId18" name="Control 14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38" r:id="rId18" name="Control 14"/>
      </mc:Fallback>
    </mc:AlternateContent>
    <mc:AlternateContent xmlns:mc="http://schemas.openxmlformats.org/markup-compatibility/2006">
      <mc:Choice Requires="x14">
        <control shapeId="1039" r:id="rId19" name="Control 15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39" r:id="rId19" name="Control 15"/>
      </mc:Fallback>
    </mc:AlternateContent>
    <mc:AlternateContent xmlns:mc="http://schemas.openxmlformats.org/markup-compatibility/2006">
      <mc:Choice Requires="x14">
        <control shapeId="1040" r:id="rId20" name="Control 16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40" r:id="rId20" name="Control 16"/>
      </mc:Fallback>
    </mc:AlternateContent>
    <mc:AlternateContent xmlns:mc="http://schemas.openxmlformats.org/markup-compatibility/2006">
      <mc:Choice Requires="x14">
        <control shapeId="1041" r:id="rId21" name="Control 17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41" r:id="rId21" name="Control 17"/>
      </mc:Fallback>
    </mc:AlternateContent>
    <mc:AlternateContent xmlns:mc="http://schemas.openxmlformats.org/markup-compatibility/2006">
      <mc:Choice Requires="x14">
        <control shapeId="1042" r:id="rId22" name="Control 18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42" r:id="rId22" name="Control 18"/>
      </mc:Fallback>
    </mc:AlternateContent>
    <mc:AlternateContent xmlns:mc="http://schemas.openxmlformats.org/markup-compatibility/2006">
      <mc:Choice Requires="x14">
        <control shapeId="1043" r:id="rId23" name="Control 19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43" r:id="rId23" name="Control 19"/>
      </mc:Fallback>
    </mc:AlternateContent>
    <mc:AlternateContent xmlns:mc="http://schemas.openxmlformats.org/markup-compatibility/2006">
      <mc:Choice Requires="x14">
        <control shapeId="1044" r:id="rId24" name="Control 20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44" r:id="rId24" name="Control 20"/>
      </mc:Fallback>
    </mc:AlternateContent>
    <mc:AlternateContent xmlns:mc="http://schemas.openxmlformats.org/markup-compatibility/2006">
      <mc:Choice Requires="x14">
        <control shapeId="1045" r:id="rId25" name="Control 21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45" r:id="rId25" name="Control 21"/>
      </mc:Fallback>
    </mc:AlternateContent>
    <mc:AlternateContent xmlns:mc="http://schemas.openxmlformats.org/markup-compatibility/2006">
      <mc:Choice Requires="x14">
        <control shapeId="1046" r:id="rId26" name="Control 22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46" r:id="rId26" name="Control 22"/>
      </mc:Fallback>
    </mc:AlternateContent>
    <mc:AlternateContent xmlns:mc="http://schemas.openxmlformats.org/markup-compatibility/2006">
      <mc:Choice Requires="x14">
        <control shapeId="1047" r:id="rId27" name="Control 23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47" r:id="rId27" name="Control 23"/>
      </mc:Fallback>
    </mc:AlternateContent>
    <mc:AlternateContent xmlns:mc="http://schemas.openxmlformats.org/markup-compatibility/2006">
      <mc:Choice Requires="x14">
        <control shapeId="1048" r:id="rId28" name="Control 24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48" r:id="rId28" name="Control 24"/>
      </mc:Fallback>
    </mc:AlternateContent>
    <mc:AlternateContent xmlns:mc="http://schemas.openxmlformats.org/markup-compatibility/2006">
      <mc:Choice Requires="x14">
        <control shapeId="1049" r:id="rId29" name="Control 25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49" r:id="rId29" name="Control 25"/>
      </mc:Fallback>
    </mc:AlternateContent>
    <mc:AlternateContent xmlns:mc="http://schemas.openxmlformats.org/markup-compatibility/2006">
      <mc:Choice Requires="x14">
        <control shapeId="1050" r:id="rId30" name="Control 26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50" r:id="rId30" name="Control 26"/>
      </mc:Fallback>
    </mc:AlternateContent>
    <mc:AlternateContent xmlns:mc="http://schemas.openxmlformats.org/markup-compatibility/2006">
      <mc:Choice Requires="x14">
        <control shapeId="1051" r:id="rId31" name="Control 27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51" r:id="rId31" name="Control 27"/>
      </mc:Fallback>
    </mc:AlternateContent>
    <mc:AlternateContent xmlns:mc="http://schemas.openxmlformats.org/markup-compatibility/2006">
      <mc:Choice Requires="x14">
        <control shapeId="1052" r:id="rId32" name="Control 28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52" r:id="rId32" name="Control 28"/>
      </mc:Fallback>
    </mc:AlternateContent>
    <mc:AlternateContent xmlns:mc="http://schemas.openxmlformats.org/markup-compatibility/2006">
      <mc:Choice Requires="x14">
        <control shapeId="1053" r:id="rId33" name="Control 29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53" r:id="rId33" name="Control 29"/>
      </mc:Fallback>
    </mc:AlternateContent>
    <mc:AlternateContent xmlns:mc="http://schemas.openxmlformats.org/markup-compatibility/2006">
      <mc:Choice Requires="x14">
        <control shapeId="1054" r:id="rId34" name="Control 30">
          <controlPr defaultSize="0" r:id="rId3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054" r:id="rId34" name="Control 30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957B-AB91-4AA8-9067-F7EEC7C80175}">
  <sheetPr>
    <tabColor rgb="FFFFFF00"/>
    <pageSetUpPr fitToPage="1"/>
  </sheetPr>
  <dimension ref="A1:J39"/>
  <sheetViews>
    <sheetView zoomScaleNormal="100" workbookViewId="0">
      <selection activeCell="J2" sqref="J2"/>
    </sheetView>
  </sheetViews>
  <sheetFormatPr defaultColWidth="8.88671875" defaultRowHeight="14.4"/>
  <cols>
    <col min="1" max="1" width="11.44140625" style="14" customWidth="1"/>
    <col min="2" max="2" width="41.6640625" style="14" customWidth="1"/>
    <col min="3" max="3" width="9.109375" style="14" hidden="1" customWidth="1"/>
    <col min="4" max="4" width="14.6640625" style="15" bestFit="1" customWidth="1"/>
    <col min="5" max="5" width="12.6640625" style="16" bestFit="1" customWidth="1"/>
    <col min="6" max="6" width="11.44140625" style="17" bestFit="1" customWidth="1"/>
    <col min="7" max="7" width="19.109375" style="18" customWidth="1"/>
    <col min="8" max="8" width="16.44140625" style="14" customWidth="1"/>
    <col min="9" max="9" width="11.44140625" style="14" bestFit="1" customWidth="1"/>
    <col min="10" max="10" width="14" style="14" bestFit="1" customWidth="1"/>
    <col min="11" max="16384" width="8.88671875" style="14"/>
  </cols>
  <sheetData>
    <row r="1" spans="1:10" ht="23.4">
      <c r="A1" s="13" t="str">
        <f>TEXT(notebook!K6,"mmmm d, yyyy")&amp;"       CLOSING PRICE as of 4:00 PM"</f>
        <v>August 30, 2022       CLOSING PRICE as of 4:00 PM</v>
      </c>
    </row>
    <row r="2" spans="1:10" ht="21" customHeight="1">
      <c r="H2" s="19"/>
      <c r="J2" s="70"/>
    </row>
    <row r="3" spans="1:10" s="22" customFormat="1" ht="30" customHeight="1">
      <c r="A3" s="20" t="s">
        <v>41</v>
      </c>
      <c r="B3" s="20" t="s">
        <v>56</v>
      </c>
      <c r="C3" s="102" t="s">
        <v>4</v>
      </c>
      <c r="D3" s="103"/>
      <c r="E3" s="102" t="s">
        <v>57</v>
      </c>
      <c r="F3" s="103"/>
      <c r="G3" s="21" t="s">
        <v>45</v>
      </c>
      <c r="H3" s="20" t="s">
        <v>46</v>
      </c>
    </row>
    <row r="4" spans="1:10" s="22" customFormat="1" ht="30" hidden="1" customHeight="1">
      <c r="A4" s="20"/>
      <c r="B4" s="20"/>
      <c r="C4" s="23"/>
      <c r="D4" s="24" t="s">
        <v>4</v>
      </c>
      <c r="E4" s="25" t="s">
        <v>58</v>
      </c>
      <c r="F4" s="26" t="s">
        <v>44</v>
      </c>
      <c r="G4" s="21" t="s">
        <v>45</v>
      </c>
      <c r="H4" s="20" t="s">
        <v>46</v>
      </c>
    </row>
    <row r="5" spans="1:10" ht="24" customHeight="1">
      <c r="A5" s="27" t="s">
        <v>19</v>
      </c>
      <c r="B5" s="28" t="s">
        <v>18</v>
      </c>
      <c r="C5" s="29" t="s">
        <v>59</v>
      </c>
      <c r="D5" s="30" t="e">
        <f>INDEX('from internet'!$1:$1048576,MATCH($A5,'from internet'!$A:$A,),MATCH(D$4,'from internet'!$1:$1,))</f>
        <v>#N/A</v>
      </c>
      <c r="E5" s="31" t="e">
        <f>INDEX('from internet'!$1:$1048576,MATCH($A5,'from internet'!$A:$A,),MATCH(E$4,'from internet'!$1:$1,))</f>
        <v>#N/A</v>
      </c>
      <c r="F5" s="32" t="e">
        <f>INDEX('from internet'!$1:$1048576,MATCH($A5,'from internet'!$A:$A,),MATCH(F$4,'from internet'!$1:$1,))</f>
        <v>#N/A</v>
      </c>
      <c r="G5" s="33" t="e">
        <f>INDEX('from internet'!$1:$1048576,MATCH($A5,'from internet'!$A:$A,),MATCH(G$4,'from internet'!$1:$1,))</f>
        <v>#N/A</v>
      </c>
      <c r="H5" s="34" t="e">
        <f>INDEX('from internet'!$1:$1048576,MATCH($A5,'from internet'!$A:$A,),MATCH(H$4,'from internet'!$1:$1,))</f>
        <v>#N/A</v>
      </c>
      <c r="I5" s="35"/>
      <c r="J5" s="35"/>
    </row>
    <row r="6" spans="1:10" ht="24" customHeight="1">
      <c r="A6" s="27" t="s">
        <v>23</v>
      </c>
      <c r="B6" s="28" t="s">
        <v>60</v>
      </c>
      <c r="C6" s="29" t="s">
        <v>61</v>
      </c>
      <c r="D6" s="30" t="e">
        <f>INDEX('from internet'!$1:$1048576,MATCH($A6,'from internet'!$A:$A,),MATCH(D$4,'from internet'!$1:$1,))</f>
        <v>#N/A</v>
      </c>
      <c r="E6" s="31" t="e">
        <f>INDEX('from internet'!$1:$1048576,MATCH($A6,'from internet'!$A:$A,),MATCH(E$4,'from internet'!$1:$1,))</f>
        <v>#N/A</v>
      </c>
      <c r="F6" s="32" t="e">
        <f>INDEX('from internet'!$1:$1048576,MATCH($A6,'from internet'!$A:$A,),MATCH(F$4,'from internet'!$1:$1,))</f>
        <v>#N/A</v>
      </c>
      <c r="G6" s="33" t="e">
        <f>INDEX('from internet'!$1:$1048576,MATCH($A6,'from internet'!$A:$A,),MATCH(G$4,'from internet'!$1:$1,))</f>
        <v>#N/A</v>
      </c>
      <c r="H6" s="34" t="e">
        <f>INDEX('from internet'!$1:$1048576,MATCH($A6,'from internet'!$A:$A,),MATCH(H$4,'from internet'!$1:$1,))</f>
        <v>#N/A</v>
      </c>
      <c r="I6" s="35"/>
      <c r="J6" s="35"/>
    </row>
    <row r="7" spans="1:10" ht="24" customHeight="1">
      <c r="A7" s="27" t="s">
        <v>7</v>
      </c>
      <c r="B7" s="28" t="s">
        <v>62</v>
      </c>
      <c r="C7" s="29" t="s">
        <v>61</v>
      </c>
      <c r="D7" s="30" t="e">
        <f>INDEX('from internet'!$1:$1048576,MATCH($A7,'from internet'!$A:$A,),MATCH(D$4,'from internet'!$1:$1,))</f>
        <v>#N/A</v>
      </c>
      <c r="E7" s="31" t="e">
        <f>INDEX('from internet'!$1:$1048576,MATCH($A7,'from internet'!$A:$A,),MATCH(E$4,'from internet'!$1:$1,))</f>
        <v>#N/A</v>
      </c>
      <c r="F7" s="32" t="e">
        <f>INDEX('from internet'!$1:$1048576,MATCH($A7,'from internet'!$A:$A,),MATCH(F$4,'from internet'!$1:$1,))</f>
        <v>#N/A</v>
      </c>
      <c r="G7" s="33" t="e">
        <f>INDEX('from internet'!$1:$1048576,MATCH($A7,'from internet'!$A:$A,),MATCH(G$4,'from internet'!$1:$1,))</f>
        <v>#N/A</v>
      </c>
      <c r="H7" s="34" t="e">
        <f>INDEX('from internet'!$1:$1048576,MATCH($A7,'from internet'!$A:$A,),MATCH(H$4,'from internet'!$1:$1,))</f>
        <v>#N/A</v>
      </c>
      <c r="I7" s="35"/>
      <c r="J7" s="35"/>
    </row>
    <row r="8" spans="1:10" ht="24" customHeight="1">
      <c r="A8" s="27" t="s">
        <v>13</v>
      </c>
      <c r="B8" s="28" t="s">
        <v>63</v>
      </c>
      <c r="C8" s="29" t="s">
        <v>59</v>
      </c>
      <c r="D8" s="30" t="e">
        <f>INDEX('from internet'!$1:$1048576,MATCH($A8,'from internet'!$A:$A,),MATCH(D$4,'from internet'!$1:$1,))</f>
        <v>#N/A</v>
      </c>
      <c r="E8" s="31" t="e">
        <f>INDEX('from internet'!$1:$1048576,MATCH($A8,'from internet'!$A:$A,),MATCH(E$4,'from internet'!$1:$1,))</f>
        <v>#N/A</v>
      </c>
      <c r="F8" s="32" t="e">
        <f>INDEX('from internet'!$1:$1048576,MATCH($A8,'from internet'!$A:$A,),MATCH(F$4,'from internet'!$1:$1,))</f>
        <v>#N/A</v>
      </c>
      <c r="G8" s="33" t="e">
        <f>INDEX('from internet'!$1:$1048576,MATCH($A8,'from internet'!$A:$A,),MATCH(G$4,'from internet'!$1:$1,))</f>
        <v>#N/A</v>
      </c>
      <c r="H8" s="34" t="e">
        <f>INDEX('from internet'!$1:$1048576,MATCH($A8,'from internet'!$A:$A,),MATCH(H$4,'from internet'!$1:$1,))</f>
        <v>#N/A</v>
      </c>
      <c r="I8" s="35"/>
      <c r="J8" s="35"/>
    </row>
    <row r="9" spans="1:10" ht="24" customHeight="1">
      <c r="A9" s="27" t="s">
        <v>11</v>
      </c>
      <c r="B9" s="28" t="s">
        <v>10</v>
      </c>
      <c r="C9" s="29" t="s">
        <v>59</v>
      </c>
      <c r="D9" s="30" t="e">
        <f>INDEX('from internet'!$1:$1048576,MATCH($A9,'from internet'!$A:$A,),MATCH(D$4,'from internet'!$1:$1,))</f>
        <v>#N/A</v>
      </c>
      <c r="E9" s="31" t="e">
        <f>INDEX('from internet'!$1:$1048576,MATCH($A9,'from internet'!$A:$A,),MATCH(E$4,'from internet'!$1:$1,))</f>
        <v>#N/A</v>
      </c>
      <c r="F9" s="32" t="e">
        <f>INDEX('from internet'!$1:$1048576,MATCH($A9,'from internet'!$A:$A,),MATCH(F$4,'from internet'!$1:$1,))</f>
        <v>#N/A</v>
      </c>
      <c r="G9" s="33" t="e">
        <f>INDEX('from internet'!$1:$1048576,MATCH($A9,'from internet'!$A:$A,),MATCH(G$4,'from internet'!$1:$1,))</f>
        <v>#N/A</v>
      </c>
      <c r="H9" s="34" t="e">
        <f>INDEX('from internet'!$1:$1048576,MATCH($A9,'from internet'!$A:$A,),MATCH(H$4,'from internet'!$1:$1,))</f>
        <v>#N/A</v>
      </c>
      <c r="I9" s="35"/>
      <c r="J9" s="35"/>
    </row>
    <row r="10" spans="1:10" ht="24" customHeight="1">
      <c r="A10" s="36" t="s">
        <v>27</v>
      </c>
      <c r="B10" s="37" t="s">
        <v>64</v>
      </c>
      <c r="C10" s="38">
        <v>41375</v>
      </c>
      <c r="D10" s="30" t="e">
        <f>INDEX('from internet'!$1:$1048576,MATCH($A10,'from internet'!$A:$A,),MATCH(D$4,'from internet'!$1:$1,))</f>
        <v>#N/A</v>
      </c>
      <c r="E10" s="31" t="e">
        <f>INDEX('from internet'!$1:$1048576,MATCH($A10,'from internet'!$A:$A,),MATCH(E$4,'from internet'!$1:$1,))</f>
        <v>#N/A</v>
      </c>
      <c r="F10" s="32" t="e">
        <f>INDEX('from internet'!$1:$1048576,MATCH($A10,'from internet'!$A:$A,),MATCH(F$4,'from internet'!$1:$1,))</f>
        <v>#N/A</v>
      </c>
      <c r="G10" s="33" t="e">
        <f>INDEX('from internet'!$1:$1048576,MATCH($A10,'from internet'!$A:$A,),MATCH(G$4,'from internet'!$1:$1,))</f>
        <v>#N/A</v>
      </c>
      <c r="H10" s="34" t="e">
        <f>INDEX('from internet'!$1:$1048576,MATCH($A10,'from internet'!$A:$A,),MATCH(H$4,'from internet'!$1:$1,))</f>
        <v>#N/A</v>
      </c>
      <c r="I10" s="35"/>
      <c r="J10" s="35"/>
    </row>
    <row r="11" spans="1:10" ht="24" customHeight="1">
      <c r="A11" s="27" t="s">
        <v>31</v>
      </c>
      <c r="B11" s="28" t="s">
        <v>30</v>
      </c>
      <c r="C11" s="29" t="s">
        <v>61</v>
      </c>
      <c r="D11" s="30" t="e">
        <f>INDEX('from internet'!$1:$1048576,MATCH($A11,'from internet'!$A:$A,),MATCH(D$4,'from internet'!$1:$1,))</f>
        <v>#N/A</v>
      </c>
      <c r="E11" s="31" t="e">
        <f>INDEX('from internet'!$1:$1048576,MATCH($A11,'from internet'!$A:$A,),MATCH(E$4,'from internet'!$1:$1,))</f>
        <v>#N/A</v>
      </c>
      <c r="F11" s="32" t="e">
        <f>INDEX('from internet'!$1:$1048576,MATCH($A11,'from internet'!$A:$A,),MATCH(F$4,'from internet'!$1:$1,))</f>
        <v>#N/A</v>
      </c>
      <c r="G11" s="33" t="e">
        <f>INDEX('from internet'!$1:$1048576,MATCH($A11,'from internet'!$A:$A,),MATCH(G$4,'from internet'!$1:$1,))</f>
        <v>#N/A</v>
      </c>
      <c r="H11" s="34" t="e">
        <f>INDEX('from internet'!$1:$1048576,MATCH($A11,'from internet'!$A:$A,),MATCH(H$4,'from internet'!$1:$1,))</f>
        <v>#N/A</v>
      </c>
      <c r="I11" s="35"/>
      <c r="J11" s="35"/>
    </row>
    <row r="12" spans="1:10" ht="24" customHeight="1">
      <c r="A12" s="27" t="s">
        <v>36</v>
      </c>
      <c r="B12" s="28" t="s">
        <v>53</v>
      </c>
      <c r="C12" s="29" t="s">
        <v>59</v>
      </c>
      <c r="D12" s="30" t="e">
        <f>INDEX('from internet'!$1:$1048576,MATCH($A12,'from internet'!$A:$A,),MATCH(D$4,'from internet'!$1:$1,))</f>
        <v>#N/A</v>
      </c>
      <c r="E12" s="31" t="e">
        <f>INDEX('from internet'!$1:$1048576,MATCH($A12,'from internet'!$A:$A,),MATCH(E$4,'from internet'!$1:$1,))</f>
        <v>#N/A</v>
      </c>
      <c r="F12" s="32" t="e">
        <f>INDEX('from internet'!$1:$1048576,MATCH($A12,'from internet'!$A:$A,),MATCH(F$4,'from internet'!$1:$1,))</f>
        <v>#N/A</v>
      </c>
      <c r="G12" s="33" t="e">
        <f>INDEX('from internet'!$1:$1048576,MATCH($A12,'from internet'!$A:$A,),MATCH(G$4,'from internet'!$1:$1,))</f>
        <v>#N/A</v>
      </c>
      <c r="H12" s="34" t="e">
        <f>INDEX('from internet'!$1:$1048576,MATCH($A12,'from internet'!$A:$A,),MATCH(H$4,'from internet'!$1:$1,))</f>
        <v>#N/A</v>
      </c>
      <c r="I12" s="35"/>
      <c r="J12" s="35"/>
    </row>
    <row r="13" spans="1:10" ht="24" customHeight="1">
      <c r="A13" s="27" t="s">
        <v>54</v>
      </c>
      <c r="B13" s="28" t="s">
        <v>55</v>
      </c>
      <c r="C13" s="29" t="s">
        <v>59</v>
      </c>
      <c r="D13" s="30" t="e">
        <f>INDEX('from internet'!$1:$1048576,MATCH($A13,'from internet'!$A:$A,),MATCH(D$4,'from internet'!$1:$1,))</f>
        <v>#N/A</v>
      </c>
      <c r="E13" s="31" t="e">
        <f>INDEX('from internet'!$1:$1048576,MATCH($A13,'from internet'!$A:$A,),MATCH(E$4,'from internet'!$1:$1,))</f>
        <v>#N/A</v>
      </c>
      <c r="F13" s="32" t="e">
        <f>INDEX('from internet'!$1:$1048576,MATCH($A13,'from internet'!$A:$A,),MATCH(F$4,'from internet'!$1:$1,))</f>
        <v>#N/A</v>
      </c>
      <c r="G13" s="33" t="e">
        <f>INDEX('from internet'!$1:$1048576,MATCH($A13,'from internet'!$A:$A,),MATCH(G$4,'from internet'!$1:$1,))</f>
        <v>#N/A</v>
      </c>
      <c r="H13" s="34" t="e">
        <f>INDEX('from internet'!$1:$1048576,MATCH($A13,'from internet'!$A:$A,),MATCH(H$4,'from internet'!$1:$1,))</f>
        <v>#N/A</v>
      </c>
      <c r="I13" s="35"/>
      <c r="J13" s="35"/>
    </row>
    <row r="14" spans="1:10" ht="24" customHeight="1">
      <c r="A14" s="27" t="s">
        <v>9</v>
      </c>
      <c r="B14" s="28" t="s">
        <v>65</v>
      </c>
      <c r="C14" s="29" t="s">
        <v>59</v>
      </c>
      <c r="D14" s="30" t="e">
        <f>INDEX('from internet'!$1:$1048576,MATCH($A14,'from internet'!$A:$A,),MATCH(D$4,'from internet'!$1:$1,))</f>
        <v>#N/A</v>
      </c>
      <c r="E14" s="31" t="e">
        <f>INDEX('from internet'!$1:$1048576,MATCH($A14,'from internet'!$A:$A,),MATCH(E$4,'from internet'!$1:$1,))</f>
        <v>#N/A</v>
      </c>
      <c r="F14" s="32" t="e">
        <f>INDEX('from internet'!$1:$1048576,MATCH($A14,'from internet'!$A:$A,),MATCH(F$4,'from internet'!$1:$1,))</f>
        <v>#N/A</v>
      </c>
      <c r="G14" s="33" t="e">
        <f>INDEX('from internet'!$1:$1048576,MATCH($A14,'from internet'!$A:$A,),MATCH(G$4,'from internet'!$1:$1,))</f>
        <v>#N/A</v>
      </c>
      <c r="H14" s="34" t="e">
        <f>INDEX('from internet'!$1:$1048576,MATCH($A14,'from internet'!$A:$A,),MATCH(H$4,'from internet'!$1:$1,))</f>
        <v>#N/A</v>
      </c>
      <c r="I14" s="35"/>
      <c r="J14" s="35"/>
    </row>
    <row r="15" spans="1:10" ht="24" customHeight="1">
      <c r="A15" s="27" t="s">
        <v>21</v>
      </c>
      <c r="B15" s="28" t="s">
        <v>66</v>
      </c>
      <c r="C15" s="29" t="s">
        <v>59</v>
      </c>
      <c r="D15" s="30" t="e">
        <f>INDEX('from internet'!$1:$1048576,MATCH($A15,'from internet'!$A:$A,),MATCH(D$4,'from internet'!$1:$1,))</f>
        <v>#N/A</v>
      </c>
      <c r="E15" s="31" t="e">
        <f>INDEX('from internet'!$1:$1048576,MATCH($A15,'from internet'!$A:$A,),MATCH(E$4,'from internet'!$1:$1,))</f>
        <v>#N/A</v>
      </c>
      <c r="F15" s="32" t="e">
        <f>INDEX('from internet'!$1:$1048576,MATCH($A15,'from internet'!$A:$A,),MATCH(F$4,'from internet'!$1:$1,))</f>
        <v>#N/A</v>
      </c>
      <c r="G15" s="33" t="e">
        <f>INDEX('from internet'!$1:$1048576,MATCH($A15,'from internet'!$A:$A,),MATCH(G$4,'from internet'!$1:$1,))</f>
        <v>#N/A</v>
      </c>
      <c r="H15" s="34" t="e">
        <f>INDEX('from internet'!$1:$1048576,MATCH($A15,'from internet'!$A:$A,),MATCH(H$4,'from internet'!$1:$1,))</f>
        <v>#N/A</v>
      </c>
      <c r="I15" s="35"/>
      <c r="J15" s="35"/>
    </row>
    <row r="16" spans="1:10" ht="24" customHeight="1">
      <c r="A16" s="27" t="s">
        <v>15</v>
      </c>
      <c r="B16" s="28" t="s">
        <v>14</v>
      </c>
      <c r="C16" s="29"/>
      <c r="D16" s="30" t="e">
        <f>INDEX('from internet'!$1:$1048576,MATCH($A16,'from internet'!$A:$A,),MATCH(D$4,'from internet'!$1:$1,))</f>
        <v>#N/A</v>
      </c>
      <c r="E16" s="31" t="e">
        <f>INDEX('from internet'!$1:$1048576,MATCH($A16,'from internet'!$A:$A,),MATCH(E$4,'from internet'!$1:$1,))</f>
        <v>#N/A</v>
      </c>
      <c r="F16" s="32" t="e">
        <f>INDEX('from internet'!$1:$1048576,MATCH($A16,'from internet'!$A:$A,),MATCH(F$4,'from internet'!$1:$1,))</f>
        <v>#N/A</v>
      </c>
      <c r="G16" s="33" t="e">
        <f>INDEX('from internet'!$1:$1048576,MATCH($A16,'from internet'!$A:$A,),MATCH(G$4,'from internet'!$1:$1,))</f>
        <v>#N/A</v>
      </c>
      <c r="H16" s="34" t="e">
        <f>INDEX('from internet'!$1:$1048576,MATCH($A16,'from internet'!$A:$A,),MATCH(H$4,'from internet'!$1:$1,))</f>
        <v>#N/A</v>
      </c>
      <c r="I16" s="35"/>
      <c r="J16" s="35"/>
    </row>
    <row r="17" spans="1:10" ht="24" customHeight="1">
      <c r="A17" s="36" t="s">
        <v>29</v>
      </c>
      <c r="B17" s="37" t="s">
        <v>28</v>
      </c>
      <c r="C17" s="38"/>
      <c r="D17" s="30" t="e">
        <f>INDEX('from internet'!$1:$1048576,MATCH($A17,'from internet'!$A:$A,),MATCH(D$4,'from internet'!$1:$1,))</f>
        <v>#N/A</v>
      </c>
      <c r="E17" s="31" t="e">
        <f>INDEX('from internet'!$1:$1048576,MATCH($A17,'from internet'!$A:$A,),MATCH(E$4,'from internet'!$1:$1,))</f>
        <v>#N/A</v>
      </c>
      <c r="F17" s="32" t="e">
        <f>INDEX('from internet'!$1:$1048576,MATCH($A17,'from internet'!$A:$A,),MATCH(F$4,'from internet'!$1:$1,))</f>
        <v>#N/A</v>
      </c>
      <c r="G17" s="33" t="e">
        <f>INDEX('from internet'!$1:$1048576,MATCH($A17,'from internet'!$A:$A,),MATCH(G$4,'from internet'!$1:$1,))</f>
        <v>#N/A</v>
      </c>
      <c r="H17" s="34" t="e">
        <f>INDEX('from internet'!$1:$1048576,MATCH($A17,'from internet'!$A:$A,),MATCH(H$4,'from internet'!$1:$1,))</f>
        <v>#N/A</v>
      </c>
      <c r="I17" s="35"/>
      <c r="J17" s="35"/>
    </row>
    <row r="18" spans="1:10" ht="24" customHeight="1">
      <c r="A18" s="27" t="s">
        <v>47</v>
      </c>
      <c r="B18" s="28" t="s">
        <v>67</v>
      </c>
      <c r="C18" s="29" t="s">
        <v>61</v>
      </c>
      <c r="D18" s="30" t="e">
        <f>INDEX('from internet'!$1:$1048576,MATCH($A18,'from internet'!$A:$A,),MATCH(D$4,'from internet'!$1:$1,))</f>
        <v>#N/A</v>
      </c>
      <c r="E18" s="31" t="e">
        <f>INDEX('from internet'!$1:$1048576,MATCH($A18,'from internet'!$A:$A,),MATCH(E$4,'from internet'!$1:$1,))</f>
        <v>#N/A</v>
      </c>
      <c r="F18" s="32" t="e">
        <f>INDEX('from internet'!$1:$1048576,MATCH($A18,'from internet'!$A:$A,),MATCH(F$4,'from internet'!$1:$1,))</f>
        <v>#N/A</v>
      </c>
      <c r="G18" s="33" t="e">
        <f>INDEX('from internet'!$1:$1048576,MATCH($A18,'from internet'!$A:$A,),MATCH(G$4,'from internet'!$1:$1,))</f>
        <v>#N/A</v>
      </c>
      <c r="H18" s="34" t="e">
        <f>INDEX('from internet'!$1:$1048576,MATCH($A18,'from internet'!$A:$A,),MATCH(H$4,'from internet'!$1:$1,))</f>
        <v>#N/A</v>
      </c>
      <c r="I18" s="35"/>
      <c r="J18" s="35"/>
    </row>
    <row r="19" spans="1:10" ht="24" customHeight="1">
      <c r="A19" s="27" t="s">
        <v>48</v>
      </c>
      <c r="B19" s="28" t="s">
        <v>68</v>
      </c>
      <c r="C19" s="29"/>
      <c r="D19" s="30" t="e">
        <f>INDEX('from internet'!$1:$1048576,MATCH($A19,'from internet'!$A:$A,),MATCH(D$4,'from internet'!$1:$1,))</f>
        <v>#N/A</v>
      </c>
      <c r="E19" s="31" t="e">
        <f>INDEX('from internet'!$1:$1048576,MATCH($A19,'from internet'!$A:$A,),MATCH(E$4,'from internet'!$1:$1,))</f>
        <v>#N/A</v>
      </c>
      <c r="F19" s="32" t="e">
        <f>INDEX('from internet'!$1:$1048576,MATCH($A19,'from internet'!$A:$A,),MATCH(F$4,'from internet'!$1:$1,))</f>
        <v>#N/A</v>
      </c>
      <c r="G19" s="33" t="e">
        <f>INDEX('from internet'!$1:$1048576,MATCH($A19,'from internet'!$A:$A,),MATCH(G$4,'from internet'!$1:$1,))</f>
        <v>#N/A</v>
      </c>
      <c r="H19" s="34" t="e">
        <f>INDEX('from internet'!$1:$1048576,MATCH($A19,'from internet'!$A:$A,),MATCH(H$4,'from internet'!$1:$1,))</f>
        <v>#N/A</v>
      </c>
      <c r="I19" s="35"/>
      <c r="J19" s="35"/>
    </row>
    <row r="20" spans="1:10" ht="24" customHeight="1">
      <c r="A20" s="36" t="s">
        <v>77</v>
      </c>
      <c r="B20" s="37" t="s">
        <v>78</v>
      </c>
      <c r="C20" s="38">
        <v>41375</v>
      </c>
      <c r="D20" s="30" t="e">
        <f>INDEX('from internet'!$1:$1048576,MATCH($A20,'from internet'!$A:$A,),MATCH(D$4,'from internet'!$1:$1,))</f>
        <v>#N/A</v>
      </c>
      <c r="E20" s="31" t="e">
        <f>INDEX('from internet'!$1:$1048576,MATCH($A20,'from internet'!$A:$A,),MATCH(E$4,'from internet'!$1:$1,))</f>
        <v>#N/A</v>
      </c>
      <c r="F20" s="32" t="e">
        <f>INDEX('from internet'!$1:$1048576,MATCH($A20,'from internet'!$A:$A,),MATCH(F$4,'from internet'!$1:$1,))</f>
        <v>#N/A</v>
      </c>
      <c r="G20" s="33" t="e">
        <f>INDEX('from internet'!$1:$1048576,MATCH($A20,'from internet'!$A:$A,),MATCH(G$4,'from internet'!$1:$1,))</f>
        <v>#N/A</v>
      </c>
      <c r="H20" s="34" t="e">
        <f>INDEX('from internet'!$1:$1048576,MATCH($A20,'from internet'!$A:$A,),MATCH(H$4,'from internet'!$1:$1,))</f>
        <v>#N/A</v>
      </c>
      <c r="I20" s="66"/>
      <c r="J20" s="66"/>
    </row>
    <row r="21" spans="1:10" ht="24" customHeight="1">
      <c r="A21" s="36" t="s">
        <v>25</v>
      </c>
      <c r="B21" s="37" t="s">
        <v>49</v>
      </c>
      <c r="C21" s="38">
        <v>41375</v>
      </c>
      <c r="D21" s="30" t="e">
        <f>INDEX('from internet'!$1:$1048576,MATCH($A21,'from internet'!$A:$A,),MATCH(D$4,'from internet'!$1:$1,))</f>
        <v>#N/A</v>
      </c>
      <c r="E21" s="31" t="e">
        <f>INDEX('from internet'!$1:$1048576,MATCH($A21,'from internet'!$A:$A,),MATCH(E$4,'from internet'!$1:$1,))</f>
        <v>#N/A</v>
      </c>
      <c r="F21" s="32" t="e">
        <f>INDEX('from internet'!$1:$1048576,MATCH($A21,'from internet'!$A:$A,),MATCH(F$4,'from internet'!$1:$1,))</f>
        <v>#N/A</v>
      </c>
      <c r="G21" s="33" t="e">
        <f>INDEX('from internet'!$1:$1048576,MATCH($A21,'from internet'!$A:$A,),MATCH(G$4,'from internet'!$1:$1,))</f>
        <v>#N/A</v>
      </c>
      <c r="H21" s="34" t="e">
        <f>INDEX('from internet'!$1:$1048576,MATCH($A21,'from internet'!$A:$A,),MATCH(H$4,'from internet'!$1:$1,))</f>
        <v>#N/A</v>
      </c>
      <c r="I21" s="35"/>
      <c r="J21" s="35"/>
    </row>
    <row r="22" spans="1:10" ht="24" customHeight="1">
      <c r="A22" s="27" t="s">
        <v>34</v>
      </c>
      <c r="B22" s="28" t="s">
        <v>69</v>
      </c>
      <c r="C22" s="29" t="s">
        <v>70</v>
      </c>
      <c r="D22" s="30" t="e">
        <f>INDEX('from internet'!$1:$1048576,MATCH($A22,'from internet'!$A:$A,),MATCH(D$4,'from internet'!$1:$1,))</f>
        <v>#N/A</v>
      </c>
      <c r="E22" s="31" t="e">
        <f>INDEX('from internet'!$1:$1048576,MATCH($A22,'from internet'!$A:$A,),MATCH(E$4,'from internet'!$1:$1,))</f>
        <v>#N/A</v>
      </c>
      <c r="F22" s="32" t="e">
        <f>INDEX('from internet'!$1:$1048576,MATCH($A22,'from internet'!$A:$A,),MATCH(F$4,'from internet'!$1:$1,))</f>
        <v>#N/A</v>
      </c>
      <c r="G22" s="33" t="e">
        <f>INDEX('from internet'!$1:$1048576,MATCH($A22,'from internet'!$A:$A,),MATCH(G$4,'from internet'!$1:$1,))</f>
        <v>#N/A</v>
      </c>
      <c r="H22" s="34" t="e">
        <f>INDEX('from internet'!$1:$1048576,MATCH($A22,'from internet'!$A:$A,),MATCH(H$4,'from internet'!$1:$1,))</f>
        <v>#N/A</v>
      </c>
      <c r="I22" s="35"/>
      <c r="J22" s="35"/>
    </row>
    <row r="23" spans="1:10" ht="24" customHeight="1">
      <c r="A23" s="27" t="s">
        <v>52</v>
      </c>
      <c r="B23" s="28" t="s">
        <v>71</v>
      </c>
      <c r="C23" s="29" t="s">
        <v>61</v>
      </c>
      <c r="D23" s="30" t="e">
        <f>INDEX('from internet'!$1:$1048576,MATCH($A23,'from internet'!$A:$A,),MATCH(D$4,'from internet'!$1:$1,))</f>
        <v>#N/A</v>
      </c>
      <c r="E23" s="31" t="e">
        <f>INDEX('from internet'!$1:$1048576,MATCH($A23,'from internet'!$A:$A,),MATCH(E$4,'from internet'!$1:$1,))</f>
        <v>#N/A</v>
      </c>
      <c r="F23" s="32" t="e">
        <f>INDEX('from internet'!$1:$1048576,MATCH($A23,'from internet'!$A:$A,),MATCH(F$4,'from internet'!$1:$1,))</f>
        <v>#N/A</v>
      </c>
      <c r="G23" s="33" t="e">
        <f>INDEX('from internet'!$1:$1048576,MATCH($A23,'from internet'!$A:$A,),MATCH(G$4,'from internet'!$1:$1,))</f>
        <v>#N/A</v>
      </c>
      <c r="H23" s="34" t="e">
        <f>INDEX('from internet'!$1:$1048576,MATCH($A23,'from internet'!$A:$A,),MATCH(H$4,'from internet'!$1:$1,))</f>
        <v>#N/A</v>
      </c>
      <c r="I23" s="35"/>
      <c r="J23" s="35"/>
    </row>
    <row r="24" spans="1:10" ht="24" customHeight="1">
      <c r="A24" s="27" t="s">
        <v>50</v>
      </c>
      <c r="B24" s="37" t="s">
        <v>51</v>
      </c>
      <c r="C24" s="38">
        <v>41375</v>
      </c>
      <c r="D24" s="30" t="e">
        <f>INDEX('from internet'!$1:$1048576,MATCH($A24,'from internet'!$A:$A,),MATCH(D$4,'from internet'!$1:$1,))</f>
        <v>#N/A</v>
      </c>
      <c r="E24" s="31" t="e">
        <f>INDEX('from internet'!$1:$1048576,MATCH($A24,'from internet'!$A:$A,),MATCH(E$4,'from internet'!$1:$1,))</f>
        <v>#N/A</v>
      </c>
      <c r="F24" s="32" t="e">
        <f>INDEX('from internet'!$1:$1048576,MATCH($A24,'from internet'!$A:$A,),MATCH(F$4,'from internet'!$1:$1,))</f>
        <v>#N/A</v>
      </c>
      <c r="G24" s="33" t="e">
        <f>INDEX('from internet'!$1:$1048576,MATCH($A24,'from internet'!$A:$A,),MATCH(G$4,'from internet'!$1:$1,))</f>
        <v>#N/A</v>
      </c>
      <c r="H24" s="34" t="e">
        <f>INDEX('from internet'!$1:$1048576,MATCH($A24,'from internet'!$A:$A,),MATCH(H$4,'from internet'!$1:$1,))</f>
        <v>#N/A</v>
      </c>
      <c r="I24" s="35"/>
      <c r="J24" s="35"/>
    </row>
    <row r="25" spans="1:10" ht="24" customHeight="1">
      <c r="A25" s="36" t="s">
        <v>33</v>
      </c>
      <c r="B25" s="37" t="s">
        <v>72</v>
      </c>
      <c r="C25" s="38"/>
      <c r="D25" s="30" t="e">
        <f>INDEX('from internet'!$1:$1048576,MATCH($A25,'from internet'!$A:$A,),MATCH(D$4,'from internet'!$1:$1,))</f>
        <v>#N/A</v>
      </c>
      <c r="E25" s="31" t="e">
        <f>INDEX('from internet'!$1:$1048576,MATCH($A25,'from internet'!$A:$A,),MATCH(E$4,'from internet'!$1:$1,))</f>
        <v>#N/A</v>
      </c>
      <c r="F25" s="32" t="e">
        <f>INDEX('from internet'!$1:$1048576,MATCH($A25,'from internet'!$A:$A,),MATCH(F$4,'from internet'!$1:$1,))</f>
        <v>#N/A</v>
      </c>
      <c r="G25" s="33" t="e">
        <f>INDEX('from internet'!$1:$1048576,MATCH($A25,'from internet'!$A:$A,),MATCH(G$4,'from internet'!$1:$1,))</f>
        <v>#N/A</v>
      </c>
      <c r="H25" s="34" t="e">
        <f>INDEX('from internet'!$1:$1048576,MATCH($A25,'from internet'!$A:$A,),MATCH(H$4,'from internet'!$1:$1,))</f>
        <v>#N/A</v>
      </c>
      <c r="I25" s="35"/>
      <c r="J25" s="35"/>
    </row>
    <row r="26" spans="1:10" ht="24" customHeight="1">
      <c r="A26" s="39"/>
      <c r="B26" s="40"/>
      <c r="C26" s="41"/>
      <c r="D26" s="42"/>
      <c r="E26" s="43"/>
      <c r="F26" s="44"/>
      <c r="G26" s="45"/>
      <c r="H26" s="46"/>
    </row>
    <row r="27" spans="1:10" ht="24" customHeight="1">
      <c r="A27" s="39"/>
      <c r="B27" s="40"/>
      <c r="C27" s="41"/>
      <c r="D27" s="42"/>
      <c r="E27" s="47"/>
      <c r="G27" s="45"/>
      <c r="H27" s="46"/>
    </row>
    <row r="28" spans="1:10" ht="24" customHeight="1">
      <c r="A28" s="39"/>
      <c r="B28" s="40"/>
      <c r="C28" s="41"/>
      <c r="D28" s="42"/>
      <c r="E28" s="47"/>
      <c r="F28" s="44"/>
      <c r="G28" s="48"/>
      <c r="H28" s="46"/>
    </row>
    <row r="29" spans="1:10" ht="24" customHeight="1">
      <c r="A29" s="39"/>
      <c r="B29" s="40"/>
      <c r="C29" s="41"/>
      <c r="D29" s="42"/>
      <c r="E29" s="47"/>
      <c r="F29" s="44"/>
      <c r="G29" s="45"/>
      <c r="H29" s="46"/>
    </row>
    <row r="30" spans="1:10" ht="24" customHeight="1">
      <c r="A30" s="39"/>
      <c r="B30" s="40"/>
      <c r="C30" s="41"/>
      <c r="D30" s="42"/>
      <c r="E30" s="47"/>
      <c r="F30" s="44"/>
      <c r="G30" s="45"/>
      <c r="H30" s="46"/>
    </row>
    <row r="31" spans="1:10" ht="24" customHeight="1">
      <c r="A31" s="39"/>
      <c r="B31" s="40"/>
      <c r="C31" s="41"/>
      <c r="D31" s="42"/>
      <c r="E31" s="47"/>
      <c r="F31" s="44"/>
      <c r="G31" s="45"/>
      <c r="H31" s="46"/>
    </row>
    <row r="32" spans="1:10" ht="24" customHeight="1">
      <c r="A32" s="39"/>
      <c r="B32" s="40"/>
      <c r="C32" s="41"/>
      <c r="D32" s="42"/>
      <c r="E32" s="47"/>
      <c r="F32" s="44"/>
      <c r="G32" s="45"/>
      <c r="H32" s="46"/>
    </row>
    <row r="33" spans="1:8" ht="24" customHeight="1">
      <c r="A33" s="39"/>
      <c r="B33" s="40"/>
      <c r="C33" s="41"/>
      <c r="D33" s="42"/>
      <c r="E33" s="47"/>
      <c r="F33" s="44"/>
      <c r="G33" s="45"/>
      <c r="H33" s="46"/>
    </row>
    <row r="35" spans="1:8" ht="24" customHeight="1">
      <c r="A35" s="39"/>
      <c r="B35" s="40"/>
      <c r="C35" s="41"/>
      <c r="D35" s="42"/>
      <c r="E35" s="47"/>
      <c r="F35" s="44"/>
      <c r="G35" s="45"/>
      <c r="H35" s="46"/>
    </row>
    <row r="36" spans="1:8" ht="24" customHeight="1">
      <c r="A36" s="39"/>
      <c r="B36" s="40"/>
      <c r="C36" s="41"/>
      <c r="D36" s="42"/>
      <c r="E36" s="47"/>
      <c r="F36" s="44"/>
      <c r="G36" s="45"/>
      <c r="H36" s="46"/>
    </row>
    <row r="37" spans="1:8" ht="24" customHeight="1">
      <c r="A37" s="39"/>
      <c r="B37" s="40"/>
      <c r="C37" s="41"/>
      <c r="D37" s="42"/>
      <c r="E37" s="47"/>
      <c r="F37" s="44"/>
      <c r="G37" s="45"/>
      <c r="H37" s="46"/>
    </row>
    <row r="38" spans="1:8" ht="24" customHeight="1">
      <c r="A38" s="39"/>
      <c r="B38" s="40"/>
      <c r="C38" s="41"/>
      <c r="D38" s="42"/>
      <c r="E38" s="47"/>
      <c r="F38" s="44"/>
      <c r="G38" s="45"/>
      <c r="H38" s="46"/>
    </row>
    <row r="39" spans="1:8" ht="24" customHeight="1">
      <c r="A39" s="39"/>
      <c r="B39" s="40"/>
      <c r="C39" s="41"/>
      <c r="D39" s="42"/>
      <c r="E39" s="47"/>
      <c r="F39" s="44"/>
      <c r="G39" s="45"/>
      <c r="H39" s="46"/>
    </row>
  </sheetData>
  <mergeCells count="2">
    <mergeCell ref="C3:D3"/>
    <mergeCell ref="E3:F3"/>
  </mergeCells>
  <conditionalFormatting sqref="E5:F25">
    <cfRule type="cellIs" dxfId="1" priority="3" operator="equal">
      <formula>0</formula>
    </cfRule>
    <cfRule type="cellIs" dxfId="0" priority="4" operator="lessThan">
      <formula>0</formula>
    </cfRule>
    <cfRule type="colorScale" priority="5">
      <colorScale>
        <cfvo type="formula" val="&quot;&lt;0&quot;"/>
        <cfvo type="formula" val="0"/>
        <cfvo type="num" val="&quot;&gt;0&quot;"/>
        <color rgb="FFFF0000"/>
        <color theme="1"/>
        <color rgb="FF00B050"/>
      </colorScale>
    </cfRule>
  </conditionalFormatting>
  <hyperlinks>
    <hyperlink ref="A22" r:id="rId1" tooltip="RIO.AX" display="https://finance.yahoo.com/quote/RIO.AX" xr:uid="{51ECA917-D6D0-4CE5-87BF-A0B854D3AA65}"/>
    <hyperlink ref="A12" r:id="rId2" tooltip="^HSI" display="https://finance.yahoo.com/quote/%5EHSI" xr:uid="{B3015EB2-F07D-4B24-BE4C-9975A30C2C62}"/>
    <hyperlink ref="A11" r:id="rId3" tooltip="6881.HK" display="https://finance.yahoo.com/quote/6881.HK" xr:uid="{1533FC3E-9898-46B2-968B-4196B9F2EAA0}"/>
    <hyperlink ref="A6" r:id="rId4" tooltip="3988.HK" display="https://finance.yahoo.com/quote/3988.HK" xr:uid="{90CBBFF2-FC67-4CB5-8B86-58C7E4C18FEA}"/>
    <hyperlink ref="A7" r:id="rId5" tooltip="0005.HK" display="https://finance.yahoo.com/quote/0005.HK" xr:uid="{9DE0B737-FA59-4A1B-8891-5A044FBC01E9}"/>
    <hyperlink ref="A14" r:id="rId6" tooltip="0175.HK" display="https://finance.yahoo.com/quote/0175.HK" xr:uid="{D659100F-F19B-4515-BFC0-DEAA583B12E5}"/>
    <hyperlink ref="A9" r:id="rId7" tooltip="0388.HK" display="https://finance.yahoo.com/quote/0388.HK" xr:uid="{EDD4277A-9373-4F42-9D4B-D5787CFDFB48}"/>
    <hyperlink ref="A8" r:id="rId8" tooltip="0700.HK" display="https://finance.yahoo.com/quote/0700.HK" xr:uid="{322002AD-34BA-4072-93A2-D854C99EB7BB}"/>
    <hyperlink ref="A5" r:id="rId9" tooltip="1288.HK" display="https://finance.yahoo.com/quote/1288.HK" xr:uid="{94C03D90-23F4-4AF4-9A72-25F2BFE02CEC}"/>
    <hyperlink ref="A15" r:id="rId10" tooltip="2333.HK" display="https://finance.yahoo.com/quote/2333.HK" xr:uid="{2C34B26E-ABF2-4BDF-BF77-C9D5C859CD32}"/>
    <hyperlink ref="A23" r:id="rId11" tooltip="0762.HK" display="https://finance.yahoo.com/quote/0762.HK" xr:uid="{1A0F7CDD-724D-4A43-B759-C52DFAAA8220}"/>
    <hyperlink ref="A18" r:id="rId12" tooltip="2899.HK" display="https://finance.yahoo.com/quote/2899.HK" xr:uid="{A51F84D0-A41B-46CE-9B93-56C99B6668F4}"/>
    <hyperlink ref="A13" r:id="rId13" tooltip="^HSI" display="https://finance.yahoo.com/quote/%5EHSI" xr:uid="{59C17DB3-6449-4A8A-A9C7-24743509F9DD}"/>
  </hyperlinks>
  <printOptions horizontalCentered="1"/>
  <pageMargins left="0.2" right="0.2" top="0.2" bottom="0.2" header="0.3" footer="0.3"/>
  <pageSetup paperSize="9" scale="84" orientation="landscape" horizontalDpi="4294967293"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D7B4-FE69-42F5-A98E-269D618B96A9}">
  <sheetPr>
    <tabColor rgb="FF92D050"/>
  </sheetPr>
  <dimension ref="A1:Z1220"/>
  <sheetViews>
    <sheetView showGridLines="0" view="pageBreakPreview" zoomScale="145" zoomScaleNormal="100" zoomScaleSheetLayoutView="145" workbookViewId="0">
      <pane ySplit="1" topLeftCell="A2" activePane="bottomLeft" state="frozen"/>
      <selection activeCell="C11" sqref="C11:H11"/>
      <selection pane="bottomLeft" activeCell="Y7" sqref="Y7"/>
    </sheetView>
  </sheetViews>
  <sheetFormatPr defaultColWidth="9.109375" defaultRowHeight="14.4"/>
  <cols>
    <col min="1" max="17" width="3.6640625" style="49" customWidth="1"/>
    <col min="18" max="18" width="19.88671875" style="49" bestFit="1" customWidth="1"/>
    <col min="19" max="19" width="6.6640625" style="49" customWidth="1"/>
    <col min="20" max="20" width="15.109375" style="49" hidden="1" customWidth="1"/>
    <col min="21" max="24" width="2" style="49" customWidth="1"/>
    <col min="25" max="25" width="6.44140625" style="49" bestFit="1" customWidth="1"/>
    <col min="26" max="26" width="11.33203125" style="49" customWidth="1"/>
    <col min="27" max="16384" width="9.109375" style="49"/>
  </cols>
  <sheetData>
    <row r="1" spans="1:26">
      <c r="A1" s="106">
        <v>44596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26" s="51" customFormat="1" ht="17.2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3" spans="1:26" s="53" customFormat="1" ht="17.399999999999999">
      <c r="A3" s="52"/>
      <c r="B3" s="52"/>
      <c r="C3" s="107" t="s">
        <v>73</v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52"/>
    </row>
    <row r="4" spans="1:26" s="53" customFormat="1" ht="17.399999999999999">
      <c r="A4" s="52"/>
      <c r="B4" s="54">
        <v>1</v>
      </c>
      <c r="C4" s="55" t="str">
        <f>"Transfer "&amp;Z4&amp;" ("&amp;Y4&amp;")"</f>
        <v>Transfer Great Wall Motor (2333)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2"/>
      <c r="R4" s="63" t="str">
        <f>B4&amp;") "&amp;Z4&amp;" ("&amp;Y4&amp;")"</f>
        <v>1) Great Wall Motor (2333)</v>
      </c>
      <c r="Y4" s="64">
        <v>2333</v>
      </c>
      <c r="Z4" s="64" t="s">
        <v>20</v>
      </c>
    </row>
    <row r="5" spans="1:26" s="53" customFormat="1" ht="17.399999999999999">
      <c r="A5" s="52"/>
      <c r="B5" s="52"/>
      <c r="C5" s="55" t="str">
        <f>"from "&amp;C8</f>
        <v>from Deutsche Bank Personal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2"/>
      <c r="R5" s="63" t="str">
        <f>C5&amp;" "&amp;C6</f>
        <v>from Deutsche Bank Personal to Morgan Stanley Titan no. 1</v>
      </c>
    </row>
    <row r="6" spans="1:26" s="53" customFormat="1" ht="17.399999999999999">
      <c r="A6" s="52"/>
      <c r="B6" s="52"/>
      <c r="C6" s="57" t="str">
        <f>"to "&amp;K8</f>
        <v>to Morgan Stanley Titan no. 1</v>
      </c>
      <c r="D6" s="57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2"/>
      <c r="R6" s="63" t="str">
        <f>C7</f>
        <v>800,000 shares</v>
      </c>
    </row>
    <row r="7" spans="1:26" s="53" customFormat="1" ht="17.399999999999999">
      <c r="A7" s="52"/>
      <c r="B7" s="52"/>
      <c r="C7" s="55" t="str">
        <f>TEXT(E10,"#,##0")&amp;" shares"</f>
        <v>800,000 shares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2"/>
      <c r="R7" s="63">
        <f>N12</f>
        <v>3.9508000000000001</v>
      </c>
    </row>
    <row r="8" spans="1:26" s="53" customFormat="1" ht="17.399999999999999">
      <c r="A8" s="52"/>
      <c r="B8" s="52"/>
      <c r="C8" s="58" t="s">
        <v>39</v>
      </c>
      <c r="D8" s="52"/>
      <c r="E8" s="52"/>
      <c r="F8" s="52"/>
      <c r="G8" s="52"/>
      <c r="H8" s="52"/>
      <c r="I8" s="52"/>
      <c r="J8" s="52"/>
      <c r="K8" s="58" t="s">
        <v>74</v>
      </c>
      <c r="L8" s="52"/>
      <c r="M8" s="52"/>
      <c r="N8" s="52"/>
      <c r="O8" s="52"/>
      <c r="P8" s="52"/>
      <c r="Q8" s="52"/>
    </row>
    <row r="9" spans="1:26" s="53" customFormat="1" ht="17.399999999999999">
      <c r="A9" s="52"/>
      <c r="B9" s="52"/>
      <c r="C9" s="52"/>
      <c r="D9" s="52"/>
      <c r="E9" s="104">
        <v>1766650</v>
      </c>
      <c r="F9" s="104"/>
      <c r="G9" s="104"/>
      <c r="H9" s="104"/>
      <c r="I9" s="52"/>
      <c r="J9" s="52"/>
      <c r="K9" s="52"/>
      <c r="L9" s="52"/>
      <c r="M9" s="104">
        <v>0</v>
      </c>
      <c r="N9" s="104"/>
      <c r="O9" s="104"/>
      <c r="P9" s="104"/>
      <c r="Q9" s="52"/>
    </row>
    <row r="10" spans="1:26" s="53" customFormat="1" ht="17.399999999999999">
      <c r="A10" s="52"/>
      <c r="B10" s="52"/>
      <c r="C10" s="52"/>
      <c r="D10" s="59" t="s">
        <v>40</v>
      </c>
      <c r="E10" s="108">
        <v>800000</v>
      </c>
      <c r="F10" s="108"/>
      <c r="G10" s="108"/>
      <c r="H10" s="108"/>
      <c r="I10" s="52"/>
      <c r="J10" s="52"/>
      <c r="K10" s="52"/>
      <c r="L10" s="59" t="s">
        <v>37</v>
      </c>
      <c r="M10" s="108">
        <f>E10</f>
        <v>800000</v>
      </c>
      <c r="N10" s="108"/>
      <c r="O10" s="108"/>
      <c r="P10" s="108"/>
      <c r="Q10" s="52"/>
    </row>
    <row r="11" spans="1:26" s="53" customFormat="1" ht="17.399999999999999">
      <c r="A11" s="52"/>
      <c r="B11" s="52"/>
      <c r="C11" s="52"/>
      <c r="D11" s="60" t="s">
        <v>75</v>
      </c>
      <c r="E11" s="104">
        <f>E9-E10</f>
        <v>966650</v>
      </c>
      <c r="F11" s="104"/>
      <c r="G11" s="104"/>
      <c r="H11" s="104"/>
      <c r="I11" s="52"/>
      <c r="J11" s="52"/>
      <c r="K11" s="52"/>
      <c r="L11" s="60" t="s">
        <v>75</v>
      </c>
      <c r="M11" s="104">
        <f>M9+M10</f>
        <v>800000</v>
      </c>
      <c r="N11" s="104"/>
      <c r="O11" s="104"/>
      <c r="P11" s="104"/>
      <c r="Q11" s="52"/>
    </row>
    <row r="12" spans="1:26" s="53" customFormat="1" ht="17.399999999999999">
      <c r="A12" s="52"/>
      <c r="B12" s="52"/>
      <c r="C12" s="52"/>
      <c r="D12" s="52"/>
      <c r="E12" s="52"/>
      <c r="F12" s="61"/>
      <c r="G12" s="61"/>
      <c r="H12" s="61"/>
      <c r="I12" s="52"/>
      <c r="J12" s="52"/>
      <c r="K12" s="52" t="s">
        <v>38</v>
      </c>
      <c r="L12" s="52"/>
      <c r="M12" s="52"/>
      <c r="N12" s="105">
        <v>3.9508000000000001</v>
      </c>
      <c r="O12" s="105"/>
      <c r="P12" s="105"/>
      <c r="Q12" s="52"/>
    </row>
    <row r="13" spans="1:26" s="53" customFormat="1" ht="16.350000000000001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26" s="53" customFormat="1" ht="16.350000000000001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26" s="53" customFormat="1" ht="16.350000000000001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26" s="53" customFormat="1" ht="16.350000000000001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</row>
    <row r="17" spans="1:17" s="53" customFormat="1" ht="16.350000000000001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s="53" customFormat="1" ht="16.350000000000001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</row>
    <row r="19" spans="1:17" s="53" customFormat="1" ht="16.350000000000001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s="53" customFormat="1" ht="16.350000000000001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</row>
    <row r="21" spans="1:17" s="53" customFormat="1" ht="16.350000000000001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</row>
    <row r="22" spans="1:17" s="53" customFormat="1" ht="16.350000000000001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</row>
    <row r="23" spans="1:17" s="53" customFormat="1" ht="16.350000000000001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</row>
    <row r="24" spans="1:17" s="53" customFormat="1" ht="16.350000000000001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</row>
    <row r="25" spans="1:17" s="53" customFormat="1" ht="16.350000000000001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</row>
    <row r="26" spans="1:17" s="53" customFormat="1" ht="16.350000000000001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</row>
    <row r="27" spans="1:17" s="53" customFormat="1" ht="16.350000000000001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</row>
    <row r="28" spans="1:17" s="53" customFormat="1" ht="16.350000000000001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</row>
    <row r="29" spans="1:17" s="53" customFormat="1" ht="16.350000000000001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</row>
    <row r="30" spans="1:17" s="53" customFormat="1" ht="16.350000000000001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</row>
    <row r="31" spans="1:17" s="53" customFormat="1" ht="16.350000000000001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</row>
    <row r="32" spans="1:17" s="53" customFormat="1" ht="16.350000000000001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</row>
    <row r="33" spans="1:17" s="53" customFormat="1" ht="16.350000000000001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</row>
    <row r="34" spans="1:17" s="53" customFormat="1" ht="16.350000000000001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</row>
    <row r="35" spans="1:17" s="53" customFormat="1" ht="16.350000000000001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</row>
    <row r="36" spans="1:17" s="53" customFormat="1" ht="16.350000000000001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</row>
    <row r="37" spans="1:17" s="53" customFormat="1" ht="16.350000000000001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</row>
    <row r="38" spans="1:17" s="53" customFormat="1" ht="16.350000000000001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</row>
    <row r="39" spans="1:17" s="53" customFormat="1" ht="16.350000000000001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</row>
    <row r="40" spans="1:17" s="53" customFormat="1" ht="16.350000000000001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</row>
    <row r="41" spans="1:17" s="53" customFormat="1" ht="16.350000000000001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</row>
    <row r="42" spans="1:17" s="53" customFormat="1" ht="16.350000000000001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</row>
    <row r="43" spans="1:17" s="53" customFormat="1" ht="16.350000000000001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</row>
    <row r="44" spans="1:17" s="53" customFormat="1" ht="16.350000000000001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</row>
    <row r="45" spans="1:17" s="53" customFormat="1" ht="16.350000000000001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</row>
    <row r="46" spans="1:17" s="53" customFormat="1" ht="16.350000000000001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</row>
    <row r="47" spans="1:17" s="53" customFormat="1" ht="16.350000000000001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</row>
    <row r="48" spans="1:17" s="53" customFormat="1" ht="16.350000000000001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</row>
    <row r="49" spans="1:17" s="53" customFormat="1" ht="16.350000000000001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</row>
    <row r="50" spans="1:17" s="53" customFormat="1" ht="16.350000000000001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</row>
    <row r="51" spans="1:17" s="53" customFormat="1" ht="16.350000000000001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</row>
    <row r="52" spans="1:17" s="53" customFormat="1" ht="16.350000000000001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</row>
    <row r="53" spans="1:17" s="53" customFormat="1" ht="16.350000000000001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</row>
    <row r="54" spans="1:17" s="53" customFormat="1" ht="16.350000000000001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</row>
    <row r="55" spans="1:17" s="53" customFormat="1" ht="16.350000000000001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</row>
    <row r="56" spans="1:17" s="53" customFormat="1" ht="16.350000000000001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</row>
    <row r="57" spans="1:17" s="53" customFormat="1" ht="16.350000000000001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</row>
    <row r="58" spans="1:17" s="53" customFormat="1" ht="16.350000000000001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</row>
    <row r="59" spans="1:17" s="53" customFormat="1" ht="16.350000000000001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</row>
    <row r="60" spans="1:17" s="53" customFormat="1" ht="16.350000000000001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</row>
    <row r="61" spans="1:17" s="53" customFormat="1" ht="16.350000000000001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</row>
    <row r="62" spans="1:17" s="53" customFormat="1" ht="16.350000000000001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</row>
    <row r="63" spans="1:17" s="53" customFormat="1" ht="16.350000000000001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</row>
    <row r="64" spans="1:17" s="53" customFormat="1" ht="16.350000000000001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</row>
    <row r="65" spans="1:17" s="53" customFormat="1" ht="16.350000000000001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</row>
    <row r="66" spans="1:17" s="53" customFormat="1" ht="16.350000000000001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</row>
    <row r="67" spans="1:17" s="53" customFormat="1" ht="16.350000000000001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</row>
    <row r="68" spans="1:17" s="53" customFormat="1" ht="16.350000000000001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</row>
    <row r="69" spans="1:17" s="53" customFormat="1" ht="16.350000000000001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</row>
    <row r="70" spans="1:17" s="53" customFormat="1" ht="16.350000000000001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</row>
    <row r="71" spans="1:17" s="53" customFormat="1" ht="16.350000000000001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</row>
    <row r="72" spans="1:17" s="53" customFormat="1" ht="16.350000000000001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</row>
    <row r="73" spans="1:17" s="53" customFormat="1" ht="16.350000000000001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</row>
    <row r="74" spans="1:17" s="53" customFormat="1" ht="16.350000000000001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</row>
    <row r="75" spans="1:17" s="53" customFormat="1" ht="16.350000000000001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</row>
    <row r="76" spans="1:17" s="53" customFormat="1" ht="16.350000000000001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</row>
    <row r="77" spans="1:17" s="53" customFormat="1" ht="16.350000000000001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</row>
    <row r="78" spans="1:17" s="53" customFormat="1" ht="16.350000000000001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</row>
    <row r="79" spans="1:17" s="53" customFormat="1" ht="16.350000000000001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</row>
    <row r="80" spans="1:17" s="53" customFormat="1" ht="16.350000000000001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</row>
    <row r="81" spans="1:17" s="53" customFormat="1" ht="16.350000000000001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</row>
    <row r="82" spans="1:17" s="53" customFormat="1" ht="16.350000000000001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</row>
    <row r="83" spans="1:17" s="53" customFormat="1" ht="16.350000000000001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</row>
    <row r="84" spans="1:17" s="53" customFormat="1" ht="16.350000000000001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</row>
    <row r="85" spans="1:17" s="53" customFormat="1" ht="16.350000000000001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</row>
    <row r="86" spans="1:17" s="53" customFormat="1" ht="16.350000000000001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</row>
    <row r="87" spans="1:17" s="53" customFormat="1" ht="16.350000000000001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</row>
    <row r="88" spans="1:17" s="53" customFormat="1" ht="16.350000000000001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</row>
    <row r="89" spans="1:17" s="53" customFormat="1" ht="16.350000000000001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</row>
    <row r="90" spans="1:17" s="53" customFormat="1" ht="16.350000000000001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</row>
    <row r="91" spans="1:17" s="53" customFormat="1" ht="16.350000000000001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</row>
    <row r="92" spans="1:17" s="53" customFormat="1" ht="16.350000000000001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</row>
    <row r="93" spans="1:17" s="53" customFormat="1" ht="16.350000000000001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</row>
    <row r="94" spans="1:17" s="53" customFormat="1" ht="16.350000000000001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</row>
    <row r="95" spans="1:17" s="53" customFormat="1" ht="16.350000000000001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</row>
    <row r="96" spans="1:17" s="53" customFormat="1" ht="16.350000000000001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</row>
    <row r="97" spans="1:17" s="53" customFormat="1" ht="16.350000000000001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</row>
    <row r="98" spans="1:17" s="53" customFormat="1" ht="16.350000000000001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</row>
    <row r="99" spans="1:17" s="53" customFormat="1" ht="16.350000000000001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</row>
    <row r="100" spans="1:17" s="53" customFormat="1" ht="16.350000000000001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</row>
    <row r="101" spans="1:17" s="53" customFormat="1" ht="16.350000000000001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</row>
    <row r="102" spans="1:17" s="53" customFormat="1" ht="16.350000000000001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</row>
    <row r="103" spans="1:17" s="53" customFormat="1" ht="16.350000000000001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</row>
    <row r="104" spans="1:17" s="53" customFormat="1" ht="16.350000000000001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</row>
    <row r="105" spans="1:17" s="53" customFormat="1" ht="16.350000000000001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</row>
    <row r="106" spans="1:17" s="53" customFormat="1" ht="16.350000000000001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</row>
    <row r="107" spans="1:17" s="53" customFormat="1" ht="16.350000000000001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</row>
    <row r="108" spans="1:17" s="53" customFormat="1" ht="16.350000000000001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</row>
    <row r="109" spans="1:17" s="53" customFormat="1" ht="16.350000000000001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</row>
    <row r="110" spans="1:17" s="53" customFormat="1" ht="16.350000000000001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</row>
    <row r="111" spans="1:17" s="53" customFormat="1" ht="16.350000000000001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</row>
    <row r="112" spans="1:17" s="53" customFormat="1" ht="16.350000000000001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</row>
    <row r="113" spans="1:17" s="53" customFormat="1" ht="16.350000000000001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</row>
    <row r="114" spans="1:17" s="53" customFormat="1" ht="16.350000000000001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</row>
    <row r="115" spans="1:17" s="53" customFormat="1" ht="16.350000000000001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</row>
    <row r="116" spans="1:17" s="53" customFormat="1" ht="16.350000000000001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</row>
    <row r="117" spans="1:17" s="53" customFormat="1" ht="16.350000000000001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</row>
    <row r="118" spans="1:17" s="53" customFormat="1" ht="16.350000000000001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</row>
    <row r="119" spans="1:17" s="53" customFormat="1" ht="16.350000000000001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</row>
    <row r="120" spans="1:17" s="53" customFormat="1" ht="16.350000000000001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</row>
    <row r="121" spans="1:17" s="53" customFormat="1" ht="16.350000000000001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</row>
    <row r="122" spans="1:17" s="53" customFormat="1" ht="16.350000000000001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</row>
    <row r="123" spans="1:17" s="53" customFormat="1" ht="16.350000000000001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</row>
    <row r="124" spans="1:17" s="53" customFormat="1" ht="16.350000000000001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</row>
    <row r="125" spans="1:17" s="53" customFormat="1" ht="16.350000000000001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</row>
    <row r="126" spans="1:17" s="53" customFormat="1" ht="16.350000000000001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</row>
    <row r="127" spans="1:17" s="53" customFormat="1" ht="16.350000000000001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</row>
    <row r="128" spans="1:17" s="53" customFormat="1" ht="16.350000000000001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</row>
    <row r="129" spans="1:17" s="53" customFormat="1" ht="16.350000000000001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</row>
    <row r="130" spans="1:17" s="53" customFormat="1" ht="16.350000000000001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</row>
    <row r="131" spans="1:17" s="53" customFormat="1" ht="16.350000000000001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</row>
    <row r="132" spans="1:17" s="53" customFormat="1" ht="16.350000000000001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</row>
    <row r="133" spans="1:17" s="53" customFormat="1" ht="16.350000000000001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</row>
    <row r="134" spans="1:17" s="53" customFormat="1" ht="16.350000000000001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</row>
    <row r="135" spans="1:17" s="53" customFormat="1" ht="16.350000000000001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</row>
    <row r="136" spans="1:17" s="53" customFormat="1" ht="16.350000000000001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</row>
    <row r="137" spans="1:17" s="53" customFormat="1" ht="16.350000000000001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</row>
    <row r="138" spans="1:17" s="53" customFormat="1" ht="16.350000000000001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</row>
    <row r="139" spans="1:17" s="53" customFormat="1" ht="16.350000000000001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</row>
    <row r="140" spans="1:17" s="53" customFormat="1" ht="16.350000000000001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</row>
    <row r="141" spans="1:17" s="53" customFormat="1" ht="16.350000000000001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</row>
    <row r="142" spans="1:17" s="53" customFormat="1" ht="16.350000000000001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</row>
    <row r="143" spans="1:17" s="53" customFormat="1" ht="16.350000000000001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</row>
    <row r="144" spans="1:17" s="53" customFormat="1" ht="16.350000000000001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</row>
    <row r="145" spans="1:17" s="53" customFormat="1" ht="16.350000000000001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</row>
    <row r="146" spans="1:17" s="53" customFormat="1" ht="16.350000000000001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</row>
    <row r="147" spans="1:17" s="53" customFormat="1" ht="16.350000000000001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</row>
    <row r="148" spans="1:17" s="53" customFormat="1" ht="16.350000000000001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</row>
    <row r="149" spans="1:17" s="53" customFormat="1" ht="16.350000000000001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</row>
    <row r="150" spans="1:17" s="53" customFormat="1" ht="16.350000000000001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</row>
    <row r="151" spans="1:17" s="53" customFormat="1" ht="16.350000000000001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</row>
    <row r="152" spans="1:17" s="53" customFormat="1" ht="16.350000000000001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</row>
    <row r="153" spans="1:17" s="53" customFormat="1" ht="16.350000000000001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</row>
    <row r="154" spans="1:17" s="53" customFormat="1" ht="16.350000000000001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</row>
    <row r="155" spans="1:17" s="53" customFormat="1" ht="16.350000000000001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</row>
    <row r="156" spans="1:17" s="53" customFormat="1" ht="16.350000000000001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</row>
    <row r="157" spans="1:17" s="53" customFormat="1" ht="16.350000000000001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</row>
    <row r="158" spans="1:17" s="53" customFormat="1" ht="16.350000000000001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</row>
    <row r="159" spans="1:17" s="53" customFormat="1" ht="16.350000000000001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</row>
    <row r="160" spans="1:17" s="53" customFormat="1" ht="16.350000000000001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</row>
    <row r="161" spans="1:17" s="53" customFormat="1" ht="16.350000000000001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</row>
    <row r="162" spans="1:17" s="53" customFormat="1" ht="16.350000000000001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</row>
    <row r="163" spans="1:17" s="53" customFormat="1" ht="16.350000000000001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</row>
    <row r="164" spans="1:17" s="53" customFormat="1" ht="16.350000000000001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</row>
    <row r="165" spans="1:17" s="53" customFormat="1" ht="16.350000000000001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</row>
    <row r="166" spans="1:17" s="53" customFormat="1" ht="16.350000000000001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</row>
    <row r="167" spans="1:17" s="53" customFormat="1" ht="16.350000000000001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</row>
    <row r="168" spans="1:17" s="53" customFormat="1" ht="16.350000000000001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</row>
    <row r="169" spans="1:17" s="53" customFormat="1" ht="16.350000000000001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</row>
    <row r="170" spans="1:17" s="53" customFormat="1" ht="16.350000000000001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</row>
    <row r="171" spans="1:17" s="53" customFormat="1" ht="16.350000000000001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</row>
    <row r="172" spans="1:17" s="53" customFormat="1" ht="16.350000000000001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</row>
    <row r="173" spans="1:17" s="53" customFormat="1" ht="16.350000000000001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</row>
    <row r="174" spans="1:17" s="53" customFormat="1" ht="16.350000000000001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</row>
    <row r="175" spans="1:17" s="53" customFormat="1" ht="16.350000000000001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</row>
    <row r="176" spans="1:17" s="53" customFormat="1" ht="16.350000000000001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</row>
    <row r="177" spans="1:17" s="53" customFormat="1" ht="16.350000000000001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</row>
    <row r="178" spans="1:17" s="53" customFormat="1" ht="16.350000000000001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</row>
    <row r="179" spans="1:17" s="53" customFormat="1" ht="16.350000000000001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</row>
    <row r="180" spans="1:17" s="53" customFormat="1" ht="16.350000000000001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</row>
    <row r="181" spans="1:17" s="53" customFormat="1" ht="16.350000000000001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</row>
    <row r="182" spans="1:17" s="53" customFormat="1" ht="16.350000000000001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</row>
    <row r="183" spans="1:17" s="53" customFormat="1" ht="16.350000000000001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</row>
    <row r="184" spans="1:17" s="53" customFormat="1" ht="16.350000000000001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</row>
    <row r="185" spans="1:17" s="53" customFormat="1" ht="16.350000000000001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</row>
    <row r="186" spans="1:17" s="53" customFormat="1" ht="16.350000000000001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</row>
    <row r="187" spans="1:17" s="53" customFormat="1" ht="16.350000000000001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</row>
    <row r="188" spans="1:17" s="53" customFormat="1" ht="16.350000000000001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</row>
    <row r="189" spans="1:17" s="53" customFormat="1" ht="16.350000000000001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</row>
    <row r="190" spans="1:17" s="53" customFormat="1" ht="16.350000000000001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</row>
    <row r="191" spans="1:17" s="53" customFormat="1" ht="16.350000000000001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</row>
    <row r="192" spans="1:17" s="53" customFormat="1" ht="16.350000000000001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</row>
    <row r="193" spans="1:17" s="53" customFormat="1" ht="16.350000000000001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</row>
    <row r="194" spans="1:17" s="53" customFormat="1" ht="16.350000000000001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</row>
    <row r="195" spans="1:17" s="53" customFormat="1" ht="16.350000000000001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</row>
    <row r="196" spans="1:17" s="53" customFormat="1" ht="16.350000000000001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</row>
    <row r="197" spans="1:17" s="53" customFormat="1" ht="16.350000000000001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</row>
    <row r="198" spans="1:17" s="53" customFormat="1" ht="16.350000000000001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</row>
    <row r="199" spans="1:17" s="53" customFormat="1" ht="16.350000000000001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</row>
    <row r="200" spans="1:17" s="53" customFormat="1" ht="16.350000000000001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</row>
    <row r="201" spans="1:17" s="53" customFormat="1" ht="16.350000000000001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</row>
    <row r="202" spans="1:17" s="53" customFormat="1" ht="16.350000000000001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</row>
    <row r="203" spans="1:17" s="53" customFormat="1" ht="16.350000000000001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</row>
    <row r="204" spans="1:17" s="53" customFormat="1" ht="16.350000000000001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</row>
    <row r="205" spans="1:17" s="53" customFormat="1" ht="16.350000000000001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</row>
    <row r="206" spans="1:17" s="53" customFormat="1" ht="16.350000000000001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</row>
    <row r="207" spans="1:17" s="53" customFormat="1" ht="16.350000000000001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</row>
    <row r="208" spans="1:17" s="53" customFormat="1" ht="16.350000000000001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</row>
    <row r="209" spans="1:17" s="53" customFormat="1" ht="16.350000000000001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</row>
    <row r="210" spans="1:17" s="53" customFormat="1" ht="16.350000000000001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</row>
    <row r="211" spans="1:17" s="53" customFormat="1" ht="16.350000000000001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</row>
    <row r="212" spans="1:17" s="53" customFormat="1" ht="16.350000000000001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</row>
    <row r="213" spans="1:17" s="53" customFormat="1" ht="16.350000000000001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</row>
    <row r="214" spans="1:17" s="53" customFormat="1" ht="16.350000000000001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</row>
    <row r="215" spans="1:17" s="53" customFormat="1" ht="16.350000000000001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</row>
    <row r="216" spans="1:17" s="53" customFormat="1" ht="16.350000000000001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</row>
    <row r="217" spans="1:17" s="53" customFormat="1" ht="16.350000000000001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</row>
    <row r="218" spans="1:17" s="53" customFormat="1" ht="16.350000000000001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</row>
    <row r="219" spans="1:17" s="53" customFormat="1" ht="16.350000000000001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</row>
    <row r="220" spans="1:17" s="53" customFormat="1" ht="16.350000000000001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</row>
    <row r="221" spans="1:17" s="53" customFormat="1" ht="16.350000000000001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</row>
    <row r="222" spans="1:17" s="53" customFormat="1" ht="16.350000000000001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</row>
    <row r="223" spans="1:17" s="53" customFormat="1" ht="16.350000000000001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</row>
    <row r="224" spans="1:17" s="53" customFormat="1" ht="16.350000000000001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</row>
    <row r="225" spans="1:17" s="53" customFormat="1" ht="16.350000000000001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</row>
    <row r="226" spans="1:17" s="53" customFormat="1" ht="16.350000000000001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</row>
    <row r="227" spans="1:17" s="53" customFormat="1" ht="16.350000000000001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</row>
    <row r="228" spans="1:17" s="53" customFormat="1" ht="16.350000000000001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</row>
    <row r="229" spans="1:17" s="53" customFormat="1" ht="16.350000000000001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</row>
    <row r="230" spans="1:17" s="53" customFormat="1" ht="16.350000000000001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</row>
    <row r="231" spans="1:17" s="53" customFormat="1" ht="16.350000000000001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</row>
    <row r="232" spans="1:17" s="53" customFormat="1" ht="16.350000000000001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</row>
    <row r="233" spans="1:17" s="53" customFormat="1" ht="16.350000000000001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</row>
    <row r="234" spans="1:17" s="53" customFormat="1" ht="16.350000000000001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</row>
    <row r="235" spans="1:17" s="53" customFormat="1" ht="16.350000000000001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</row>
    <row r="236" spans="1:17" s="53" customFormat="1" ht="16.350000000000001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</row>
    <row r="237" spans="1:17" s="53" customFormat="1" ht="16.350000000000001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</row>
    <row r="238" spans="1:17" s="53" customFormat="1" ht="16.350000000000001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</row>
    <row r="239" spans="1:17" s="53" customFormat="1" ht="16.350000000000001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</row>
    <row r="240" spans="1:17" s="53" customFormat="1" ht="16.350000000000001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</row>
    <row r="241" spans="1:17" s="53" customFormat="1" ht="16.350000000000001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</row>
    <row r="242" spans="1:17" s="53" customFormat="1" ht="16.350000000000001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</row>
    <row r="243" spans="1:17" s="53" customFormat="1" ht="16.350000000000001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</row>
    <row r="244" spans="1:17" s="53" customFormat="1" ht="16.350000000000001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</row>
    <row r="245" spans="1:17" s="53" customFormat="1" ht="16.350000000000001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</row>
    <row r="246" spans="1:17" s="53" customFormat="1" ht="16.350000000000001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</row>
    <row r="247" spans="1:17" s="53" customFormat="1" ht="16.350000000000001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</row>
    <row r="248" spans="1:17" s="53" customFormat="1" ht="16.350000000000001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</row>
    <row r="249" spans="1:17" s="53" customFormat="1" ht="16.350000000000001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</row>
    <row r="250" spans="1:17" s="53" customFormat="1" ht="16.350000000000001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</row>
    <row r="251" spans="1:17" s="53" customFormat="1" ht="16.350000000000001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</row>
    <row r="252" spans="1:17" s="53" customFormat="1" ht="16.350000000000001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</row>
    <row r="253" spans="1:17" s="53" customFormat="1" ht="16.350000000000001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</row>
    <row r="254" spans="1:17" s="53" customFormat="1" ht="16.350000000000001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</row>
    <row r="255" spans="1:17" s="53" customFormat="1" ht="16.350000000000001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</row>
    <row r="256" spans="1:17" s="53" customFormat="1" ht="16.350000000000001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</row>
    <row r="257" spans="1:17" s="53" customFormat="1" ht="16.350000000000001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</row>
    <row r="258" spans="1:17" s="53" customFormat="1" ht="16.350000000000001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</row>
    <row r="259" spans="1:17" s="53" customFormat="1" ht="16.350000000000001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</row>
    <row r="260" spans="1:17" s="53" customFormat="1" ht="16.350000000000001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</row>
    <row r="261" spans="1:17" s="53" customFormat="1" ht="16.350000000000001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</row>
    <row r="262" spans="1:17" s="53" customFormat="1" ht="16.350000000000001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</row>
    <row r="263" spans="1:17" s="53" customFormat="1" ht="16.350000000000001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</row>
    <row r="264" spans="1:17" s="53" customFormat="1" ht="16.350000000000001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</row>
    <row r="265" spans="1:17" s="53" customFormat="1" ht="16.350000000000001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</row>
    <row r="266" spans="1:17" s="53" customFormat="1" ht="16.350000000000001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</row>
    <row r="267" spans="1:17" s="53" customFormat="1" ht="16.350000000000001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</row>
    <row r="268" spans="1:17" s="53" customFormat="1" ht="16.350000000000001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</row>
    <row r="269" spans="1:17" s="53" customFormat="1" ht="16.350000000000001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</row>
    <row r="270" spans="1:17" s="53" customFormat="1" ht="16.350000000000001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</row>
    <row r="271" spans="1:17" s="53" customFormat="1" ht="16.350000000000001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</row>
    <row r="272" spans="1:17" s="53" customFormat="1" ht="16.350000000000001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</row>
    <row r="273" spans="1:17" s="53" customFormat="1" ht="16.350000000000001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</row>
    <row r="274" spans="1:17" s="53" customFormat="1" ht="16.350000000000001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</row>
    <row r="275" spans="1:17" s="53" customFormat="1" ht="16.350000000000001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</row>
    <row r="276" spans="1:17" s="53" customFormat="1" ht="16.350000000000001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</row>
    <row r="277" spans="1:17" s="53" customFormat="1" ht="16.350000000000001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</row>
    <row r="278" spans="1:17" s="53" customFormat="1" ht="16.350000000000001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</row>
    <row r="279" spans="1:17" s="53" customFormat="1" ht="16.350000000000001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</row>
    <row r="280" spans="1:17" s="53" customFormat="1" ht="16.350000000000001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</row>
    <row r="281" spans="1:17" s="53" customFormat="1" ht="16.350000000000001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</row>
    <row r="282" spans="1:17" s="53" customFormat="1" ht="16.350000000000001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</row>
    <row r="283" spans="1:17" s="53" customFormat="1" ht="16.350000000000001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</row>
    <row r="284" spans="1:17" s="53" customFormat="1" ht="16.350000000000001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</row>
    <row r="285" spans="1:17" s="53" customFormat="1" ht="16.350000000000001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</row>
    <row r="286" spans="1:17" s="53" customFormat="1" ht="16.350000000000001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</row>
    <row r="287" spans="1:17" s="53" customFormat="1" ht="16.350000000000001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</row>
    <row r="288" spans="1:17" s="53" customFormat="1" ht="16.350000000000001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</row>
    <row r="289" spans="1:17" s="53" customFormat="1" ht="16.350000000000001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</row>
    <row r="290" spans="1:17" s="53" customFormat="1" ht="16.350000000000001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</row>
    <row r="291" spans="1:17" s="53" customFormat="1" ht="16.350000000000001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</row>
    <row r="292" spans="1:17" s="53" customFormat="1" ht="16.350000000000001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</row>
    <row r="293" spans="1:17" s="53" customFormat="1" ht="16.350000000000001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</row>
    <row r="294" spans="1:17" s="53" customFormat="1" ht="16.350000000000001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</row>
    <row r="295" spans="1:17" s="53" customFormat="1" ht="16.350000000000001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</row>
    <row r="296" spans="1:17" s="53" customFormat="1" ht="16.350000000000001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</row>
    <row r="297" spans="1:17" s="53" customFormat="1" ht="16.350000000000001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</row>
    <row r="298" spans="1:17" s="53" customFormat="1" ht="16.350000000000001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</row>
    <row r="299" spans="1:17" s="53" customFormat="1" ht="16.350000000000001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</row>
    <row r="300" spans="1:17" s="53" customFormat="1" ht="16.350000000000001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</row>
    <row r="301" spans="1:17" s="53" customFormat="1" ht="16.350000000000001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</row>
    <row r="302" spans="1:17" s="53" customFormat="1" ht="16.350000000000001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</row>
    <row r="303" spans="1:17" s="53" customFormat="1" ht="16.350000000000001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</row>
    <row r="304" spans="1:17" s="53" customFormat="1" ht="16.350000000000001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</row>
    <row r="305" spans="1:17" s="53" customFormat="1" ht="16.350000000000001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</row>
    <row r="306" spans="1:17" s="53" customFormat="1" ht="16.350000000000001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</row>
    <row r="307" spans="1:17" s="53" customFormat="1" ht="16.350000000000001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</row>
    <row r="308" spans="1:17" s="53" customFormat="1" ht="16.350000000000001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</row>
    <row r="309" spans="1:17" s="53" customFormat="1" ht="16.350000000000001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</row>
    <row r="310" spans="1:17" s="53" customFormat="1" ht="16.350000000000001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</row>
    <row r="311" spans="1:17" s="53" customFormat="1" ht="16.350000000000001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</row>
    <row r="312" spans="1:17" s="53" customFormat="1" ht="16.350000000000001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</row>
    <row r="313" spans="1:17" s="53" customFormat="1" ht="16.350000000000001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</row>
    <row r="314" spans="1:17" s="53" customFormat="1" ht="16.350000000000001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</row>
    <row r="315" spans="1:17" s="53" customFormat="1" ht="16.350000000000001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</row>
    <row r="316" spans="1:17" s="53" customFormat="1" ht="16.350000000000001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</row>
    <row r="317" spans="1:17" s="53" customFormat="1" ht="16.350000000000001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</row>
    <row r="318" spans="1:17" s="53" customFormat="1" ht="16.350000000000001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</row>
    <row r="319" spans="1:17" s="53" customFormat="1" ht="16.350000000000001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</row>
    <row r="320" spans="1:17" s="53" customFormat="1" ht="16.350000000000001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</row>
    <row r="321" spans="1:17" s="53" customFormat="1" ht="16.350000000000001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</row>
    <row r="322" spans="1:17" s="53" customFormat="1" ht="16.350000000000001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</row>
    <row r="323" spans="1:17" s="53" customFormat="1" ht="16.350000000000001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</row>
    <row r="324" spans="1:17" s="53" customFormat="1" ht="16.350000000000001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</row>
    <row r="325" spans="1:17" s="53" customFormat="1" ht="16.350000000000001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</row>
    <row r="326" spans="1:17" s="53" customFormat="1" ht="16.350000000000001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</row>
    <row r="327" spans="1:17" s="53" customFormat="1" ht="16.350000000000001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</row>
    <row r="328" spans="1:17" s="53" customFormat="1" ht="16.350000000000001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</row>
    <row r="329" spans="1:17" s="53" customFormat="1" ht="16.350000000000001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</row>
    <row r="330" spans="1:17" s="53" customFormat="1" ht="16.350000000000001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</row>
    <row r="331" spans="1:17" s="53" customFormat="1" ht="16.350000000000001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</row>
    <row r="332" spans="1:17" s="53" customFormat="1" ht="16.350000000000001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</row>
    <row r="333" spans="1:17" s="53" customFormat="1" ht="16.350000000000001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</row>
    <row r="334" spans="1:17" s="53" customFormat="1" ht="16.350000000000001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</row>
    <row r="335" spans="1:17" s="53" customFormat="1" ht="16.350000000000001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</row>
    <row r="336" spans="1:17" s="53" customFormat="1" ht="16.350000000000001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</row>
    <row r="337" spans="1:17" s="53" customFormat="1" ht="16.350000000000001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</row>
    <row r="338" spans="1:17" s="53" customFormat="1" ht="16.350000000000001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</row>
    <row r="339" spans="1:17" s="53" customFormat="1" ht="16.350000000000001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</row>
    <row r="340" spans="1:17" s="53" customFormat="1" ht="16.350000000000001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</row>
    <row r="341" spans="1:17" s="53" customFormat="1" ht="16.350000000000001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</row>
    <row r="342" spans="1:17" s="53" customFormat="1" ht="16.350000000000001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</row>
    <row r="343" spans="1:17" s="53" customFormat="1" ht="16.350000000000001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</row>
    <row r="344" spans="1:17" s="53" customFormat="1" ht="16.350000000000001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</row>
    <row r="345" spans="1:17" s="53" customFormat="1" ht="16.350000000000001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</row>
    <row r="346" spans="1:17" s="53" customFormat="1" ht="16.350000000000001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</row>
    <row r="347" spans="1:17" s="53" customFormat="1" ht="16.350000000000001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</row>
    <row r="348" spans="1:17" s="53" customFormat="1" ht="16.350000000000001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</row>
    <row r="349" spans="1:17" s="53" customFormat="1" ht="16.350000000000001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</row>
    <row r="350" spans="1:17" s="53" customFormat="1" ht="16.350000000000001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</row>
    <row r="351" spans="1:17" s="53" customFormat="1" ht="16.350000000000001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</row>
    <row r="352" spans="1:17" s="53" customFormat="1" ht="16.350000000000001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</row>
    <row r="353" spans="1:17" s="53" customFormat="1" ht="16.350000000000001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</row>
    <row r="354" spans="1:17" s="53" customFormat="1" ht="16.350000000000001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</row>
    <row r="355" spans="1:17" s="53" customFormat="1" ht="16.350000000000001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</row>
    <row r="356" spans="1:17" s="53" customFormat="1" ht="16.350000000000001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</row>
    <row r="357" spans="1:17" s="53" customFormat="1" ht="16.350000000000001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</row>
    <row r="358" spans="1:17" s="53" customFormat="1" ht="16.350000000000001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</row>
    <row r="359" spans="1:17" s="53" customFormat="1" ht="16.350000000000001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</row>
    <row r="360" spans="1:17" s="53" customFormat="1" ht="16.350000000000001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</row>
    <row r="361" spans="1:17" s="53" customFormat="1" ht="16.350000000000001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</row>
    <row r="362" spans="1:17" s="53" customFormat="1" ht="16.350000000000001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</row>
    <row r="363" spans="1:17" s="53" customFormat="1" ht="16.350000000000001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</row>
    <row r="364" spans="1:17" s="53" customFormat="1" ht="16.350000000000001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</row>
    <row r="365" spans="1:17" s="53" customFormat="1" ht="16.350000000000001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</row>
    <row r="366" spans="1:17" s="53" customFormat="1" ht="16.350000000000001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</row>
    <row r="367" spans="1:17" s="53" customFormat="1" ht="16.350000000000001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</row>
    <row r="368" spans="1:17" s="53" customFormat="1" ht="16.350000000000001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</row>
    <row r="369" spans="1:17" s="53" customFormat="1" ht="16.350000000000001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</row>
    <row r="370" spans="1:17" s="53" customFormat="1" ht="16.350000000000001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</row>
    <row r="371" spans="1:17" s="53" customFormat="1" ht="16.350000000000001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</row>
    <row r="372" spans="1:17" s="53" customFormat="1" ht="16.350000000000001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</row>
    <row r="373" spans="1:17" s="53" customFormat="1" ht="16.350000000000001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</row>
    <row r="374" spans="1:17" s="53" customFormat="1" ht="16.350000000000001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</row>
    <row r="375" spans="1:17" s="53" customFormat="1" ht="16.350000000000001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</row>
    <row r="376" spans="1:17" s="53" customFormat="1" ht="16.350000000000001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</row>
    <row r="377" spans="1:17" s="53" customFormat="1" ht="16.350000000000001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</row>
    <row r="378" spans="1:17" s="53" customFormat="1" ht="16.350000000000001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</row>
    <row r="379" spans="1:17" s="53" customFormat="1" ht="16.350000000000001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</row>
    <row r="380" spans="1:17" s="53" customFormat="1" ht="16.350000000000001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</row>
    <row r="381" spans="1:17" s="53" customFormat="1" ht="16.350000000000001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</row>
    <row r="382" spans="1:17" s="53" customFormat="1" ht="16.350000000000001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</row>
    <row r="383" spans="1:17" s="53" customFormat="1" ht="16.350000000000001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</row>
    <row r="384" spans="1:17" s="53" customFormat="1" ht="16.350000000000001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</row>
    <row r="385" spans="1:17" s="53" customFormat="1" ht="16.350000000000001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</row>
    <row r="386" spans="1:17" s="53" customFormat="1" ht="16.350000000000001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</row>
    <row r="387" spans="1:17" s="53" customFormat="1" ht="16.350000000000001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</row>
    <row r="388" spans="1:17" s="53" customFormat="1" ht="16.350000000000001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</row>
    <row r="389" spans="1:17" s="53" customFormat="1" ht="16.350000000000001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</row>
    <row r="390" spans="1:17" s="53" customFormat="1" ht="16.350000000000001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</row>
    <row r="391" spans="1:17" s="53" customFormat="1" ht="16.350000000000001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</row>
    <row r="392" spans="1:17" s="53" customFormat="1" ht="16.350000000000001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</row>
    <row r="393" spans="1:17" s="53" customFormat="1" ht="16.350000000000001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</row>
    <row r="394" spans="1:17" s="53" customFormat="1" ht="16.350000000000001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</row>
    <row r="395" spans="1:17" s="53" customFormat="1" ht="16.350000000000001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</row>
    <row r="396" spans="1:17" s="53" customFormat="1" ht="16.350000000000001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</row>
    <row r="397" spans="1:17" s="53" customFormat="1" ht="16.350000000000001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</row>
    <row r="398" spans="1:17" s="53" customFormat="1" ht="16.350000000000001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</row>
    <row r="399" spans="1:17" s="53" customFormat="1" ht="16.350000000000001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</row>
    <row r="400" spans="1:17" s="53" customFormat="1" ht="16.350000000000001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</row>
    <row r="401" spans="1:17" s="53" customFormat="1" ht="16.350000000000001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</row>
    <row r="402" spans="1:17" s="53" customFormat="1" ht="16.350000000000001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</row>
    <row r="403" spans="1:17" s="53" customFormat="1" ht="16.350000000000001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</row>
    <row r="404" spans="1:17" s="53" customFormat="1" ht="16.350000000000001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</row>
    <row r="405" spans="1:17" s="53" customFormat="1" ht="16.350000000000001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</row>
    <row r="406" spans="1:17" s="53" customFormat="1" ht="16.350000000000001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</row>
    <row r="407" spans="1:17" s="53" customFormat="1" ht="16.350000000000001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</row>
    <row r="408" spans="1:17" s="53" customFormat="1" ht="16.350000000000001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</row>
    <row r="409" spans="1:17" s="53" customFormat="1" ht="16.350000000000001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</row>
    <row r="410" spans="1:17" s="53" customFormat="1" ht="16.350000000000001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</row>
    <row r="411" spans="1:17" s="53" customFormat="1" ht="16.350000000000001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</row>
    <row r="412" spans="1:17" s="53" customFormat="1" ht="16.350000000000001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</row>
    <row r="413" spans="1:17" s="53" customFormat="1" ht="16.350000000000001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</row>
    <row r="414" spans="1:17" s="53" customFormat="1" ht="16.350000000000001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</row>
    <row r="415" spans="1:17" s="53" customFormat="1" ht="16.350000000000001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</row>
    <row r="416" spans="1:17" s="53" customFormat="1" ht="16.350000000000001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</row>
    <row r="417" spans="1:17" s="53" customFormat="1" ht="16.350000000000001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</row>
    <row r="418" spans="1:17" s="53" customFormat="1" ht="16.350000000000001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</row>
    <row r="419" spans="1:17" s="53" customFormat="1" ht="16.350000000000001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</row>
    <row r="420" spans="1:17" s="53" customFormat="1" ht="16.350000000000001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</row>
    <row r="421" spans="1:17" s="53" customFormat="1" ht="16.350000000000001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</row>
    <row r="422" spans="1:17" s="53" customFormat="1" ht="16.350000000000001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</row>
    <row r="423" spans="1:17" s="53" customFormat="1" ht="16.350000000000001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</row>
    <row r="424" spans="1:17" s="53" customFormat="1" ht="16.350000000000001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</row>
    <row r="425" spans="1:17" s="53" customFormat="1" ht="16.350000000000001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</row>
    <row r="426" spans="1:17" s="53" customFormat="1" ht="16.350000000000001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</row>
    <row r="427" spans="1:17" s="53" customFormat="1" ht="16.350000000000001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</row>
    <row r="428" spans="1:17" s="53" customFormat="1" ht="16.350000000000001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</row>
    <row r="429" spans="1:17" s="53" customFormat="1" ht="16.350000000000001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</row>
    <row r="430" spans="1:17" s="53" customFormat="1" ht="16.350000000000001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</row>
    <row r="431" spans="1:17" s="53" customFormat="1" ht="16.350000000000001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</row>
    <row r="432" spans="1:17" s="53" customFormat="1" ht="16.350000000000001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</row>
    <row r="433" spans="1:17" s="53" customFormat="1" ht="16.350000000000001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</row>
    <row r="434" spans="1:17" s="53" customFormat="1" ht="16.350000000000001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</row>
    <row r="435" spans="1:17" s="53" customFormat="1" ht="16.350000000000001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</row>
    <row r="436" spans="1:17" s="53" customFormat="1" ht="16.350000000000001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</row>
    <row r="437" spans="1:17" s="53" customFormat="1" ht="16.350000000000001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</row>
    <row r="438" spans="1:17" s="53" customFormat="1" ht="16.350000000000001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</row>
    <row r="439" spans="1:17" s="53" customFormat="1" ht="16.350000000000001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</row>
    <row r="440" spans="1:17" s="53" customFormat="1" ht="16.350000000000001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</row>
    <row r="441" spans="1:17" s="53" customFormat="1" ht="16.350000000000001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</row>
    <row r="442" spans="1:17" s="53" customFormat="1" ht="16.350000000000001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</row>
    <row r="443" spans="1:17" s="53" customFormat="1" ht="16.350000000000001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</row>
    <row r="444" spans="1:17" s="53" customFormat="1" ht="16.350000000000001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</row>
    <row r="445" spans="1:17" s="53" customFormat="1" ht="16.350000000000001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</row>
    <row r="446" spans="1:17" s="53" customFormat="1" ht="16.350000000000001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</row>
    <row r="447" spans="1:17" s="53" customFormat="1" ht="16.350000000000001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</row>
    <row r="448" spans="1:17" s="53" customFormat="1" ht="16.350000000000001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</row>
    <row r="449" spans="1:17" s="53" customFormat="1" ht="16.350000000000001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</row>
    <row r="450" spans="1:17" s="53" customFormat="1" ht="16.350000000000001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</row>
    <row r="451" spans="1:17" s="53" customFormat="1" ht="16.350000000000001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</row>
    <row r="452" spans="1:17" s="53" customFormat="1" ht="16.350000000000001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</row>
    <row r="453" spans="1:17" s="53" customFormat="1" ht="16.350000000000001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</row>
    <row r="454" spans="1:17" s="53" customFormat="1" ht="16.350000000000001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</row>
    <row r="455" spans="1:17" s="53" customFormat="1" ht="16.350000000000001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</row>
    <row r="456" spans="1:17" s="53" customFormat="1" ht="16.350000000000001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</row>
    <row r="457" spans="1:17" s="53" customFormat="1" ht="16.350000000000001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</row>
    <row r="458" spans="1:17" s="53" customFormat="1" ht="16.350000000000001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</row>
    <row r="459" spans="1:17" s="53" customFormat="1" ht="16.350000000000001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</row>
    <row r="460" spans="1:17" s="53" customFormat="1" ht="16.350000000000001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</row>
    <row r="461" spans="1:17" s="53" customFormat="1" ht="16.350000000000001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</row>
    <row r="462" spans="1:17" s="53" customFormat="1" ht="16.350000000000001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</row>
    <row r="463" spans="1:17" s="53" customFormat="1" ht="16.350000000000001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</row>
    <row r="464" spans="1:17" s="53" customFormat="1" ht="16.350000000000001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</row>
    <row r="465" spans="1:17" s="53" customFormat="1" ht="16.350000000000001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</row>
    <row r="466" spans="1:17" s="53" customFormat="1" ht="16.350000000000001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</row>
    <row r="467" spans="1:17" s="53" customFormat="1" ht="16.350000000000001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</row>
    <row r="468" spans="1:17" s="53" customFormat="1" ht="16.350000000000001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</row>
    <row r="469" spans="1:17" s="53" customFormat="1" ht="16.350000000000001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</row>
    <row r="470" spans="1:17" s="53" customFormat="1" ht="16.350000000000001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</row>
    <row r="471" spans="1:17" s="53" customFormat="1" ht="16.350000000000001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</row>
    <row r="472" spans="1:17" s="53" customFormat="1" ht="16.350000000000001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</row>
    <row r="473" spans="1:17" s="53" customFormat="1" ht="16.350000000000001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</row>
    <row r="474" spans="1:17" s="53" customFormat="1" ht="16.350000000000001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</row>
    <row r="475" spans="1:17" s="53" customFormat="1" ht="16.350000000000001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</row>
    <row r="476" spans="1:17" s="53" customFormat="1" ht="16.350000000000001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</row>
    <row r="477" spans="1:17" s="53" customFormat="1" ht="16.350000000000001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</row>
    <row r="478" spans="1:17" s="53" customFormat="1" ht="16.350000000000001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</row>
    <row r="479" spans="1:17" s="53" customFormat="1" ht="16.350000000000001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</row>
    <row r="480" spans="1:17" s="53" customFormat="1" ht="16.350000000000001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</row>
    <row r="481" spans="1:17" s="53" customFormat="1" ht="16.350000000000001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</row>
    <row r="482" spans="1:17" s="53" customFormat="1" ht="16.350000000000001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</row>
    <row r="483" spans="1:17" s="53" customFormat="1" ht="16.350000000000001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</row>
    <row r="484" spans="1:17" s="53" customFormat="1" ht="16.350000000000001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</row>
    <row r="485" spans="1:17" s="53" customFormat="1" ht="16.350000000000001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</row>
    <row r="486" spans="1:17" s="53" customFormat="1" ht="16.350000000000001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</row>
    <row r="487" spans="1:17" s="53" customFormat="1" ht="16.350000000000001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</row>
    <row r="488" spans="1:17" s="53" customFormat="1" ht="16.350000000000001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</row>
    <row r="489" spans="1:17" s="53" customFormat="1" ht="16.350000000000001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</row>
    <row r="490" spans="1:17" s="53" customFormat="1" ht="16.350000000000001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</row>
    <row r="491" spans="1:17" s="53" customFormat="1" ht="16.350000000000001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</row>
    <row r="492" spans="1:17" s="53" customFormat="1" ht="16.350000000000001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</row>
    <row r="493" spans="1:17" s="53" customFormat="1" ht="16.350000000000001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</row>
    <row r="494" spans="1:17" s="53" customFormat="1" ht="16.350000000000001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</row>
    <row r="495" spans="1:17" s="53" customFormat="1" ht="16.350000000000001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</row>
    <row r="496" spans="1:17" s="53" customFormat="1" ht="16.350000000000001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</row>
    <row r="497" spans="1:17" s="53" customFormat="1" ht="16.350000000000001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</row>
    <row r="498" spans="1:17" s="53" customFormat="1" ht="16.350000000000001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</row>
    <row r="499" spans="1:17" s="53" customFormat="1" ht="16.350000000000001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</row>
    <row r="500" spans="1:17" s="53" customFormat="1" ht="16.350000000000001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</row>
    <row r="501" spans="1:17" s="53" customFormat="1" ht="16.350000000000001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</row>
    <row r="502" spans="1:17" s="53" customFormat="1" ht="16.350000000000001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</row>
    <row r="503" spans="1:17" s="53" customFormat="1" ht="16.350000000000001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</row>
    <row r="504" spans="1:17" s="53" customFormat="1" ht="16.350000000000001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</row>
    <row r="505" spans="1:17" s="53" customFormat="1" ht="16.350000000000001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</row>
    <row r="506" spans="1:17" s="53" customFormat="1" ht="16.350000000000001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</row>
    <row r="507" spans="1:17" s="53" customFormat="1" ht="16.350000000000001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</row>
    <row r="508" spans="1:17" s="53" customFormat="1" ht="16.350000000000001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</row>
    <row r="509" spans="1:17" s="53" customFormat="1" ht="16.350000000000001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</row>
    <row r="510" spans="1:17" s="53" customFormat="1" ht="16.350000000000001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</row>
    <row r="511" spans="1:17" s="53" customFormat="1" ht="16.350000000000001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</row>
    <row r="512" spans="1:17" s="53" customFormat="1" ht="16.350000000000001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</row>
    <row r="513" spans="1:17" s="53" customFormat="1" ht="16.350000000000001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</row>
    <row r="514" spans="1:17" s="53" customFormat="1" ht="16.350000000000001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</row>
    <row r="515" spans="1:17" s="53" customFormat="1" ht="16.350000000000001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</row>
    <row r="516" spans="1:17" s="53" customFormat="1" ht="16.350000000000001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</row>
    <row r="517" spans="1:17" s="53" customFormat="1" ht="16.350000000000001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</row>
    <row r="518" spans="1:17" s="53" customFormat="1" ht="16.350000000000001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</row>
    <row r="519" spans="1:17" s="53" customFormat="1" ht="16.350000000000001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</row>
    <row r="520" spans="1:17" s="53" customFormat="1" ht="16.350000000000001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</row>
    <row r="521" spans="1:17" s="53" customFormat="1" ht="16.350000000000001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</row>
    <row r="522" spans="1:17" s="53" customFormat="1" ht="16.350000000000001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</row>
    <row r="523" spans="1:17" s="53" customFormat="1" ht="16.350000000000001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</row>
    <row r="524" spans="1:17" s="53" customFormat="1" ht="16.350000000000001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</row>
    <row r="525" spans="1:17" s="53" customFormat="1" ht="16.350000000000001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</row>
    <row r="526" spans="1:17" s="53" customFormat="1" ht="16.350000000000001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</row>
    <row r="527" spans="1:17" s="53" customFormat="1" ht="16.350000000000001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7" s="53" customFormat="1" ht="16.350000000000001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</row>
    <row r="529" spans="1:17" s="53" customFormat="1" ht="16.350000000000001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</row>
    <row r="530" spans="1:17" s="53" customFormat="1" ht="16.350000000000001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</row>
    <row r="531" spans="1:17" s="53" customFormat="1" ht="16.350000000000001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spans="1:17" s="53" customFormat="1" ht="16.350000000000001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</row>
    <row r="533" spans="1:17" s="53" customFormat="1" ht="16.350000000000001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</row>
    <row r="534" spans="1:17" s="53" customFormat="1" ht="16.350000000000001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</row>
    <row r="535" spans="1:17" s="53" customFormat="1" ht="16.350000000000001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</row>
    <row r="536" spans="1:17" s="53" customFormat="1" ht="16.350000000000001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</row>
    <row r="537" spans="1:17" s="53" customFormat="1" ht="16.350000000000001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</row>
    <row r="538" spans="1:17" s="53" customFormat="1" ht="16.350000000000001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</row>
    <row r="539" spans="1:17" s="53" customFormat="1" ht="16.350000000000001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</row>
    <row r="540" spans="1:17" s="53" customFormat="1" ht="16.350000000000001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</row>
    <row r="541" spans="1:17" s="53" customFormat="1" ht="16.350000000000001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</row>
    <row r="542" spans="1:17" s="53" customFormat="1" ht="16.350000000000001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</row>
    <row r="543" spans="1:17" s="53" customFormat="1" ht="16.350000000000001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</row>
    <row r="544" spans="1:17" s="53" customFormat="1" ht="16.350000000000001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</row>
    <row r="545" spans="1:17" s="53" customFormat="1" ht="16.350000000000001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</row>
    <row r="546" spans="1:17" s="53" customFormat="1" ht="16.350000000000001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</row>
    <row r="547" spans="1:17" s="53" customFormat="1" ht="16.350000000000001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</row>
    <row r="548" spans="1:17" s="53" customFormat="1" ht="16.350000000000001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</row>
    <row r="549" spans="1:17" s="53" customFormat="1" ht="16.350000000000001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</row>
    <row r="550" spans="1:17" s="53" customFormat="1" ht="16.350000000000001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</row>
    <row r="551" spans="1:17" s="53" customFormat="1" ht="16.350000000000001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</row>
    <row r="552" spans="1:17" s="53" customFormat="1" ht="16.350000000000001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</row>
    <row r="553" spans="1:17" s="53" customFormat="1" ht="16.350000000000001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</row>
    <row r="554" spans="1:17" s="53" customFormat="1" ht="16.350000000000001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</row>
    <row r="555" spans="1:17" s="53" customFormat="1" ht="16.350000000000001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</row>
    <row r="556" spans="1:17" s="53" customFormat="1" ht="16.350000000000001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</row>
    <row r="557" spans="1:17" s="53" customFormat="1" ht="16.350000000000001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</row>
    <row r="558" spans="1:17" s="53" customFormat="1" ht="16.350000000000001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</row>
    <row r="559" spans="1:17" s="53" customFormat="1" ht="16.350000000000001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</row>
    <row r="560" spans="1:17" s="53" customFormat="1" ht="16.350000000000001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</row>
    <row r="561" spans="1:17" s="53" customFormat="1" ht="16.350000000000001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</row>
    <row r="562" spans="1:17" s="53" customFormat="1" ht="16.350000000000001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</row>
    <row r="563" spans="1:17" s="53" customFormat="1" ht="16.350000000000001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</row>
    <row r="564" spans="1:17" s="53" customFormat="1" ht="16.350000000000001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</row>
    <row r="565" spans="1:17" s="53" customFormat="1" ht="16.350000000000001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</row>
    <row r="566" spans="1:17" s="53" customFormat="1" ht="16.350000000000001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</row>
    <row r="567" spans="1:17" s="53" customFormat="1" ht="16.350000000000001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</row>
    <row r="568" spans="1:17" s="53" customFormat="1" ht="16.350000000000001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</row>
    <row r="569" spans="1:17" s="53" customFormat="1" ht="16.350000000000001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</row>
    <row r="570" spans="1:17" s="53" customFormat="1" ht="16.350000000000001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</row>
    <row r="571" spans="1:17" s="53" customFormat="1" ht="16.350000000000001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</row>
    <row r="572" spans="1:17" s="53" customFormat="1" ht="16.350000000000001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</row>
    <row r="573" spans="1:17" s="53" customFormat="1" ht="16.350000000000001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</row>
    <row r="574" spans="1:17" s="53" customFormat="1" ht="16.350000000000001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</row>
    <row r="575" spans="1:17" s="53" customFormat="1" ht="16.350000000000001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</row>
    <row r="576" spans="1:17" s="53" customFormat="1" ht="16.350000000000001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</row>
    <row r="577" spans="1:17" s="53" customFormat="1" ht="16.350000000000001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</row>
    <row r="578" spans="1:17" s="53" customFormat="1" ht="16.350000000000001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</row>
    <row r="579" spans="1:17" s="53" customFormat="1" ht="16.350000000000001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</row>
    <row r="580" spans="1:17" s="53" customFormat="1" ht="16.350000000000001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</row>
    <row r="581" spans="1:17" s="53" customFormat="1" ht="16.350000000000001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</row>
    <row r="582" spans="1:17" s="53" customFormat="1" ht="16.350000000000001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</row>
    <row r="583" spans="1:17" s="53" customFormat="1" ht="16.350000000000001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</row>
    <row r="584" spans="1:17" s="53" customFormat="1" ht="16.350000000000001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</row>
    <row r="585" spans="1:17" s="53" customFormat="1" ht="16.350000000000001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</row>
    <row r="586" spans="1:17" s="53" customFormat="1" ht="16.350000000000001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</row>
    <row r="587" spans="1:17" s="53" customFormat="1" ht="16.350000000000001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</row>
    <row r="588" spans="1:17" s="53" customFormat="1" ht="16.350000000000001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</row>
    <row r="589" spans="1:17" s="53" customFormat="1" ht="16.350000000000001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</row>
    <row r="590" spans="1:17" s="53" customFormat="1" ht="16.350000000000001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</row>
    <row r="591" spans="1:17" s="53" customFormat="1" ht="16.350000000000001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</row>
    <row r="592" spans="1:17" s="53" customFormat="1" ht="16.350000000000001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</row>
    <row r="593" spans="1:17" s="53" customFormat="1" ht="16.350000000000001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</row>
    <row r="594" spans="1:17" s="53" customFormat="1" ht="16.350000000000001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</row>
    <row r="595" spans="1:17" s="53" customFormat="1" ht="16.350000000000001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</row>
    <row r="596" spans="1:17" s="53" customFormat="1" ht="16.350000000000001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</row>
    <row r="597" spans="1:17" s="53" customFormat="1" ht="16.350000000000001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</row>
    <row r="598" spans="1:17" s="53" customFormat="1" ht="16.350000000000001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</row>
    <row r="599" spans="1:17" s="53" customFormat="1" ht="16.350000000000001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</row>
    <row r="600" spans="1:17" s="53" customFormat="1" ht="16.350000000000001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</row>
    <row r="601" spans="1:17" s="53" customFormat="1" ht="16.350000000000001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</row>
    <row r="602" spans="1:17" s="53" customFormat="1" ht="16.350000000000001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</row>
    <row r="603" spans="1:17" s="53" customFormat="1" ht="16.350000000000001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</row>
    <row r="604" spans="1:17" s="53" customFormat="1" ht="16.350000000000001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</row>
    <row r="605" spans="1:17" s="53" customFormat="1" ht="16.350000000000001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</row>
    <row r="606" spans="1:17" s="53" customFormat="1" ht="16.350000000000001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</row>
    <row r="607" spans="1:17" s="53" customFormat="1" ht="16.350000000000001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</row>
    <row r="608" spans="1:17" s="53" customFormat="1" ht="16.350000000000001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</row>
    <row r="609" spans="1:17" s="53" customFormat="1" ht="16.350000000000001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</row>
    <row r="610" spans="1:17" s="53" customFormat="1" ht="16.350000000000001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</row>
    <row r="611" spans="1:17" s="53" customFormat="1" ht="16.350000000000001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</row>
    <row r="612" spans="1:17" s="53" customFormat="1" ht="16.350000000000001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</row>
    <row r="613" spans="1:17" s="53" customFormat="1" ht="16.350000000000001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</row>
    <row r="614" spans="1:17" s="53" customFormat="1" ht="16.350000000000001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</row>
    <row r="615" spans="1:17" s="53" customFormat="1" ht="16.350000000000001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</row>
    <row r="616" spans="1:17" s="53" customFormat="1" ht="16.350000000000001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</row>
    <row r="617" spans="1:17" s="53" customFormat="1" ht="16.350000000000001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</row>
    <row r="618" spans="1:17" s="53" customFormat="1" ht="16.350000000000001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</row>
    <row r="619" spans="1:17" s="53" customFormat="1" ht="16.350000000000001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</row>
    <row r="620" spans="1:17" s="53" customFormat="1" ht="16.350000000000001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</row>
    <row r="621" spans="1:17" s="53" customFormat="1" ht="16.350000000000001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</row>
    <row r="622" spans="1:17" s="53" customFormat="1" ht="16.350000000000001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</row>
    <row r="623" spans="1:17" s="53" customFormat="1" ht="16.350000000000001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</row>
    <row r="624" spans="1:17" s="53" customFormat="1" ht="16.350000000000001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</row>
    <row r="625" spans="1:17" s="53" customFormat="1" ht="16.350000000000001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</row>
    <row r="626" spans="1:17" s="53" customFormat="1" ht="16.350000000000001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</row>
    <row r="627" spans="1:17" s="53" customFormat="1" ht="16.350000000000001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</row>
    <row r="628" spans="1:17" s="53" customFormat="1" ht="16.350000000000001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</row>
    <row r="629" spans="1:17" s="53" customFormat="1" ht="16.350000000000001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</row>
    <row r="630" spans="1:17" s="53" customFormat="1" ht="16.350000000000001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</row>
    <row r="631" spans="1:17" s="53" customFormat="1" ht="16.350000000000001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</row>
    <row r="632" spans="1:17" s="53" customFormat="1" ht="16.350000000000001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</row>
    <row r="633" spans="1:17" s="53" customFormat="1" ht="16.350000000000001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</row>
    <row r="634" spans="1:17" s="53" customFormat="1" ht="16.350000000000001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</row>
    <row r="635" spans="1:17" s="53" customFormat="1" ht="16.350000000000001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</row>
    <row r="636" spans="1:17" s="53" customFormat="1" ht="16.350000000000001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</row>
    <row r="637" spans="1:17" s="53" customFormat="1" ht="16.350000000000001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</row>
    <row r="638" spans="1:17" s="53" customFormat="1" ht="16.350000000000001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</row>
    <row r="639" spans="1:17" s="53" customFormat="1" ht="16.350000000000001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</row>
    <row r="640" spans="1:17" s="53" customFormat="1" ht="16.350000000000001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</row>
    <row r="641" spans="1:17" s="53" customFormat="1" ht="16.350000000000001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</row>
    <row r="642" spans="1:17" s="53" customFormat="1" ht="16.350000000000001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</row>
    <row r="643" spans="1:17" s="53" customFormat="1" ht="16.350000000000001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</row>
    <row r="644" spans="1:17" s="53" customFormat="1" ht="16.350000000000001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</row>
    <row r="645" spans="1:17" s="53" customFormat="1" ht="16.350000000000001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</row>
    <row r="646" spans="1:17" s="53" customFormat="1" ht="16.350000000000001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</row>
    <row r="647" spans="1:17" s="53" customFormat="1" ht="16.350000000000001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</row>
    <row r="648" spans="1:17" s="53" customFormat="1" ht="16.350000000000001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</row>
    <row r="649" spans="1:17" s="53" customFormat="1" ht="16.350000000000001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</row>
    <row r="650" spans="1:17" s="53" customFormat="1" ht="16.350000000000001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</row>
    <row r="651" spans="1:17" s="53" customFormat="1" ht="16.350000000000001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</row>
    <row r="652" spans="1:17" s="53" customFormat="1" ht="16.350000000000001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</row>
    <row r="653" spans="1:17" s="53" customFormat="1" ht="16.350000000000001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</row>
    <row r="654" spans="1:17" s="53" customFormat="1" ht="16.350000000000001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</row>
    <row r="655" spans="1:17" s="53" customFormat="1" ht="16.350000000000001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</row>
    <row r="656" spans="1:17" s="53" customFormat="1" ht="16.350000000000001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</row>
    <row r="657" spans="1:17" s="53" customFormat="1" ht="16.350000000000001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</row>
    <row r="658" spans="1:17" s="53" customFormat="1" ht="16.350000000000001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</row>
    <row r="659" spans="1:17" s="53" customFormat="1" ht="16.350000000000001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</row>
    <row r="660" spans="1:17" s="53" customFormat="1" ht="16.350000000000001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</row>
    <row r="661" spans="1:17" s="53" customFormat="1" ht="16.350000000000001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</row>
    <row r="662" spans="1:17" s="53" customFormat="1" ht="16.350000000000001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</row>
    <row r="663" spans="1:17" s="53" customFormat="1" ht="16.350000000000001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</row>
    <row r="664" spans="1:17" s="53" customFormat="1" ht="16.350000000000001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</row>
    <row r="665" spans="1:17" s="53" customFormat="1" ht="16.350000000000001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</row>
    <row r="666" spans="1:17" s="53" customFormat="1" ht="16.350000000000001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</row>
    <row r="667" spans="1:17" s="53" customFormat="1" ht="16.350000000000001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</row>
    <row r="668" spans="1:17" s="53" customFormat="1" ht="16.350000000000001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</row>
    <row r="669" spans="1:17" s="53" customFormat="1" ht="16.350000000000001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</row>
    <row r="670" spans="1:17" s="53" customFormat="1" ht="16.350000000000001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</row>
    <row r="671" spans="1:17" s="53" customFormat="1" ht="16.350000000000001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</row>
    <row r="672" spans="1:17" s="53" customFormat="1" ht="16.350000000000001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</row>
    <row r="673" spans="1:17" s="53" customFormat="1" ht="16.350000000000001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</row>
    <row r="674" spans="1:17" s="53" customFormat="1" ht="16.350000000000001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</row>
    <row r="675" spans="1:17" s="53" customFormat="1" ht="16.350000000000001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</row>
    <row r="676" spans="1:17" s="53" customFormat="1" ht="16.350000000000001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</row>
    <row r="677" spans="1:17" s="53" customFormat="1" ht="16.350000000000001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</row>
    <row r="678" spans="1:17" s="53" customFormat="1" ht="16.350000000000001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</row>
    <row r="679" spans="1:17" s="53" customFormat="1" ht="16.350000000000001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</row>
    <row r="680" spans="1:17" s="53" customFormat="1" ht="16.350000000000001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</row>
    <row r="681" spans="1:17" s="53" customFormat="1" ht="16.350000000000001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</row>
    <row r="682" spans="1:17" s="53" customFormat="1" ht="16.350000000000001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</row>
    <row r="683" spans="1:17" s="53" customFormat="1" ht="16.350000000000001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</row>
    <row r="684" spans="1:17" s="53" customFormat="1" ht="16.350000000000001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</row>
    <row r="685" spans="1:17" s="53" customFormat="1" ht="16.350000000000001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</row>
    <row r="686" spans="1:17" s="53" customFormat="1" ht="16.350000000000001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</row>
    <row r="687" spans="1:17" s="53" customFormat="1" ht="16.350000000000001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</row>
    <row r="688" spans="1:17" s="53" customFormat="1" ht="16.350000000000001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</row>
    <row r="689" spans="1:17" s="53" customFormat="1" ht="16.350000000000001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</row>
    <row r="690" spans="1:17" s="53" customFormat="1" ht="16.350000000000001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</row>
    <row r="691" spans="1:17" s="53" customFormat="1" ht="16.350000000000001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</row>
    <row r="692" spans="1:17" s="53" customFormat="1" ht="16.350000000000001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</row>
    <row r="693" spans="1:17" s="53" customFormat="1" ht="16.350000000000001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</row>
    <row r="694" spans="1:17" s="53" customFormat="1" ht="16.350000000000001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</row>
    <row r="695" spans="1:17" s="53" customFormat="1" ht="16.350000000000001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</row>
    <row r="696" spans="1:17" s="53" customFormat="1" ht="16.350000000000001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</row>
    <row r="697" spans="1:17" s="53" customFormat="1" ht="16.350000000000001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</row>
    <row r="698" spans="1:17" s="53" customFormat="1" ht="16.350000000000001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</row>
    <row r="699" spans="1:17" s="53" customFormat="1" ht="16.350000000000001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</row>
    <row r="700" spans="1:17" s="53" customFormat="1" ht="16.350000000000001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</row>
    <row r="701" spans="1:17" s="53" customFormat="1" ht="16.350000000000001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</row>
    <row r="702" spans="1:17" s="53" customFormat="1" ht="16.350000000000001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</row>
    <row r="703" spans="1:17" s="53" customFormat="1" ht="16.350000000000001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</row>
    <row r="704" spans="1:17" s="53" customFormat="1" ht="16.350000000000001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</row>
    <row r="705" spans="1:17" s="53" customFormat="1" ht="16.350000000000001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</row>
    <row r="706" spans="1:17" s="53" customFormat="1" ht="16.350000000000001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</row>
    <row r="707" spans="1:17" s="53" customFormat="1" ht="16.350000000000001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</row>
    <row r="708" spans="1:17" s="53" customFormat="1" ht="16.350000000000001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</row>
    <row r="709" spans="1:17" s="53" customFormat="1" ht="16.350000000000001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</row>
    <row r="710" spans="1:17" s="53" customFormat="1" ht="16.350000000000001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</row>
    <row r="711" spans="1:17" s="53" customFormat="1" ht="16.350000000000001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</row>
    <row r="712" spans="1:17" s="53" customFormat="1" ht="16.350000000000001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</row>
    <row r="713" spans="1:17" s="53" customFormat="1" ht="16.350000000000001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</row>
    <row r="714" spans="1:17" s="53" customFormat="1" ht="16.350000000000001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</row>
    <row r="715" spans="1:17" s="53" customFormat="1" ht="16.350000000000001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</row>
    <row r="716" spans="1:17" s="53" customFormat="1" ht="16.350000000000001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</row>
    <row r="717" spans="1:17" s="53" customFormat="1" ht="16.350000000000001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</row>
    <row r="718" spans="1:17" s="53" customFormat="1" ht="16.350000000000001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</row>
    <row r="719" spans="1:17" s="53" customFormat="1" ht="16.350000000000001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</row>
    <row r="720" spans="1:17" s="53" customFormat="1" ht="16.350000000000001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</row>
    <row r="721" spans="1:17" s="53" customFormat="1" ht="16.350000000000001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</row>
    <row r="722" spans="1:17" s="53" customFormat="1" ht="16.350000000000001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</row>
    <row r="723" spans="1:17" s="53" customFormat="1" ht="16.350000000000001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</row>
    <row r="724" spans="1:17" s="53" customFormat="1" ht="16.350000000000001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</row>
    <row r="725" spans="1:17" s="53" customFormat="1" ht="16.350000000000001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</row>
    <row r="726" spans="1:17" s="53" customFormat="1" ht="16.350000000000001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</row>
    <row r="727" spans="1:17" s="53" customFormat="1" ht="16.350000000000001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</row>
    <row r="728" spans="1:17" s="53" customFormat="1" ht="16.350000000000001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</row>
    <row r="729" spans="1:17" s="53" customFormat="1" ht="16.350000000000001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</row>
    <row r="730" spans="1:17" s="53" customFormat="1" ht="16.350000000000001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</row>
    <row r="731" spans="1:17" s="53" customFormat="1" ht="16.350000000000001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</row>
    <row r="732" spans="1:17" s="53" customFormat="1" ht="16.350000000000001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</row>
    <row r="733" spans="1:17" s="53" customFormat="1" ht="16.350000000000001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</row>
    <row r="734" spans="1:17" s="53" customFormat="1" ht="16.350000000000001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</row>
    <row r="735" spans="1:17" s="53" customFormat="1" ht="16.350000000000001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</row>
    <row r="736" spans="1:17" s="53" customFormat="1" ht="16.350000000000001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</row>
    <row r="737" spans="1:17" s="53" customFormat="1" ht="16.350000000000001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</row>
    <row r="738" spans="1:17" s="53" customFormat="1" ht="16.350000000000001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</row>
    <row r="739" spans="1:17" s="53" customFormat="1" ht="16.350000000000001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</row>
    <row r="740" spans="1:17" s="53" customFormat="1" ht="16.350000000000001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</row>
    <row r="741" spans="1:17" s="53" customFormat="1" ht="16.350000000000001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</row>
    <row r="742" spans="1:17" s="53" customFormat="1" ht="16.350000000000001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</row>
    <row r="743" spans="1:17" s="53" customFormat="1" ht="16.350000000000001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</row>
    <row r="744" spans="1:17" s="53" customFormat="1" ht="16.350000000000001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</row>
    <row r="745" spans="1:17" s="53" customFormat="1" ht="16.350000000000001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</row>
    <row r="746" spans="1:17" s="53" customFormat="1" ht="16.350000000000001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</row>
    <row r="747" spans="1:17" s="53" customFormat="1" ht="16.350000000000001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</row>
    <row r="748" spans="1:17" s="53" customFormat="1" ht="16.350000000000001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</row>
    <row r="749" spans="1:17" s="53" customFormat="1" ht="16.350000000000001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</row>
    <row r="750" spans="1:17" s="53" customFormat="1" ht="16.350000000000001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</row>
    <row r="751" spans="1:17" s="53" customFormat="1" ht="16.350000000000001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</row>
    <row r="752" spans="1:17" s="53" customFormat="1" ht="16.350000000000001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</row>
    <row r="753" spans="1:17" s="53" customFormat="1" ht="16.350000000000001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</row>
    <row r="754" spans="1:17" s="53" customFormat="1" ht="16.350000000000001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</row>
    <row r="755" spans="1:17" s="53" customFormat="1" ht="16.350000000000001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</row>
    <row r="756" spans="1:17" s="53" customFormat="1" ht="16.350000000000001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</row>
    <row r="757" spans="1:17" s="53" customFormat="1" ht="16.350000000000001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</row>
    <row r="758" spans="1:17" s="53" customFormat="1" ht="16.350000000000001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</row>
    <row r="759" spans="1:17" s="53" customFormat="1" ht="16.350000000000001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</row>
    <row r="760" spans="1:17" s="53" customFormat="1" ht="16.350000000000001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</row>
    <row r="761" spans="1:17" s="53" customFormat="1" ht="16.350000000000001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</row>
    <row r="762" spans="1:17" s="53" customFormat="1" ht="16.350000000000001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</row>
    <row r="763" spans="1:17" s="53" customFormat="1" ht="16.350000000000001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</row>
    <row r="764" spans="1:17" s="53" customFormat="1" ht="16.350000000000001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</row>
    <row r="765" spans="1:17" s="53" customFormat="1" ht="16.350000000000001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</row>
    <row r="766" spans="1:17" s="53" customFormat="1" ht="16.350000000000001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</row>
    <row r="767" spans="1:17" s="53" customFormat="1" ht="16.350000000000001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</row>
    <row r="768" spans="1:17" s="53" customFormat="1" ht="16.350000000000001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</row>
    <row r="769" spans="1:17" s="53" customFormat="1" ht="16.350000000000001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</row>
    <row r="770" spans="1:17" s="53" customFormat="1" ht="16.350000000000001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</row>
    <row r="771" spans="1:17" s="53" customFormat="1" ht="16.350000000000001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</row>
    <row r="772" spans="1:17" s="53" customFormat="1" ht="16.350000000000001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</row>
    <row r="773" spans="1:17" s="53" customFormat="1" ht="16.350000000000001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</row>
    <row r="774" spans="1:17" s="53" customFormat="1" ht="16.350000000000001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</row>
    <row r="775" spans="1:17" s="53" customFormat="1" ht="16.350000000000001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</row>
    <row r="776" spans="1:17" s="53" customFormat="1" ht="16.350000000000001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</row>
    <row r="777" spans="1:17" s="53" customFormat="1" ht="16.350000000000001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</row>
    <row r="778" spans="1:17" s="53" customFormat="1" ht="16.350000000000001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</row>
    <row r="779" spans="1:17" s="53" customFormat="1" ht="16.350000000000001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</row>
    <row r="780" spans="1:17" s="53" customFormat="1" ht="16.350000000000001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</row>
    <row r="781" spans="1:17" s="53" customFormat="1" ht="16.350000000000001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</row>
    <row r="782" spans="1:17" s="53" customFormat="1" ht="16.350000000000001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</row>
    <row r="783" spans="1:17" s="53" customFormat="1" ht="16.350000000000001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</row>
    <row r="784" spans="1:17" s="53" customFormat="1" ht="16.350000000000001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</row>
    <row r="785" spans="1:17" s="53" customFormat="1" ht="16.350000000000001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</row>
    <row r="786" spans="1:17" s="53" customFormat="1" ht="16.350000000000001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</row>
    <row r="787" spans="1:17" s="53" customFormat="1" ht="16.350000000000001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</row>
    <row r="788" spans="1:17" s="53" customFormat="1" ht="16.350000000000001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</row>
    <row r="789" spans="1:17" s="53" customFormat="1" ht="16.350000000000001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</row>
    <row r="790" spans="1:17" s="53" customFormat="1" ht="16.350000000000001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</row>
    <row r="791" spans="1:17" s="53" customFormat="1" ht="16.350000000000001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</row>
    <row r="792" spans="1:17" s="53" customFormat="1" ht="16.350000000000001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</row>
    <row r="793" spans="1:17" s="53" customFormat="1" ht="16.350000000000001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</row>
    <row r="794" spans="1:17" s="53" customFormat="1" ht="16.350000000000001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</row>
    <row r="795" spans="1:17" s="53" customFormat="1" ht="16.350000000000001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</row>
    <row r="796" spans="1:17" s="53" customFormat="1" ht="16.350000000000001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</row>
    <row r="797" spans="1:17" s="53" customFormat="1" ht="16.350000000000001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</row>
    <row r="798" spans="1:17" s="53" customFormat="1" ht="16.350000000000001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</row>
    <row r="799" spans="1:17" s="53" customFormat="1" ht="16.350000000000001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</row>
    <row r="800" spans="1:17" s="53" customFormat="1" ht="16.350000000000001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</row>
    <row r="801" spans="1:17" s="53" customFormat="1" ht="16.350000000000001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</row>
    <row r="802" spans="1:17" s="53" customFormat="1" ht="16.350000000000001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</row>
    <row r="803" spans="1:17" s="53" customFormat="1" ht="16.350000000000001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</row>
    <row r="804" spans="1:17" s="53" customFormat="1" ht="16.350000000000001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</row>
    <row r="805" spans="1:17" s="53" customFormat="1" ht="16.350000000000001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</row>
    <row r="806" spans="1:17" s="53" customFormat="1" ht="16.350000000000001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</row>
    <row r="807" spans="1:17" s="53" customFormat="1" ht="16.350000000000001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</row>
    <row r="808" spans="1:17" s="53" customFormat="1" ht="16.350000000000001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</row>
    <row r="809" spans="1:17" s="53" customFormat="1" ht="16.350000000000001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</row>
    <row r="810" spans="1:17" s="53" customFormat="1" ht="16.350000000000001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</row>
    <row r="811" spans="1:17" s="53" customFormat="1" ht="16.350000000000001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</row>
    <row r="812" spans="1:17" s="53" customFormat="1" ht="16.350000000000001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</row>
    <row r="813" spans="1:17" s="53" customFormat="1" ht="16.350000000000001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</row>
    <row r="814" spans="1:17" s="53" customFormat="1" ht="16.350000000000001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</row>
    <row r="815" spans="1:17" s="53" customFormat="1" ht="16.350000000000001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</row>
    <row r="816" spans="1:17" s="53" customFormat="1" ht="16.350000000000001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</row>
    <row r="817" spans="1:17" s="53" customFormat="1" ht="16.350000000000001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</row>
    <row r="818" spans="1:17" s="53" customFormat="1" ht="16.350000000000001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</row>
    <row r="819" spans="1:17" s="53" customFormat="1" ht="16.350000000000001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</row>
    <row r="820" spans="1:17" s="53" customFormat="1" ht="16.350000000000001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</row>
    <row r="821" spans="1:17" s="53" customFormat="1" ht="16.350000000000001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</row>
    <row r="822" spans="1:17" s="53" customFormat="1" ht="16.350000000000001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</row>
    <row r="823" spans="1:17" s="53" customFormat="1" ht="16.350000000000001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</row>
    <row r="824" spans="1:17" s="53" customFormat="1" ht="16.350000000000001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</row>
    <row r="825" spans="1:17" s="53" customFormat="1" ht="16.350000000000001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</row>
    <row r="826" spans="1:17" s="53" customFormat="1" ht="16.350000000000001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</row>
    <row r="827" spans="1:17" s="53" customFormat="1" ht="16.350000000000001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</row>
    <row r="828" spans="1:17" s="53" customFormat="1" ht="16.350000000000001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</row>
    <row r="829" spans="1:17" s="53" customFormat="1" ht="16.350000000000001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</row>
    <row r="830" spans="1:17" s="53" customFormat="1" ht="16.350000000000001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</row>
    <row r="831" spans="1:17" s="53" customFormat="1" ht="16.350000000000001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</row>
    <row r="832" spans="1:17" s="53" customFormat="1" ht="16.350000000000001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</row>
    <row r="833" spans="1:17" s="53" customFormat="1" ht="16.350000000000001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</row>
    <row r="834" spans="1:17" s="53" customFormat="1" ht="16.350000000000001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</row>
    <row r="835" spans="1:17" s="53" customFormat="1" ht="16.350000000000001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</row>
    <row r="836" spans="1:17" s="53" customFormat="1" ht="16.350000000000001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</row>
    <row r="837" spans="1:17" s="53" customFormat="1" ht="16.350000000000001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</row>
    <row r="838" spans="1:17" s="53" customFormat="1" ht="16.350000000000001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</row>
    <row r="839" spans="1:17" s="53" customFormat="1" ht="16.350000000000001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</row>
    <row r="840" spans="1:17" s="53" customFormat="1" ht="16.350000000000001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</row>
    <row r="841" spans="1:17" s="53" customFormat="1" ht="16.350000000000001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</row>
    <row r="842" spans="1:17" s="53" customFormat="1" ht="16.350000000000001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</row>
    <row r="843" spans="1:17" s="53" customFormat="1" ht="16.350000000000001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</row>
    <row r="844" spans="1:17" s="53" customFormat="1" ht="16.350000000000001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</row>
    <row r="845" spans="1:17" s="53" customFormat="1" ht="16.350000000000001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</row>
    <row r="846" spans="1:17" s="53" customFormat="1" ht="16.350000000000001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</row>
    <row r="847" spans="1:17" s="53" customFormat="1" ht="16.350000000000001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</row>
    <row r="848" spans="1:17" s="53" customFormat="1" ht="16.350000000000001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</row>
    <row r="849" spans="1:17" s="53" customFormat="1" ht="16.350000000000001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</row>
    <row r="850" spans="1:17" s="53" customFormat="1" ht="16.350000000000001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</row>
    <row r="851" spans="1:17" s="53" customFormat="1" ht="16.350000000000001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</row>
    <row r="852" spans="1:17" s="53" customFormat="1" ht="16.350000000000001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</row>
    <row r="853" spans="1:17" s="53" customFormat="1" ht="16.350000000000001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</row>
    <row r="854" spans="1:17" s="53" customFormat="1" ht="16.350000000000001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</row>
    <row r="855" spans="1:17" s="53" customFormat="1" ht="16.350000000000001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</row>
    <row r="856" spans="1:17" s="53" customFormat="1" ht="16.350000000000001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</row>
    <row r="857" spans="1:17" s="53" customFormat="1" ht="16.350000000000001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</row>
    <row r="858" spans="1:17" s="53" customFormat="1" ht="16.350000000000001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</row>
    <row r="859" spans="1:17" s="53" customFormat="1" ht="16.350000000000001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</row>
    <row r="860" spans="1:17" s="53" customFormat="1" ht="16.350000000000001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</row>
    <row r="861" spans="1:17" s="53" customFormat="1" ht="16.350000000000001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</row>
    <row r="862" spans="1:17" s="53" customFormat="1" ht="16.350000000000001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</row>
    <row r="863" spans="1:17" s="53" customFormat="1" ht="16.350000000000001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</row>
    <row r="864" spans="1:17" s="53" customFormat="1" ht="16.350000000000001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</row>
    <row r="865" spans="1:17" s="53" customFormat="1" ht="16.350000000000001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</row>
    <row r="866" spans="1:17" s="53" customFormat="1" ht="16.350000000000001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</row>
    <row r="867" spans="1:17" s="53" customFormat="1" ht="16.350000000000001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</row>
    <row r="868" spans="1:17" s="53" customFormat="1" ht="16.350000000000001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</row>
    <row r="869" spans="1:17" s="53" customFormat="1" ht="16.350000000000001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</row>
    <row r="870" spans="1:17" s="53" customFormat="1" ht="16.350000000000001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</row>
    <row r="871" spans="1:17" s="53" customFormat="1" ht="16.350000000000001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</row>
    <row r="872" spans="1:17" s="53" customFormat="1" ht="16.350000000000001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</row>
    <row r="873" spans="1:17" s="53" customFormat="1" ht="16.350000000000001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</row>
    <row r="874" spans="1:17" s="53" customFormat="1" ht="16.350000000000001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</row>
    <row r="875" spans="1:17" s="53" customFormat="1" ht="16.350000000000001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</row>
    <row r="876" spans="1:17" s="53" customFormat="1" ht="16.350000000000001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</row>
    <row r="877" spans="1:17" s="53" customFormat="1" ht="16.350000000000001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</row>
    <row r="878" spans="1:17" s="53" customFormat="1" ht="16.350000000000001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</row>
    <row r="879" spans="1:17" s="53" customFormat="1" ht="16.350000000000001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</row>
    <row r="880" spans="1:17" s="53" customFormat="1" ht="16.350000000000001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</row>
    <row r="881" spans="1:17" s="53" customFormat="1" ht="16.350000000000001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</row>
    <row r="882" spans="1:17" s="53" customFormat="1" ht="16.350000000000001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</row>
    <row r="883" spans="1:17" s="53" customFormat="1" ht="16.350000000000001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</row>
    <row r="884" spans="1:17" s="53" customFormat="1" ht="16.350000000000001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</row>
    <row r="885" spans="1:17" s="53" customFormat="1" ht="16.350000000000001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</row>
    <row r="886" spans="1:17" s="53" customFormat="1" ht="16.350000000000001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</row>
    <row r="887" spans="1:17" s="53" customFormat="1" ht="16.350000000000001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</row>
    <row r="888" spans="1:17" s="53" customFormat="1" ht="16.350000000000001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</row>
    <row r="889" spans="1:17" s="53" customFormat="1" ht="16.350000000000001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</row>
    <row r="890" spans="1:17" s="53" customFormat="1" ht="16.350000000000001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</row>
    <row r="891" spans="1:17" s="53" customFormat="1" ht="16.350000000000001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</row>
    <row r="892" spans="1:17" s="53" customFormat="1" ht="16.350000000000001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</row>
    <row r="893" spans="1:17" s="53" customFormat="1" ht="16.350000000000001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</row>
    <row r="894" spans="1:17" s="53" customFormat="1" ht="16.350000000000001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</row>
    <row r="895" spans="1:17" s="53" customFormat="1" ht="16.350000000000001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</row>
    <row r="896" spans="1:17" s="53" customFormat="1" ht="16.350000000000001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</row>
    <row r="897" spans="1:17" s="53" customFormat="1" ht="16.350000000000001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</row>
    <row r="898" spans="1:17" s="53" customFormat="1" ht="16.350000000000001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</row>
    <row r="899" spans="1:17" s="53" customFormat="1" ht="16.350000000000001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</row>
    <row r="900" spans="1:17" s="53" customFormat="1" ht="16.350000000000001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</row>
    <row r="901" spans="1:17" s="53" customFormat="1" ht="16.350000000000001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</row>
    <row r="902" spans="1:17" s="53" customFormat="1" ht="16.350000000000001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</row>
    <row r="903" spans="1:17" s="53" customFormat="1" ht="16.350000000000001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</row>
    <row r="904" spans="1:17" s="53" customFormat="1" ht="16.350000000000001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</row>
    <row r="905" spans="1:17" s="53" customFormat="1" ht="16.350000000000001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</row>
    <row r="906" spans="1:17" s="53" customFormat="1" ht="16.350000000000001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</row>
    <row r="907" spans="1:17" s="53" customFormat="1" ht="16.350000000000001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</row>
    <row r="908" spans="1:17" s="53" customFormat="1" ht="16.350000000000001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</row>
    <row r="909" spans="1:17" s="53" customFormat="1" ht="16.350000000000001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</row>
    <row r="910" spans="1:17" s="53" customFormat="1" ht="16.350000000000001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</row>
    <row r="911" spans="1:17" s="53" customFormat="1" ht="16.350000000000001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</row>
    <row r="912" spans="1:17" s="53" customFormat="1" ht="16.350000000000001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</row>
    <row r="913" spans="1:17" s="53" customFormat="1" ht="16.350000000000001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</row>
    <row r="914" spans="1:17" s="53" customFormat="1" ht="16.350000000000001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</row>
    <row r="915" spans="1:17" s="53" customFormat="1" ht="16.350000000000001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</row>
    <row r="916" spans="1:17" s="53" customFormat="1" ht="16.350000000000001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</row>
    <row r="917" spans="1:17" s="53" customFormat="1" ht="16.350000000000001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</row>
    <row r="918" spans="1:17" s="53" customFormat="1" ht="16.350000000000001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</row>
    <row r="919" spans="1:17" s="53" customFormat="1" ht="16.350000000000001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</row>
    <row r="920" spans="1:17" s="53" customFormat="1" ht="16.350000000000001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</row>
    <row r="921" spans="1:17" s="53" customFormat="1" ht="16.350000000000001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</row>
    <row r="922" spans="1:17" s="53" customFormat="1" ht="16.350000000000001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</row>
    <row r="923" spans="1:17" s="53" customFormat="1" ht="16.350000000000001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</row>
    <row r="924" spans="1:17" s="53" customFormat="1" ht="16.350000000000001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</row>
    <row r="925" spans="1:17" s="53" customFormat="1" ht="16.350000000000001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</row>
    <row r="926" spans="1:17" s="53" customFormat="1" ht="16.350000000000001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</row>
    <row r="927" spans="1:17" s="53" customFormat="1" ht="16.350000000000001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</row>
    <row r="928" spans="1:17" s="53" customFormat="1" ht="16.350000000000001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</row>
    <row r="929" spans="1:17" s="53" customFormat="1" ht="16.350000000000001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</row>
    <row r="930" spans="1:17" s="53" customFormat="1" ht="16.350000000000001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</row>
    <row r="931" spans="1:17" s="53" customFormat="1" ht="16.350000000000001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</row>
    <row r="932" spans="1:17" s="53" customFormat="1" ht="16.350000000000001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</row>
    <row r="933" spans="1:17" s="53" customFormat="1" ht="16.350000000000001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</row>
    <row r="934" spans="1:17" s="53" customFormat="1" ht="16.350000000000001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</row>
    <row r="935" spans="1:17" s="53" customFormat="1" ht="16.350000000000001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</row>
    <row r="936" spans="1:17" s="53" customFormat="1" ht="16.350000000000001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</row>
    <row r="937" spans="1:17" s="53" customFormat="1" ht="16.350000000000001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</row>
    <row r="938" spans="1:17" s="53" customFormat="1" ht="16.350000000000001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</row>
    <row r="939" spans="1:17" s="53" customFormat="1" ht="16.350000000000001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</row>
    <row r="940" spans="1:17" s="53" customFormat="1" ht="16.350000000000001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</row>
    <row r="941" spans="1:17" s="53" customFormat="1" ht="16.350000000000001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</row>
    <row r="942" spans="1:17" s="53" customFormat="1" ht="16.350000000000001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</row>
    <row r="943" spans="1:17" s="53" customFormat="1" ht="16.350000000000001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</row>
    <row r="944" spans="1:17" s="53" customFormat="1" ht="16.350000000000001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</row>
    <row r="945" spans="1:17" s="53" customFormat="1" ht="16.350000000000001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</row>
    <row r="946" spans="1:17" s="53" customFormat="1" ht="16.350000000000001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</row>
    <row r="947" spans="1:17" s="53" customFormat="1" ht="16.350000000000001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</row>
    <row r="948" spans="1:17" s="53" customFormat="1" ht="16.350000000000001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</row>
    <row r="949" spans="1:17" s="53" customFormat="1" ht="16.350000000000001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</row>
    <row r="950" spans="1:17" s="53" customFormat="1" ht="16.350000000000001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</row>
    <row r="951" spans="1:17" s="53" customFormat="1" ht="16.350000000000001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</row>
    <row r="952" spans="1:17" s="53" customFormat="1" ht="16.350000000000001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</row>
    <row r="953" spans="1:17" s="53" customFormat="1" ht="16.350000000000001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</row>
    <row r="954" spans="1:17" s="53" customFormat="1" ht="16.350000000000001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</row>
    <row r="955" spans="1:17" s="53" customFormat="1" ht="16.350000000000001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</row>
    <row r="956" spans="1:17" s="53" customFormat="1" ht="16.350000000000001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</row>
    <row r="957" spans="1:17" s="53" customFormat="1" ht="16.350000000000001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</row>
    <row r="958" spans="1:17" s="53" customFormat="1" ht="16.350000000000001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</row>
    <row r="959" spans="1:17" s="53" customFormat="1" ht="16.350000000000001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</row>
    <row r="960" spans="1:17" s="53" customFormat="1" ht="16.350000000000001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</row>
    <row r="961" spans="1:17" s="53" customFormat="1" ht="16.350000000000001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</row>
    <row r="962" spans="1:17" s="53" customFormat="1" ht="16.350000000000001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</row>
    <row r="963" spans="1:17" s="53" customFormat="1" ht="16.350000000000001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</row>
    <row r="964" spans="1:17" s="53" customFormat="1" ht="16.350000000000001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</row>
    <row r="965" spans="1:17" s="53" customFormat="1" ht="16.350000000000001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</row>
    <row r="966" spans="1:17" s="53" customFormat="1" ht="16.350000000000001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</row>
    <row r="967" spans="1:17" s="53" customFormat="1" ht="16.350000000000001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</row>
    <row r="968" spans="1:17" s="53" customFormat="1" ht="16.350000000000001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</row>
    <row r="969" spans="1:17" s="53" customFormat="1" ht="16.350000000000001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</row>
    <row r="970" spans="1:17" s="53" customFormat="1" ht="16.350000000000001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</row>
    <row r="971" spans="1:17" s="53" customFormat="1" ht="16.350000000000001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</row>
    <row r="972" spans="1:17" s="53" customFormat="1" ht="16.350000000000001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</row>
    <row r="973" spans="1:17" s="53" customFormat="1" ht="16.350000000000001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</row>
    <row r="974" spans="1:17" s="53" customFormat="1" ht="16.350000000000001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</row>
    <row r="975" spans="1:17" s="53" customFormat="1" ht="16.350000000000001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</row>
    <row r="976" spans="1:17" s="53" customFormat="1" ht="16.350000000000001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</row>
    <row r="977" spans="1:17" s="53" customFormat="1" ht="16.350000000000001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</row>
    <row r="978" spans="1:17" s="53" customFormat="1" ht="16.350000000000001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</row>
    <row r="979" spans="1:17" s="53" customFormat="1" ht="16.350000000000001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</row>
    <row r="980" spans="1:17" s="53" customFormat="1" ht="16.350000000000001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</row>
    <row r="981" spans="1:17" s="53" customFormat="1" ht="16.350000000000001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</row>
    <row r="982" spans="1:17" s="53" customFormat="1" ht="16.350000000000001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</row>
    <row r="983" spans="1:17" s="53" customFormat="1" ht="16.350000000000001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</row>
    <row r="984" spans="1:17" s="53" customFormat="1" ht="16.350000000000001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</row>
    <row r="985" spans="1:17" s="53" customFormat="1" ht="16.350000000000001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</row>
    <row r="986" spans="1:17" s="53" customFormat="1" ht="16.350000000000001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</row>
    <row r="987" spans="1:17" s="53" customFormat="1" ht="16.350000000000001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</row>
    <row r="988" spans="1:17" s="53" customFormat="1" ht="16.350000000000001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</row>
    <row r="989" spans="1:17" s="53" customFormat="1" ht="16.350000000000001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</row>
    <row r="990" spans="1:17" s="53" customFormat="1" ht="16.350000000000001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</row>
    <row r="991" spans="1:17" s="53" customFormat="1" ht="16.350000000000001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</row>
    <row r="992" spans="1:17" s="53" customFormat="1" ht="16.350000000000001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</row>
    <row r="993" spans="1:17" s="53" customFormat="1" ht="16.350000000000001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</row>
    <row r="994" spans="1:17" s="53" customFormat="1" ht="16.350000000000001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</row>
    <row r="995" spans="1:17" s="53" customFormat="1" ht="16.350000000000001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</row>
    <row r="996" spans="1:17" s="53" customFormat="1" ht="16.350000000000001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</row>
    <row r="997" spans="1:17" s="53" customFormat="1" ht="16.350000000000001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</row>
    <row r="998" spans="1:17" s="53" customFormat="1" ht="16.350000000000001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</row>
    <row r="999" spans="1:17" s="53" customFormat="1" ht="16.350000000000001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</row>
    <row r="1000" spans="1:17" s="53" customFormat="1" ht="16.350000000000001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</row>
    <row r="1001" spans="1:17" s="53" customFormat="1" ht="16.350000000000001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</row>
    <row r="1002" spans="1:17" s="53" customFormat="1" ht="16.350000000000001" customHeight="1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</row>
    <row r="1003" spans="1:17" s="53" customFormat="1" ht="16.350000000000001" customHeight="1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</row>
    <row r="1004" spans="1:17" s="53" customFormat="1" ht="16.350000000000001" customHeight="1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</row>
    <row r="1005" spans="1:17" s="53" customFormat="1" ht="16.350000000000001" customHeight="1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</row>
    <row r="1006" spans="1:17" s="53" customFormat="1" ht="16.350000000000001" customHeight="1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</row>
    <row r="1007" spans="1:17" s="53" customFormat="1" ht="16.350000000000001" customHeight="1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</row>
    <row r="1008" spans="1:17" s="53" customFormat="1" ht="16.350000000000001" customHeight="1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</row>
    <row r="1009" spans="1:17" s="53" customFormat="1" ht="16.350000000000001" customHeight="1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</row>
    <row r="1010" spans="1:17" s="53" customFormat="1" ht="16.350000000000001" customHeight="1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</row>
    <row r="1011" spans="1:17" s="53" customFormat="1" ht="16.350000000000001" customHeight="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</row>
    <row r="1012" spans="1:17" s="53" customFormat="1" ht="16.350000000000001" customHeight="1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</row>
    <row r="1013" spans="1:17" s="53" customFormat="1" ht="16.350000000000001" customHeight="1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</row>
    <row r="1014" spans="1:17" s="53" customFormat="1" ht="16.350000000000001" customHeight="1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</row>
    <row r="1015" spans="1:17" s="53" customFormat="1" ht="16.350000000000001" customHeight="1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</row>
    <row r="1016" spans="1:17" s="53" customFormat="1" ht="16.350000000000001" customHeight="1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</row>
    <row r="1017" spans="1:17" s="53" customFormat="1" ht="16.350000000000001" customHeight="1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</row>
    <row r="1018" spans="1:17" s="53" customFormat="1" ht="16.350000000000001" customHeight="1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</row>
    <row r="1019" spans="1:17" s="53" customFormat="1" ht="16.350000000000001" customHeight="1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</row>
    <row r="1020" spans="1:17" s="53" customFormat="1" ht="16.350000000000001" customHeight="1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</row>
    <row r="1021" spans="1:17" s="53" customFormat="1" ht="16.350000000000001" customHeight="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</row>
    <row r="1022" spans="1:17" s="53" customFormat="1" ht="16.350000000000001" customHeight="1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</row>
    <row r="1023" spans="1:17" s="53" customFormat="1" ht="16.350000000000001" customHeight="1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</row>
    <row r="1024" spans="1:17" s="53" customFormat="1" ht="16.350000000000001" customHeight="1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</row>
    <row r="1025" spans="1:17" s="53" customFormat="1" ht="16.350000000000001" customHeight="1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</row>
    <row r="1026" spans="1:17" s="53" customFormat="1" ht="16.350000000000001" customHeight="1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</row>
    <row r="1027" spans="1:17" s="53" customFormat="1" ht="16.350000000000001" customHeight="1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</row>
    <row r="1028" spans="1:17" s="53" customFormat="1" ht="16.350000000000001" customHeight="1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</row>
    <row r="1029" spans="1:17" s="53" customFormat="1" ht="16.350000000000001" customHeight="1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</row>
    <row r="1030" spans="1:17" s="53" customFormat="1" ht="16.350000000000001" customHeight="1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</row>
    <row r="1031" spans="1:17" s="53" customFormat="1" ht="16.350000000000001" customHeight="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</row>
    <row r="1032" spans="1:17" s="53" customFormat="1" ht="16.350000000000001" customHeight="1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</row>
    <row r="1033" spans="1:17" s="53" customFormat="1" ht="16.350000000000001" customHeight="1">
      <c r="A1033" s="52"/>
      <c r="B1033" s="52"/>
      <c r="C1033" s="52"/>
      <c r="D1033" s="52"/>
      <c r="E1033" s="52"/>
      <c r="F1033" s="52"/>
      <c r="G1033" s="52"/>
      <c r="H1033" s="52"/>
      <c r="I1033" s="52"/>
      <c r="J1033" s="52"/>
      <c r="K1033" s="52"/>
      <c r="L1033" s="52"/>
      <c r="M1033" s="52"/>
      <c r="N1033" s="52"/>
      <c r="O1033" s="52"/>
      <c r="P1033" s="52"/>
      <c r="Q1033" s="52"/>
    </row>
    <row r="1034" spans="1:17" s="53" customFormat="1" ht="16.350000000000001" customHeight="1">
      <c r="A1034" s="52"/>
      <c r="B1034" s="52"/>
      <c r="C1034" s="52"/>
      <c r="D1034" s="52"/>
      <c r="E1034" s="52"/>
      <c r="F1034" s="52"/>
      <c r="G1034" s="52"/>
      <c r="H1034" s="52"/>
      <c r="I1034" s="52"/>
      <c r="J1034" s="52"/>
      <c r="K1034" s="52"/>
      <c r="L1034" s="52"/>
      <c r="M1034" s="52"/>
      <c r="N1034" s="52"/>
      <c r="O1034" s="52"/>
      <c r="P1034" s="52"/>
      <c r="Q1034" s="52"/>
    </row>
    <row r="1035" spans="1:17" s="53" customFormat="1" ht="16.350000000000001" customHeight="1">
      <c r="A1035" s="52"/>
      <c r="B1035" s="52"/>
      <c r="C1035" s="5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</row>
    <row r="1036" spans="1:17" s="53" customFormat="1" ht="16.350000000000001" customHeight="1">
      <c r="A1036" s="52"/>
      <c r="B1036" s="52"/>
      <c r="C1036" s="52"/>
      <c r="D1036" s="52"/>
      <c r="E1036" s="52"/>
      <c r="F1036" s="52"/>
      <c r="G1036" s="52"/>
      <c r="H1036" s="52"/>
      <c r="I1036" s="52"/>
      <c r="J1036" s="52"/>
      <c r="K1036" s="52"/>
      <c r="L1036" s="52"/>
      <c r="M1036" s="52"/>
      <c r="N1036" s="52"/>
      <c r="O1036" s="52"/>
      <c r="P1036" s="52"/>
      <c r="Q1036" s="52"/>
    </row>
    <row r="1037" spans="1:17" s="53" customFormat="1" ht="16.350000000000001" customHeight="1">
      <c r="A1037" s="52"/>
      <c r="B1037" s="52"/>
      <c r="C1037" s="52"/>
      <c r="D1037" s="52"/>
      <c r="E1037" s="52"/>
      <c r="F1037" s="52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</row>
    <row r="1038" spans="1:17" s="53" customFormat="1" ht="16.350000000000001" customHeight="1">
      <c r="A1038" s="52"/>
      <c r="B1038" s="52"/>
      <c r="C1038" s="52"/>
      <c r="D1038" s="52"/>
      <c r="E1038" s="52"/>
      <c r="F1038" s="52"/>
      <c r="G1038" s="52"/>
      <c r="H1038" s="52"/>
      <c r="I1038" s="52"/>
      <c r="J1038" s="52"/>
      <c r="K1038" s="52"/>
      <c r="L1038" s="52"/>
      <c r="M1038" s="52"/>
      <c r="N1038" s="52"/>
      <c r="O1038" s="52"/>
      <c r="P1038" s="52"/>
      <c r="Q1038" s="52"/>
    </row>
    <row r="1039" spans="1:17" s="53" customFormat="1" ht="16.350000000000001" customHeight="1">
      <c r="A1039" s="52"/>
      <c r="B1039" s="52"/>
      <c r="C1039" s="5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</row>
    <row r="1040" spans="1:17" s="53" customFormat="1" ht="16.350000000000001" customHeight="1">
      <c r="A1040" s="52"/>
      <c r="B1040" s="52"/>
      <c r="C1040" s="52"/>
      <c r="D1040" s="52"/>
      <c r="E1040" s="52"/>
      <c r="F1040" s="52"/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</row>
    <row r="1041" spans="1:17" s="53" customFormat="1" ht="16.350000000000001" customHeight="1">
      <c r="A1041" s="52"/>
      <c r="B1041" s="52"/>
      <c r="C1041" s="52"/>
      <c r="D1041" s="52"/>
      <c r="E1041" s="52"/>
      <c r="F1041" s="52"/>
      <c r="G1041" s="52"/>
      <c r="H1041" s="52"/>
      <c r="I1041" s="52"/>
      <c r="J1041" s="52"/>
      <c r="K1041" s="52"/>
      <c r="L1041" s="52"/>
      <c r="M1041" s="52"/>
      <c r="N1041" s="52"/>
      <c r="O1041" s="52"/>
      <c r="P1041" s="52"/>
      <c r="Q1041" s="52"/>
    </row>
    <row r="1042" spans="1:17" s="53" customFormat="1" ht="16.350000000000001" customHeight="1">
      <c r="A1042" s="52"/>
      <c r="B1042" s="52"/>
      <c r="C1042" s="52"/>
      <c r="D1042" s="52"/>
      <c r="E1042" s="52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</row>
    <row r="1043" spans="1:17" s="53" customFormat="1" ht="16.350000000000001" customHeight="1">
      <c r="A1043" s="52"/>
      <c r="B1043" s="52"/>
      <c r="C1043" s="5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</row>
    <row r="1044" spans="1:17" s="53" customFormat="1" ht="16.350000000000001" customHeight="1">
      <c r="A1044" s="52"/>
      <c r="B1044" s="52"/>
      <c r="C1044" s="52"/>
      <c r="D1044" s="52"/>
      <c r="E1044" s="52"/>
      <c r="F1044" s="52"/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</row>
    <row r="1045" spans="1:17" s="53" customFormat="1" ht="16.350000000000001" customHeight="1">
      <c r="A1045" s="52"/>
      <c r="B1045" s="52"/>
      <c r="C1045" s="52"/>
      <c r="D1045" s="52"/>
      <c r="E1045" s="52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</row>
    <row r="1046" spans="1:17" s="53" customFormat="1" ht="16.350000000000001" customHeight="1">
      <c r="A1046" s="52"/>
      <c r="B1046" s="52"/>
      <c r="C1046" s="52"/>
      <c r="D1046" s="52"/>
      <c r="E1046" s="52"/>
      <c r="F1046" s="52"/>
      <c r="G1046" s="52"/>
      <c r="H1046" s="52"/>
      <c r="I1046" s="52"/>
      <c r="J1046" s="52"/>
      <c r="K1046" s="52"/>
      <c r="L1046" s="52"/>
      <c r="M1046" s="52"/>
      <c r="N1046" s="52"/>
      <c r="O1046" s="52"/>
      <c r="P1046" s="52"/>
      <c r="Q1046" s="52"/>
    </row>
    <row r="1047" spans="1:17" s="53" customFormat="1" ht="16.350000000000001" customHeight="1">
      <c r="A1047" s="52"/>
      <c r="B1047" s="52"/>
      <c r="C1047" s="5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</row>
    <row r="1048" spans="1:17" s="53" customFormat="1" ht="16.350000000000001" customHeight="1">
      <c r="A1048" s="52"/>
      <c r="B1048" s="52"/>
      <c r="C1048" s="52"/>
      <c r="D1048" s="52"/>
      <c r="E1048" s="52"/>
      <c r="F1048" s="52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</row>
    <row r="1049" spans="1:17" s="53" customFormat="1" ht="16.350000000000001" customHeight="1">
      <c r="A1049" s="52"/>
      <c r="B1049" s="52"/>
      <c r="C1049" s="52"/>
      <c r="D1049" s="52"/>
      <c r="E1049" s="52"/>
      <c r="F1049" s="52"/>
      <c r="G1049" s="52"/>
      <c r="H1049" s="52"/>
      <c r="I1049" s="52"/>
      <c r="J1049" s="52"/>
      <c r="K1049" s="52"/>
      <c r="L1049" s="52"/>
      <c r="M1049" s="52"/>
      <c r="N1049" s="52"/>
      <c r="O1049" s="52"/>
      <c r="P1049" s="52"/>
      <c r="Q1049" s="52"/>
    </row>
    <row r="1050" spans="1:17" s="53" customFormat="1" ht="16.350000000000001" customHeight="1">
      <c r="A1050" s="52"/>
      <c r="B1050" s="52"/>
      <c r="C1050" s="52"/>
      <c r="D1050" s="52"/>
      <c r="E1050" s="52"/>
      <c r="F1050" s="52"/>
      <c r="G1050" s="52"/>
      <c r="H1050" s="52"/>
      <c r="I1050" s="52"/>
      <c r="J1050" s="52"/>
      <c r="K1050" s="52"/>
      <c r="L1050" s="52"/>
      <c r="M1050" s="52"/>
      <c r="N1050" s="52"/>
      <c r="O1050" s="52"/>
      <c r="P1050" s="52"/>
      <c r="Q1050" s="52"/>
    </row>
    <row r="1051" spans="1:17" s="53" customFormat="1" ht="16.350000000000001" customHeight="1">
      <c r="A1051" s="52"/>
      <c r="B1051" s="52"/>
      <c r="C1051" s="5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</row>
    <row r="1052" spans="1:17" s="53" customFormat="1" ht="16.350000000000001" customHeight="1">
      <c r="A1052" s="52"/>
      <c r="B1052" s="52"/>
      <c r="C1052" s="52"/>
      <c r="D1052" s="52"/>
      <c r="E1052" s="52"/>
      <c r="F1052" s="52"/>
      <c r="G1052" s="52"/>
      <c r="H1052" s="52"/>
      <c r="I1052" s="52"/>
      <c r="J1052" s="52"/>
      <c r="K1052" s="52"/>
      <c r="L1052" s="52"/>
      <c r="M1052" s="52"/>
      <c r="N1052" s="52"/>
      <c r="O1052" s="52"/>
      <c r="P1052" s="52"/>
      <c r="Q1052" s="52"/>
    </row>
    <row r="1053" spans="1:17" s="53" customFormat="1" ht="16.350000000000001" customHeight="1">
      <c r="A1053" s="52"/>
      <c r="B1053" s="52"/>
      <c r="C1053" s="52"/>
      <c r="D1053" s="52"/>
      <c r="E1053" s="52"/>
      <c r="F1053" s="52"/>
      <c r="G1053" s="52"/>
      <c r="H1053" s="52"/>
      <c r="I1053" s="52"/>
      <c r="J1053" s="52"/>
      <c r="K1053" s="52"/>
      <c r="L1053" s="52"/>
      <c r="M1053" s="52"/>
      <c r="N1053" s="52"/>
      <c r="O1053" s="52"/>
      <c r="P1053" s="52"/>
      <c r="Q1053" s="52"/>
    </row>
    <row r="1054" spans="1:17" s="53" customFormat="1" ht="16.350000000000001" customHeight="1">
      <c r="A1054" s="52"/>
      <c r="B1054" s="52"/>
      <c r="C1054" s="52"/>
      <c r="D1054" s="52"/>
      <c r="E1054" s="52"/>
      <c r="F1054" s="52"/>
      <c r="G1054" s="52"/>
      <c r="H1054" s="52"/>
      <c r="I1054" s="52"/>
      <c r="J1054" s="52"/>
      <c r="K1054" s="52"/>
      <c r="L1054" s="52"/>
      <c r="M1054" s="52"/>
      <c r="N1054" s="52"/>
      <c r="O1054" s="52"/>
      <c r="P1054" s="52"/>
      <c r="Q1054" s="52"/>
    </row>
    <row r="1055" spans="1:17" s="53" customFormat="1" ht="16.350000000000001" customHeight="1">
      <c r="A1055" s="52"/>
      <c r="B1055" s="52"/>
      <c r="C1055" s="5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</row>
    <row r="1056" spans="1:17" s="53" customFormat="1" ht="16.350000000000001" customHeight="1">
      <c r="A1056" s="52"/>
      <c r="B1056" s="52"/>
      <c r="C1056" s="52"/>
      <c r="D1056" s="52"/>
      <c r="E1056" s="52"/>
      <c r="F1056" s="52"/>
      <c r="G1056" s="52"/>
      <c r="H1056" s="52"/>
      <c r="I1056" s="52"/>
      <c r="J1056" s="52"/>
      <c r="K1056" s="52"/>
      <c r="L1056" s="52"/>
      <c r="M1056" s="52"/>
      <c r="N1056" s="52"/>
      <c r="O1056" s="52"/>
      <c r="P1056" s="52"/>
      <c r="Q1056" s="52"/>
    </row>
    <row r="1057" spans="1:17" s="53" customFormat="1" ht="16.350000000000001" customHeight="1">
      <c r="A1057" s="52"/>
      <c r="B1057" s="52"/>
      <c r="C1057" s="52"/>
      <c r="D1057" s="52"/>
      <c r="E1057" s="52"/>
      <c r="F1057" s="52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</row>
    <row r="1058" spans="1:17" s="53" customFormat="1" ht="16.350000000000001" customHeight="1">
      <c r="A1058" s="52"/>
      <c r="B1058" s="52"/>
      <c r="C1058" s="52"/>
      <c r="D1058" s="52"/>
      <c r="E1058" s="52"/>
      <c r="F1058" s="52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</row>
    <row r="1059" spans="1:17" s="53" customFormat="1" ht="16.350000000000001" customHeight="1">
      <c r="A1059" s="52"/>
      <c r="B1059" s="52"/>
      <c r="C1059" s="5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</row>
    <row r="1060" spans="1:17" s="53" customFormat="1" ht="16.350000000000001" customHeight="1">
      <c r="A1060" s="52"/>
      <c r="B1060" s="52"/>
      <c r="C1060" s="52"/>
      <c r="D1060" s="52"/>
      <c r="E1060" s="52"/>
      <c r="F1060" s="52"/>
      <c r="G1060" s="52"/>
      <c r="H1060" s="52"/>
      <c r="I1060" s="52"/>
      <c r="J1060" s="52"/>
      <c r="K1060" s="52"/>
      <c r="L1060" s="52"/>
      <c r="M1060" s="52"/>
      <c r="N1060" s="52"/>
      <c r="O1060" s="52"/>
      <c r="P1060" s="52"/>
      <c r="Q1060" s="52"/>
    </row>
    <row r="1061" spans="1:17" s="53" customFormat="1" ht="16.350000000000001" customHeight="1">
      <c r="A1061" s="52"/>
      <c r="B1061" s="52"/>
      <c r="C1061" s="52"/>
      <c r="D1061" s="52"/>
      <c r="E1061" s="52"/>
      <c r="F1061" s="52"/>
      <c r="G1061" s="52"/>
      <c r="H1061" s="52"/>
      <c r="I1061" s="52"/>
      <c r="J1061" s="52"/>
      <c r="K1061" s="52"/>
      <c r="L1061" s="52"/>
      <c r="M1061" s="52"/>
      <c r="N1061" s="52"/>
      <c r="O1061" s="52"/>
      <c r="P1061" s="52"/>
      <c r="Q1061" s="52"/>
    </row>
    <row r="1062" spans="1:17" s="53" customFormat="1" ht="16.350000000000001" customHeight="1">
      <c r="A1062" s="52"/>
      <c r="B1062" s="52"/>
      <c r="C1062" s="52"/>
      <c r="D1062" s="52"/>
      <c r="E1062" s="52"/>
      <c r="F1062" s="52"/>
      <c r="G1062" s="52"/>
      <c r="H1062" s="52"/>
      <c r="I1062" s="52"/>
      <c r="J1062" s="52"/>
      <c r="K1062" s="52"/>
      <c r="L1062" s="52"/>
      <c r="M1062" s="52"/>
      <c r="N1062" s="52"/>
      <c r="O1062" s="52"/>
      <c r="P1062" s="52"/>
      <c r="Q1062" s="52"/>
    </row>
    <row r="1063" spans="1:17" s="53" customFormat="1" ht="16.350000000000001" customHeight="1">
      <c r="A1063" s="52"/>
      <c r="B1063" s="52"/>
      <c r="C1063" s="5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</row>
    <row r="1064" spans="1:17" s="53" customFormat="1" ht="16.350000000000001" customHeight="1">
      <c r="A1064" s="52"/>
      <c r="B1064" s="52"/>
      <c r="C1064" s="52"/>
      <c r="D1064" s="52"/>
      <c r="E1064" s="52"/>
      <c r="F1064" s="52"/>
      <c r="G1064" s="52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</row>
    <row r="1065" spans="1:17" s="53" customFormat="1" ht="16.350000000000001" customHeight="1">
      <c r="A1065" s="52"/>
      <c r="B1065" s="52"/>
      <c r="C1065" s="52"/>
      <c r="D1065" s="52"/>
      <c r="E1065" s="52"/>
      <c r="F1065" s="52"/>
      <c r="G1065" s="52"/>
      <c r="H1065" s="52"/>
      <c r="I1065" s="52"/>
      <c r="J1065" s="52"/>
      <c r="K1065" s="52"/>
      <c r="L1065" s="52"/>
      <c r="M1065" s="52"/>
      <c r="N1065" s="52"/>
      <c r="O1065" s="52"/>
      <c r="P1065" s="52"/>
      <c r="Q1065" s="52"/>
    </row>
    <row r="1066" spans="1:17" s="53" customFormat="1" ht="16.350000000000001" customHeight="1">
      <c r="A1066" s="52"/>
      <c r="B1066" s="52"/>
      <c r="C1066" s="52"/>
      <c r="D1066" s="52"/>
      <c r="E1066" s="52"/>
      <c r="F1066" s="52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</row>
    <row r="1067" spans="1:17" s="53" customFormat="1" ht="16.350000000000001" customHeight="1">
      <c r="A1067" s="52"/>
      <c r="B1067" s="52"/>
      <c r="C1067" s="5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</row>
    <row r="1068" spans="1:17" s="53" customFormat="1" ht="16.350000000000001" customHeight="1">
      <c r="A1068" s="52"/>
      <c r="B1068" s="52"/>
      <c r="C1068" s="52"/>
      <c r="D1068" s="52"/>
      <c r="E1068" s="52"/>
      <c r="F1068" s="52"/>
      <c r="G1068" s="52"/>
      <c r="H1068" s="52"/>
      <c r="I1068" s="52"/>
      <c r="J1068" s="52"/>
      <c r="K1068" s="52"/>
      <c r="L1068" s="52"/>
      <c r="M1068" s="52"/>
      <c r="N1068" s="52"/>
      <c r="O1068" s="52"/>
      <c r="P1068" s="52"/>
      <c r="Q1068" s="52"/>
    </row>
    <row r="1069" spans="1:17" s="53" customFormat="1" ht="16.350000000000001" customHeight="1">
      <c r="A1069" s="52"/>
      <c r="B1069" s="52"/>
      <c r="C1069" s="52"/>
      <c r="D1069" s="52"/>
      <c r="E1069" s="52"/>
      <c r="F1069" s="52"/>
      <c r="G1069" s="52"/>
      <c r="H1069" s="52"/>
      <c r="I1069" s="52"/>
      <c r="J1069" s="52"/>
      <c r="K1069" s="52"/>
      <c r="L1069" s="52"/>
      <c r="M1069" s="52"/>
      <c r="N1069" s="52"/>
      <c r="O1069" s="52"/>
      <c r="P1069" s="52"/>
      <c r="Q1069" s="52"/>
    </row>
    <row r="1070" spans="1:17" s="53" customFormat="1" ht="16.350000000000001" customHeight="1">
      <c r="A1070" s="52"/>
      <c r="B1070" s="52"/>
      <c r="C1070" s="52"/>
      <c r="D1070" s="52"/>
      <c r="E1070" s="52"/>
      <c r="F1070" s="52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</row>
    <row r="1071" spans="1:17" s="53" customFormat="1" ht="16.350000000000001" customHeight="1">
      <c r="A1071" s="52"/>
      <c r="B1071" s="52"/>
      <c r="C1071" s="5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</row>
    <row r="1072" spans="1:17" s="53" customFormat="1" ht="16.350000000000001" customHeight="1">
      <c r="A1072" s="52"/>
      <c r="B1072" s="52"/>
      <c r="C1072" s="52"/>
      <c r="D1072" s="52"/>
      <c r="E1072" s="52"/>
      <c r="F1072" s="52"/>
      <c r="G1072" s="52"/>
      <c r="H1072" s="52"/>
      <c r="I1072" s="52"/>
      <c r="J1072" s="52"/>
      <c r="K1072" s="52"/>
      <c r="L1072" s="52"/>
      <c r="M1072" s="52"/>
      <c r="N1072" s="52"/>
      <c r="O1072" s="52"/>
      <c r="P1072" s="52"/>
      <c r="Q1072" s="52"/>
    </row>
    <row r="1073" spans="1:17" s="53" customFormat="1" ht="16.350000000000001" customHeight="1">
      <c r="A1073" s="52"/>
      <c r="B1073" s="52"/>
      <c r="C1073" s="52"/>
      <c r="D1073" s="52"/>
      <c r="E1073" s="52"/>
      <c r="F1073" s="52"/>
      <c r="G1073" s="52"/>
      <c r="H1073" s="52"/>
      <c r="I1073" s="52"/>
      <c r="J1073" s="52"/>
      <c r="K1073" s="52"/>
      <c r="L1073" s="52"/>
      <c r="M1073" s="52"/>
      <c r="N1073" s="52"/>
      <c r="O1073" s="52"/>
      <c r="P1073" s="52"/>
      <c r="Q1073" s="52"/>
    </row>
    <row r="1074" spans="1:17" s="53" customFormat="1" ht="16.350000000000001" customHeight="1">
      <c r="A1074" s="52"/>
      <c r="B1074" s="52"/>
      <c r="C1074" s="52"/>
      <c r="D1074" s="52"/>
      <c r="E1074" s="52"/>
      <c r="F1074" s="52"/>
      <c r="G1074" s="52"/>
      <c r="H1074" s="52"/>
      <c r="I1074" s="52"/>
      <c r="J1074" s="52"/>
      <c r="K1074" s="52"/>
      <c r="L1074" s="52"/>
      <c r="M1074" s="52"/>
      <c r="N1074" s="52"/>
      <c r="O1074" s="52"/>
      <c r="P1074" s="52"/>
      <c r="Q1074" s="52"/>
    </row>
    <row r="1075" spans="1:17" s="53" customFormat="1" ht="16.350000000000001" customHeight="1">
      <c r="A1075" s="52"/>
      <c r="B1075" s="52"/>
      <c r="C1075" s="5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</row>
    <row r="1076" spans="1:17" s="53" customFormat="1" ht="16.350000000000001" customHeight="1">
      <c r="A1076" s="52"/>
      <c r="B1076" s="52"/>
      <c r="C1076" s="52"/>
      <c r="D1076" s="52"/>
      <c r="E1076" s="52"/>
      <c r="F1076" s="52"/>
      <c r="G1076" s="52"/>
      <c r="H1076" s="52"/>
      <c r="I1076" s="52"/>
      <c r="J1076" s="52"/>
      <c r="K1076" s="52"/>
      <c r="L1076" s="52"/>
      <c r="M1076" s="52"/>
      <c r="N1076" s="52"/>
      <c r="O1076" s="52"/>
      <c r="P1076" s="52"/>
      <c r="Q1076" s="52"/>
    </row>
    <row r="1077" spans="1:17" s="53" customFormat="1" ht="16.350000000000001" customHeight="1">
      <c r="A1077" s="52"/>
      <c r="B1077" s="52"/>
      <c r="C1077" s="52"/>
      <c r="D1077" s="52"/>
      <c r="E1077" s="52"/>
      <c r="F1077" s="52"/>
      <c r="G1077" s="52"/>
      <c r="H1077" s="52"/>
      <c r="I1077" s="52"/>
      <c r="J1077" s="52"/>
      <c r="K1077" s="52"/>
      <c r="L1077" s="52"/>
      <c r="M1077" s="52"/>
      <c r="N1077" s="52"/>
      <c r="O1077" s="52"/>
      <c r="P1077" s="52"/>
      <c r="Q1077" s="52"/>
    </row>
    <row r="1078" spans="1:17" s="53" customFormat="1" ht="16.350000000000001" customHeight="1">
      <c r="A1078" s="52"/>
      <c r="B1078" s="52"/>
      <c r="C1078" s="52"/>
      <c r="D1078" s="52"/>
      <c r="E1078" s="52"/>
      <c r="F1078" s="52"/>
      <c r="G1078" s="52"/>
      <c r="H1078" s="52"/>
      <c r="I1078" s="52"/>
      <c r="J1078" s="52"/>
      <c r="K1078" s="52"/>
      <c r="L1078" s="52"/>
      <c r="M1078" s="52"/>
      <c r="N1078" s="52"/>
      <c r="O1078" s="52"/>
      <c r="P1078" s="52"/>
      <c r="Q1078" s="52"/>
    </row>
    <row r="1079" spans="1:17" s="53" customFormat="1" ht="16.350000000000001" customHeight="1">
      <c r="A1079" s="52"/>
      <c r="B1079" s="52"/>
      <c r="C1079" s="5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</row>
    <row r="1080" spans="1:17" s="53" customFormat="1" ht="16.350000000000001" customHeight="1">
      <c r="A1080" s="52"/>
      <c r="B1080" s="52"/>
      <c r="C1080" s="52"/>
      <c r="D1080" s="52"/>
      <c r="E1080" s="52"/>
      <c r="F1080" s="52"/>
      <c r="G1080" s="52"/>
      <c r="H1080" s="52"/>
      <c r="I1080" s="52"/>
      <c r="J1080" s="52"/>
      <c r="K1080" s="52"/>
      <c r="L1080" s="52"/>
      <c r="M1080" s="52"/>
      <c r="N1080" s="52"/>
      <c r="O1080" s="52"/>
      <c r="P1080" s="52"/>
      <c r="Q1080" s="52"/>
    </row>
    <row r="1081" spans="1:17" s="53" customFormat="1" ht="16.350000000000001" customHeight="1">
      <c r="A1081" s="52"/>
      <c r="B1081" s="52"/>
      <c r="C1081" s="52"/>
      <c r="D1081" s="52"/>
      <c r="E1081" s="52"/>
      <c r="F1081" s="52"/>
      <c r="G1081" s="52"/>
      <c r="H1081" s="52"/>
      <c r="I1081" s="52"/>
      <c r="J1081" s="52"/>
      <c r="K1081" s="52"/>
      <c r="L1081" s="52"/>
      <c r="M1081" s="52"/>
      <c r="N1081" s="52"/>
      <c r="O1081" s="52"/>
      <c r="P1081" s="52"/>
      <c r="Q1081" s="52"/>
    </row>
    <row r="1082" spans="1:17" s="53" customFormat="1" ht="16.350000000000001" customHeight="1">
      <c r="A1082" s="52"/>
      <c r="B1082" s="52"/>
      <c r="C1082" s="52"/>
      <c r="D1082" s="52"/>
      <c r="E1082" s="52"/>
      <c r="F1082" s="52"/>
      <c r="G1082" s="52"/>
      <c r="H1082" s="52"/>
      <c r="I1082" s="52"/>
      <c r="J1082" s="52"/>
      <c r="K1082" s="52"/>
      <c r="L1082" s="52"/>
      <c r="M1082" s="52"/>
      <c r="N1082" s="52"/>
      <c r="O1082" s="52"/>
      <c r="P1082" s="52"/>
      <c r="Q1082" s="52"/>
    </row>
    <row r="1083" spans="1:17" s="53" customFormat="1" ht="16.350000000000001" customHeight="1">
      <c r="A1083" s="52"/>
      <c r="B1083" s="52"/>
      <c r="C1083" s="5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</row>
    <row r="1084" spans="1:17" s="53" customFormat="1" ht="16.350000000000001" customHeight="1">
      <c r="A1084" s="52"/>
      <c r="B1084" s="52"/>
      <c r="C1084" s="52"/>
      <c r="D1084" s="52"/>
      <c r="E1084" s="52"/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</row>
    <row r="1085" spans="1:17" s="53" customFormat="1" ht="16.350000000000001" customHeight="1">
      <c r="A1085" s="52"/>
      <c r="B1085" s="52"/>
      <c r="C1085" s="52"/>
      <c r="D1085" s="52"/>
      <c r="E1085" s="52"/>
      <c r="F1085" s="52"/>
      <c r="G1085" s="52"/>
      <c r="H1085" s="52"/>
      <c r="I1085" s="52"/>
      <c r="J1085" s="52"/>
      <c r="K1085" s="52"/>
      <c r="L1085" s="52"/>
      <c r="M1085" s="52"/>
      <c r="N1085" s="52"/>
      <c r="O1085" s="52"/>
      <c r="P1085" s="52"/>
      <c r="Q1085" s="52"/>
    </row>
    <row r="1086" spans="1:17" s="53" customFormat="1" ht="16.350000000000001" customHeight="1">
      <c r="A1086" s="52"/>
      <c r="B1086" s="52"/>
      <c r="C1086" s="52"/>
      <c r="D1086" s="52"/>
      <c r="E1086" s="52"/>
      <c r="F1086" s="52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</row>
    <row r="1087" spans="1:17" s="53" customFormat="1" ht="16.350000000000001" customHeight="1">
      <c r="A1087" s="52"/>
      <c r="B1087" s="52"/>
      <c r="C1087" s="5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</row>
    <row r="1088" spans="1:17" s="53" customFormat="1" ht="16.350000000000001" customHeight="1">
      <c r="A1088" s="52"/>
      <c r="B1088" s="52"/>
      <c r="C1088" s="52"/>
      <c r="D1088" s="52"/>
      <c r="E1088" s="52"/>
      <c r="F1088" s="52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</row>
    <row r="1089" spans="1:17" s="53" customFormat="1" ht="16.350000000000001" customHeight="1">
      <c r="A1089" s="52"/>
      <c r="B1089" s="52"/>
      <c r="C1089" s="52"/>
      <c r="D1089" s="52"/>
      <c r="E1089" s="52"/>
      <c r="F1089" s="52"/>
      <c r="G1089" s="52"/>
      <c r="H1089" s="52"/>
      <c r="I1089" s="52"/>
      <c r="J1089" s="52"/>
      <c r="K1089" s="52"/>
      <c r="L1089" s="52"/>
      <c r="M1089" s="52"/>
      <c r="N1089" s="52"/>
      <c r="O1089" s="52"/>
      <c r="P1089" s="52"/>
      <c r="Q1089" s="52"/>
    </row>
    <row r="1090" spans="1:17" s="53" customFormat="1" ht="16.350000000000001" customHeight="1">
      <c r="A1090" s="52"/>
      <c r="B1090" s="52"/>
      <c r="C1090" s="52"/>
      <c r="D1090" s="52"/>
      <c r="E1090" s="52"/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</row>
    <row r="1091" spans="1:17" s="53" customFormat="1" ht="16.350000000000001" customHeight="1">
      <c r="A1091" s="52"/>
      <c r="B1091" s="52"/>
      <c r="C1091" s="5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</row>
    <row r="1092" spans="1:17" s="53" customFormat="1" ht="16.350000000000001" customHeight="1">
      <c r="A1092" s="52"/>
      <c r="B1092" s="52"/>
      <c r="C1092" s="52"/>
      <c r="D1092" s="52"/>
      <c r="E1092" s="52"/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</row>
    <row r="1093" spans="1:17" s="53" customFormat="1" ht="16.350000000000001" customHeight="1">
      <c r="A1093" s="52"/>
      <c r="B1093" s="52"/>
      <c r="C1093" s="52"/>
      <c r="D1093" s="52"/>
      <c r="E1093" s="52"/>
      <c r="F1093" s="52"/>
      <c r="G1093" s="52"/>
      <c r="H1093" s="52"/>
      <c r="I1093" s="52"/>
      <c r="J1093" s="52"/>
      <c r="K1093" s="52"/>
      <c r="L1093" s="52"/>
      <c r="M1093" s="52"/>
      <c r="N1093" s="52"/>
      <c r="O1093" s="52"/>
      <c r="P1093" s="52"/>
      <c r="Q1093" s="52"/>
    </row>
    <row r="1094" spans="1:17" s="53" customFormat="1" ht="16.350000000000001" customHeight="1">
      <c r="A1094" s="52"/>
      <c r="B1094" s="52"/>
      <c r="C1094" s="52"/>
      <c r="D1094" s="52"/>
      <c r="E1094" s="52"/>
      <c r="F1094" s="52"/>
      <c r="G1094" s="52"/>
      <c r="H1094" s="52"/>
      <c r="I1094" s="52"/>
      <c r="J1094" s="52"/>
      <c r="K1094" s="52"/>
      <c r="L1094" s="52"/>
      <c r="M1094" s="52"/>
      <c r="N1094" s="52"/>
      <c r="O1094" s="52"/>
      <c r="P1094" s="52"/>
      <c r="Q1094" s="52"/>
    </row>
    <row r="1095" spans="1:17" s="53" customFormat="1" ht="16.350000000000001" customHeight="1">
      <c r="A1095" s="52"/>
      <c r="B1095" s="52"/>
      <c r="C1095" s="5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</row>
    <row r="1096" spans="1:17" s="53" customFormat="1" ht="16.350000000000001" customHeight="1">
      <c r="A1096" s="52"/>
      <c r="B1096" s="52"/>
      <c r="C1096" s="52"/>
      <c r="D1096" s="52"/>
      <c r="E1096" s="52"/>
      <c r="F1096" s="52"/>
      <c r="G1096" s="52"/>
      <c r="H1096" s="52"/>
      <c r="I1096" s="52"/>
      <c r="J1096" s="52"/>
      <c r="K1096" s="52"/>
      <c r="L1096" s="52"/>
      <c r="M1096" s="52"/>
      <c r="N1096" s="52"/>
      <c r="O1096" s="52"/>
      <c r="P1096" s="52"/>
      <c r="Q1096" s="52"/>
    </row>
    <row r="1097" spans="1:17" s="53" customFormat="1" ht="16.350000000000001" customHeight="1">
      <c r="A1097" s="52"/>
      <c r="B1097" s="52"/>
      <c r="C1097" s="52"/>
      <c r="D1097" s="52"/>
      <c r="E1097" s="52"/>
      <c r="F1097" s="52"/>
      <c r="G1097" s="52"/>
      <c r="H1097" s="52"/>
      <c r="I1097" s="52"/>
      <c r="J1097" s="52"/>
      <c r="K1097" s="52"/>
      <c r="L1097" s="52"/>
      <c r="M1097" s="52"/>
      <c r="N1097" s="52"/>
      <c r="O1097" s="52"/>
      <c r="P1097" s="52"/>
      <c r="Q1097" s="52"/>
    </row>
    <row r="1098" spans="1:17" s="53" customFormat="1" ht="16.350000000000001" customHeight="1">
      <c r="A1098" s="52"/>
      <c r="B1098" s="52"/>
      <c r="C1098" s="52"/>
      <c r="D1098" s="52"/>
      <c r="E1098" s="52"/>
      <c r="F1098" s="52"/>
      <c r="G1098" s="52"/>
      <c r="H1098" s="52"/>
      <c r="I1098" s="52"/>
      <c r="J1098" s="52"/>
      <c r="K1098" s="52"/>
      <c r="L1098" s="52"/>
      <c r="M1098" s="52"/>
      <c r="N1098" s="52"/>
      <c r="O1098" s="52"/>
      <c r="P1098" s="52"/>
      <c r="Q1098" s="52"/>
    </row>
    <row r="1099" spans="1:17" s="53" customFormat="1" ht="16.350000000000001" customHeight="1">
      <c r="A1099" s="52"/>
      <c r="B1099" s="52"/>
      <c r="C1099" s="5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</row>
    <row r="1100" spans="1:17" s="53" customFormat="1" ht="16.350000000000001" customHeight="1">
      <c r="A1100" s="52"/>
      <c r="B1100" s="52"/>
      <c r="C1100" s="52"/>
      <c r="D1100" s="52"/>
      <c r="E1100" s="52"/>
      <c r="F1100" s="52"/>
      <c r="G1100" s="52"/>
      <c r="H1100" s="52"/>
      <c r="I1100" s="52"/>
      <c r="J1100" s="52"/>
      <c r="K1100" s="52"/>
      <c r="L1100" s="52"/>
      <c r="M1100" s="52"/>
      <c r="N1100" s="52"/>
      <c r="O1100" s="52"/>
      <c r="P1100" s="52"/>
      <c r="Q1100" s="52"/>
    </row>
    <row r="1101" spans="1:17" s="53" customFormat="1" ht="16.350000000000001" customHeight="1">
      <c r="A1101" s="52"/>
      <c r="B1101" s="52"/>
      <c r="C1101" s="52"/>
      <c r="D1101" s="52"/>
      <c r="E1101" s="52"/>
      <c r="F1101" s="52"/>
      <c r="G1101" s="52"/>
      <c r="H1101" s="52"/>
      <c r="I1101" s="52"/>
      <c r="J1101" s="52"/>
      <c r="K1101" s="52"/>
      <c r="L1101" s="52"/>
      <c r="M1101" s="52"/>
      <c r="N1101" s="52"/>
      <c r="O1101" s="52"/>
      <c r="P1101" s="52"/>
      <c r="Q1101" s="52"/>
    </row>
    <row r="1102" spans="1:17" s="53" customFormat="1" ht="16.350000000000001" customHeight="1">
      <c r="A1102" s="52"/>
      <c r="B1102" s="52"/>
      <c r="C1102" s="52"/>
      <c r="D1102" s="52"/>
      <c r="E1102" s="52"/>
      <c r="F1102" s="52"/>
      <c r="G1102" s="52"/>
      <c r="H1102" s="52"/>
      <c r="I1102" s="52"/>
      <c r="J1102" s="52"/>
      <c r="K1102" s="52"/>
      <c r="L1102" s="52"/>
      <c r="M1102" s="52"/>
      <c r="N1102" s="52"/>
      <c r="O1102" s="52"/>
      <c r="P1102" s="52"/>
      <c r="Q1102" s="52"/>
    </row>
    <row r="1103" spans="1:17" s="53" customFormat="1" ht="16.350000000000001" customHeight="1">
      <c r="A1103" s="52"/>
      <c r="B1103" s="52"/>
      <c r="C1103" s="5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</row>
    <row r="1104" spans="1:17" s="53" customFormat="1" ht="16.350000000000001" customHeight="1">
      <c r="A1104" s="52"/>
      <c r="B1104" s="52"/>
      <c r="C1104" s="52"/>
      <c r="D1104" s="52"/>
      <c r="E1104" s="52"/>
      <c r="F1104" s="52"/>
      <c r="G1104" s="52"/>
      <c r="H1104" s="52"/>
      <c r="I1104" s="52"/>
      <c r="J1104" s="52"/>
      <c r="K1104" s="52"/>
      <c r="L1104" s="52"/>
      <c r="M1104" s="52"/>
      <c r="N1104" s="52"/>
      <c r="O1104" s="52"/>
      <c r="P1104" s="52"/>
      <c r="Q1104" s="52"/>
    </row>
    <row r="1105" spans="1:17" s="53" customFormat="1" ht="16.350000000000001" customHeight="1">
      <c r="A1105" s="52"/>
      <c r="B1105" s="52"/>
      <c r="C1105" s="52"/>
      <c r="D1105" s="52"/>
      <c r="E1105" s="52"/>
      <c r="F1105" s="52"/>
      <c r="G1105" s="52"/>
      <c r="H1105" s="52"/>
      <c r="I1105" s="52"/>
      <c r="J1105" s="52"/>
      <c r="K1105" s="52"/>
      <c r="L1105" s="52"/>
      <c r="M1105" s="52"/>
      <c r="N1105" s="52"/>
      <c r="O1105" s="52"/>
      <c r="P1105" s="52"/>
      <c r="Q1105" s="52"/>
    </row>
    <row r="1106" spans="1:17" s="53" customFormat="1" ht="16.350000000000001" customHeight="1">
      <c r="A1106" s="52"/>
      <c r="B1106" s="52"/>
      <c r="C1106" s="52"/>
      <c r="D1106" s="52"/>
      <c r="E1106" s="52"/>
      <c r="F1106" s="52"/>
      <c r="G1106" s="52"/>
      <c r="H1106" s="52"/>
      <c r="I1106" s="52"/>
      <c r="J1106" s="52"/>
      <c r="K1106" s="52"/>
      <c r="L1106" s="52"/>
      <c r="M1106" s="52"/>
      <c r="N1106" s="52"/>
      <c r="O1106" s="52"/>
      <c r="P1106" s="52"/>
      <c r="Q1106" s="52"/>
    </row>
    <row r="1107" spans="1:17" s="53" customFormat="1" ht="16.350000000000001" customHeight="1">
      <c r="A1107" s="52"/>
      <c r="B1107" s="52"/>
      <c r="C1107" s="5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</row>
    <row r="1108" spans="1:17" s="53" customFormat="1" ht="16.350000000000001" customHeight="1">
      <c r="A1108" s="52"/>
      <c r="B1108" s="52"/>
      <c r="C1108" s="52"/>
      <c r="D1108" s="52"/>
      <c r="E1108" s="52"/>
      <c r="F1108" s="52"/>
      <c r="G1108" s="52"/>
      <c r="H1108" s="52"/>
      <c r="I1108" s="52"/>
      <c r="J1108" s="52"/>
      <c r="K1108" s="52"/>
      <c r="L1108" s="52"/>
      <c r="M1108" s="52"/>
      <c r="N1108" s="52"/>
      <c r="O1108" s="52"/>
      <c r="P1108" s="52"/>
      <c r="Q1108" s="52"/>
    </row>
    <row r="1109" spans="1:17" s="53" customFormat="1" ht="16.350000000000001" customHeight="1">
      <c r="A1109" s="52"/>
      <c r="B1109" s="52"/>
      <c r="C1109" s="52"/>
      <c r="D1109" s="52"/>
      <c r="E1109" s="52"/>
      <c r="F1109" s="52"/>
      <c r="G1109" s="52"/>
      <c r="H1109" s="52"/>
      <c r="I1109" s="52"/>
      <c r="J1109" s="52"/>
      <c r="K1109" s="52"/>
      <c r="L1109" s="52"/>
      <c r="M1109" s="52"/>
      <c r="N1109" s="52"/>
      <c r="O1109" s="52"/>
      <c r="P1109" s="52"/>
      <c r="Q1109" s="52"/>
    </row>
    <row r="1110" spans="1:17" s="53" customFormat="1" ht="16.350000000000001" customHeight="1">
      <c r="A1110" s="52"/>
      <c r="B1110" s="52"/>
      <c r="C1110" s="52"/>
      <c r="D1110" s="52"/>
      <c r="E1110" s="52"/>
      <c r="F1110" s="52"/>
      <c r="G1110" s="52"/>
      <c r="H1110" s="52"/>
      <c r="I1110" s="52"/>
      <c r="J1110" s="52"/>
      <c r="K1110" s="52"/>
      <c r="L1110" s="52"/>
      <c r="M1110" s="52"/>
      <c r="N1110" s="52"/>
      <c r="O1110" s="52"/>
      <c r="P1110" s="52"/>
      <c r="Q1110" s="52"/>
    </row>
    <row r="1111" spans="1:17" s="53" customFormat="1" ht="16.350000000000001" customHeight="1">
      <c r="A1111" s="52"/>
      <c r="B1111" s="52"/>
      <c r="C1111" s="5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</row>
    <row r="1112" spans="1:17" s="53" customFormat="1" ht="16.350000000000001" customHeight="1">
      <c r="A1112" s="52"/>
      <c r="B1112" s="52"/>
      <c r="C1112" s="52"/>
      <c r="D1112" s="52"/>
      <c r="E1112" s="52"/>
      <c r="F1112" s="52"/>
      <c r="G1112" s="52"/>
      <c r="H1112" s="52"/>
      <c r="I1112" s="52"/>
      <c r="J1112" s="52"/>
      <c r="K1112" s="52"/>
      <c r="L1112" s="52"/>
      <c r="M1112" s="52"/>
      <c r="N1112" s="52"/>
      <c r="O1112" s="52"/>
      <c r="P1112" s="52"/>
      <c r="Q1112" s="52"/>
    </row>
    <row r="1113" spans="1:17" s="53" customFormat="1" ht="16.350000000000001" customHeight="1">
      <c r="A1113" s="52"/>
      <c r="B1113" s="52"/>
      <c r="C1113" s="52"/>
      <c r="D1113" s="52"/>
      <c r="E1113" s="52"/>
      <c r="F1113" s="52"/>
      <c r="G1113" s="52"/>
      <c r="H1113" s="52"/>
      <c r="I1113" s="52"/>
      <c r="J1113" s="52"/>
      <c r="K1113" s="52"/>
      <c r="L1113" s="52"/>
      <c r="M1113" s="52"/>
      <c r="N1113" s="52"/>
      <c r="O1113" s="52"/>
      <c r="P1113" s="52"/>
      <c r="Q1113" s="52"/>
    </row>
    <row r="1114" spans="1:17" s="53" customFormat="1" ht="16.350000000000001" customHeight="1">
      <c r="A1114" s="52"/>
      <c r="B1114" s="52"/>
      <c r="C1114" s="52"/>
      <c r="D1114" s="52"/>
      <c r="E1114" s="52"/>
      <c r="F1114" s="52"/>
      <c r="G1114" s="52"/>
      <c r="H1114" s="52"/>
      <c r="I1114" s="52"/>
      <c r="J1114" s="52"/>
      <c r="K1114" s="52"/>
      <c r="L1114" s="52"/>
      <c r="M1114" s="52"/>
      <c r="N1114" s="52"/>
      <c r="O1114" s="52"/>
      <c r="P1114" s="52"/>
      <c r="Q1114" s="52"/>
    </row>
    <row r="1115" spans="1:17" s="53" customFormat="1" ht="16.350000000000001" customHeight="1">
      <c r="A1115" s="52"/>
      <c r="B1115" s="52"/>
      <c r="C1115" s="5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</row>
    <row r="1116" spans="1:17" s="53" customFormat="1" ht="16.350000000000001" customHeight="1">
      <c r="A1116" s="52"/>
      <c r="B1116" s="52"/>
      <c r="C1116" s="52"/>
      <c r="D1116" s="52"/>
      <c r="E1116" s="52"/>
      <c r="F1116" s="52"/>
      <c r="G1116" s="52"/>
      <c r="H1116" s="52"/>
      <c r="I1116" s="52"/>
      <c r="J1116" s="52"/>
      <c r="K1116" s="52"/>
      <c r="L1116" s="52"/>
      <c r="M1116" s="52"/>
      <c r="N1116" s="52"/>
      <c r="O1116" s="52"/>
      <c r="P1116" s="52"/>
      <c r="Q1116" s="52"/>
    </row>
    <row r="1117" spans="1:17" s="53" customFormat="1" ht="16.350000000000001" customHeight="1">
      <c r="A1117" s="52"/>
      <c r="B1117" s="52"/>
      <c r="C1117" s="52"/>
      <c r="D1117" s="52"/>
      <c r="E1117" s="52"/>
      <c r="F1117" s="52"/>
      <c r="G1117" s="52"/>
      <c r="H1117" s="52"/>
      <c r="I1117" s="52"/>
      <c r="J1117" s="52"/>
      <c r="K1117" s="52"/>
      <c r="L1117" s="52"/>
      <c r="M1117" s="52"/>
      <c r="N1117" s="52"/>
      <c r="O1117" s="52"/>
      <c r="P1117" s="52"/>
      <c r="Q1117" s="52"/>
    </row>
    <row r="1118" spans="1:17" s="53" customFormat="1" ht="16.350000000000001" customHeight="1">
      <c r="A1118" s="52"/>
      <c r="B1118" s="52"/>
      <c r="C1118" s="52"/>
      <c r="D1118" s="52"/>
      <c r="E1118" s="52"/>
      <c r="F1118" s="52"/>
      <c r="G1118" s="52"/>
      <c r="H1118" s="52"/>
      <c r="I1118" s="52"/>
      <c r="J1118" s="52"/>
      <c r="K1118" s="52"/>
      <c r="L1118" s="52"/>
      <c r="M1118" s="52"/>
      <c r="N1118" s="52"/>
      <c r="O1118" s="52"/>
      <c r="P1118" s="52"/>
      <c r="Q1118" s="52"/>
    </row>
    <row r="1119" spans="1:17" s="53" customFormat="1" ht="16.350000000000001" customHeight="1">
      <c r="A1119" s="52"/>
      <c r="B1119" s="52"/>
      <c r="C1119" s="5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</row>
    <row r="1120" spans="1:17" s="53" customFormat="1" ht="16.350000000000001" customHeight="1">
      <c r="A1120" s="52"/>
      <c r="B1120" s="52"/>
      <c r="C1120" s="52"/>
      <c r="D1120" s="52"/>
      <c r="E1120" s="52"/>
      <c r="F1120" s="52"/>
      <c r="G1120" s="52"/>
      <c r="H1120" s="52"/>
      <c r="I1120" s="52"/>
      <c r="J1120" s="52"/>
      <c r="K1120" s="52"/>
      <c r="L1120" s="52"/>
      <c r="M1120" s="52"/>
      <c r="N1120" s="52"/>
      <c r="O1120" s="52"/>
      <c r="P1120" s="52"/>
      <c r="Q1120" s="52"/>
    </row>
    <row r="1121" spans="1:17" s="53" customFormat="1" ht="16.350000000000001" customHeight="1">
      <c r="A1121" s="52"/>
      <c r="B1121" s="52"/>
      <c r="C1121" s="52"/>
      <c r="D1121" s="52"/>
      <c r="E1121" s="52"/>
      <c r="F1121" s="52"/>
      <c r="G1121" s="52"/>
      <c r="H1121" s="52"/>
      <c r="I1121" s="52"/>
      <c r="J1121" s="52"/>
      <c r="K1121" s="52"/>
      <c r="L1121" s="52"/>
      <c r="M1121" s="52"/>
      <c r="N1121" s="52"/>
      <c r="O1121" s="52"/>
      <c r="P1121" s="52"/>
      <c r="Q1121" s="52"/>
    </row>
    <row r="1122" spans="1:17" s="53" customFormat="1" ht="16.350000000000001" customHeight="1">
      <c r="A1122" s="52"/>
      <c r="B1122" s="52"/>
      <c r="C1122" s="52"/>
      <c r="D1122" s="52"/>
      <c r="E1122" s="52"/>
      <c r="F1122" s="52"/>
      <c r="G1122" s="52"/>
      <c r="H1122" s="52"/>
      <c r="I1122" s="52"/>
      <c r="J1122" s="52"/>
      <c r="K1122" s="52"/>
      <c r="L1122" s="52"/>
      <c r="M1122" s="52"/>
      <c r="N1122" s="52"/>
      <c r="O1122" s="52"/>
      <c r="P1122" s="52"/>
      <c r="Q1122" s="52"/>
    </row>
    <row r="1123" spans="1:17" s="53" customFormat="1" ht="16.350000000000001" customHeight="1">
      <c r="A1123" s="52"/>
      <c r="B1123" s="52"/>
      <c r="C1123" s="5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</row>
    <row r="1124" spans="1:17" s="53" customFormat="1" ht="16.350000000000001" customHeight="1">
      <c r="A1124" s="52"/>
      <c r="B1124" s="52"/>
      <c r="C1124" s="52"/>
      <c r="D1124" s="52"/>
      <c r="E1124" s="52"/>
      <c r="F1124" s="52"/>
      <c r="G1124" s="52"/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</row>
    <row r="1125" spans="1:17" s="53" customFormat="1" ht="16.350000000000001" customHeight="1">
      <c r="A1125" s="52"/>
      <c r="B1125" s="52"/>
      <c r="C1125" s="52"/>
      <c r="D1125" s="52"/>
      <c r="E1125" s="52"/>
      <c r="F1125" s="52"/>
      <c r="G1125" s="52"/>
      <c r="H1125" s="52"/>
      <c r="I1125" s="52"/>
      <c r="J1125" s="52"/>
      <c r="K1125" s="52"/>
      <c r="L1125" s="52"/>
      <c r="M1125" s="52"/>
      <c r="N1125" s="52"/>
      <c r="O1125" s="52"/>
      <c r="P1125" s="52"/>
      <c r="Q1125" s="52"/>
    </row>
    <row r="1126" spans="1:17" s="53" customFormat="1" ht="16.350000000000001" customHeight="1">
      <c r="A1126" s="52"/>
      <c r="B1126" s="52"/>
      <c r="C1126" s="52"/>
      <c r="D1126" s="52"/>
      <c r="E1126" s="52"/>
      <c r="F1126" s="52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</row>
    <row r="1127" spans="1:17" s="53" customFormat="1" ht="16.350000000000001" customHeight="1">
      <c r="A1127" s="52"/>
      <c r="B1127" s="52"/>
      <c r="C1127" s="5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</row>
    <row r="1128" spans="1:17" s="53" customFormat="1" ht="16.350000000000001" customHeight="1">
      <c r="A1128" s="52"/>
      <c r="B1128" s="52"/>
      <c r="C1128" s="52"/>
      <c r="D1128" s="52"/>
      <c r="E1128" s="52"/>
      <c r="F1128" s="52"/>
      <c r="G1128" s="52"/>
      <c r="H1128" s="52"/>
      <c r="I1128" s="52"/>
      <c r="J1128" s="52"/>
      <c r="K1128" s="52"/>
      <c r="L1128" s="52"/>
      <c r="M1128" s="52"/>
      <c r="N1128" s="52"/>
      <c r="O1128" s="52"/>
      <c r="P1128" s="52"/>
      <c r="Q1128" s="52"/>
    </row>
    <row r="1129" spans="1:17" s="53" customFormat="1" ht="16.350000000000001" customHeight="1">
      <c r="A1129" s="52"/>
      <c r="B1129" s="52"/>
      <c r="C1129" s="52"/>
      <c r="D1129" s="52"/>
      <c r="E1129" s="52"/>
      <c r="F1129" s="52"/>
      <c r="G1129" s="52"/>
      <c r="H1129" s="52"/>
      <c r="I1129" s="52"/>
      <c r="J1129" s="52"/>
      <c r="K1129" s="52"/>
      <c r="L1129" s="52"/>
      <c r="M1129" s="52"/>
      <c r="N1129" s="52"/>
      <c r="O1129" s="52"/>
      <c r="P1129" s="52"/>
      <c r="Q1129" s="52"/>
    </row>
    <row r="1130" spans="1:17" s="53" customFormat="1" ht="16.350000000000001" customHeight="1">
      <c r="A1130" s="52"/>
      <c r="B1130" s="52"/>
      <c r="C1130" s="52"/>
      <c r="D1130" s="52"/>
      <c r="E1130" s="52"/>
      <c r="F1130" s="52"/>
      <c r="G1130" s="52"/>
      <c r="H1130" s="52"/>
      <c r="I1130" s="52"/>
      <c r="J1130" s="52"/>
      <c r="K1130" s="52"/>
      <c r="L1130" s="52"/>
      <c r="M1130" s="52"/>
      <c r="N1130" s="52"/>
      <c r="O1130" s="52"/>
      <c r="P1130" s="52"/>
      <c r="Q1130" s="52"/>
    </row>
    <row r="1131" spans="1:17" s="53" customFormat="1" ht="16.350000000000001" customHeight="1">
      <c r="A1131" s="52"/>
      <c r="B1131" s="52"/>
      <c r="C1131" s="5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</row>
    <row r="1132" spans="1:17" s="53" customFormat="1" ht="16.350000000000001" customHeight="1">
      <c r="A1132" s="52"/>
      <c r="B1132" s="52"/>
      <c r="C1132" s="52"/>
      <c r="D1132" s="52"/>
      <c r="E1132" s="52"/>
      <c r="F1132" s="52"/>
      <c r="G1132" s="52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</row>
    <row r="1133" spans="1:17" s="53" customFormat="1" ht="16.350000000000001" customHeight="1">
      <c r="A1133" s="52"/>
      <c r="B1133" s="52"/>
      <c r="C1133" s="52"/>
      <c r="D1133" s="52"/>
      <c r="E1133" s="52"/>
      <c r="F1133" s="52"/>
      <c r="G1133" s="52"/>
      <c r="H1133" s="52"/>
      <c r="I1133" s="52"/>
      <c r="J1133" s="52"/>
      <c r="K1133" s="52"/>
      <c r="L1133" s="52"/>
      <c r="M1133" s="52"/>
      <c r="N1133" s="52"/>
      <c r="O1133" s="52"/>
      <c r="P1133" s="52"/>
      <c r="Q1133" s="52"/>
    </row>
    <row r="1134" spans="1:17" s="53" customFormat="1" ht="16.350000000000001" customHeight="1">
      <c r="A1134" s="52"/>
      <c r="B1134" s="52"/>
      <c r="C1134" s="52"/>
      <c r="D1134" s="52"/>
      <c r="E1134" s="52"/>
      <c r="F1134" s="52"/>
      <c r="G1134" s="52"/>
      <c r="H1134" s="52"/>
      <c r="I1134" s="52"/>
      <c r="J1134" s="52"/>
      <c r="K1134" s="52"/>
      <c r="L1134" s="52"/>
      <c r="M1134" s="52"/>
      <c r="N1134" s="52"/>
      <c r="O1134" s="52"/>
      <c r="P1134" s="52"/>
      <c r="Q1134" s="52"/>
    </row>
    <row r="1135" spans="1:17" s="53" customFormat="1" ht="16.350000000000001" customHeight="1">
      <c r="A1135" s="52"/>
      <c r="B1135" s="52"/>
      <c r="C1135" s="5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</row>
    <row r="1136" spans="1:17" s="53" customFormat="1" ht="16.350000000000001" customHeight="1">
      <c r="A1136" s="52"/>
      <c r="B1136" s="52"/>
      <c r="C1136" s="52"/>
      <c r="D1136" s="52"/>
      <c r="E1136" s="52"/>
      <c r="F1136" s="52"/>
      <c r="G1136" s="52"/>
      <c r="H1136" s="52"/>
      <c r="I1136" s="52"/>
      <c r="J1136" s="52"/>
      <c r="K1136" s="52"/>
      <c r="L1136" s="52"/>
      <c r="M1136" s="52"/>
      <c r="N1136" s="52"/>
      <c r="O1136" s="52"/>
      <c r="P1136" s="52"/>
      <c r="Q1136" s="52"/>
    </row>
    <row r="1137" spans="1:17" s="53" customFormat="1" ht="16.350000000000001" customHeight="1">
      <c r="A1137" s="52"/>
      <c r="B1137" s="52"/>
      <c r="C1137" s="52"/>
      <c r="D1137" s="52"/>
      <c r="E1137" s="52"/>
      <c r="F1137" s="52"/>
      <c r="G1137" s="52"/>
      <c r="H1137" s="52"/>
      <c r="I1137" s="52"/>
      <c r="J1137" s="52"/>
      <c r="K1137" s="52"/>
      <c r="L1137" s="52"/>
      <c r="M1137" s="52"/>
      <c r="N1137" s="52"/>
      <c r="O1137" s="52"/>
      <c r="P1137" s="52"/>
      <c r="Q1137" s="52"/>
    </row>
    <row r="1138" spans="1:17" s="53" customFormat="1" ht="16.350000000000001" customHeight="1">
      <c r="A1138" s="52"/>
      <c r="B1138" s="52"/>
      <c r="C1138" s="52"/>
      <c r="D1138" s="52"/>
      <c r="E1138" s="52"/>
      <c r="F1138" s="52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</row>
    <row r="1139" spans="1:17" s="53" customFormat="1" ht="16.350000000000001" customHeight="1">
      <c r="A1139" s="52"/>
      <c r="B1139" s="52"/>
      <c r="C1139" s="5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</row>
    <row r="1140" spans="1:17" s="53" customFormat="1" ht="16.350000000000001" customHeight="1">
      <c r="A1140" s="52"/>
      <c r="B1140" s="52"/>
      <c r="C1140" s="52"/>
      <c r="D1140" s="52"/>
      <c r="E1140" s="52"/>
      <c r="F1140" s="52"/>
      <c r="G1140" s="52"/>
      <c r="H1140" s="52"/>
      <c r="I1140" s="52"/>
      <c r="J1140" s="52"/>
      <c r="K1140" s="52"/>
      <c r="L1140" s="52"/>
      <c r="M1140" s="52"/>
      <c r="N1140" s="52"/>
      <c r="O1140" s="52"/>
      <c r="P1140" s="52"/>
      <c r="Q1140" s="52"/>
    </row>
    <row r="1141" spans="1:17" s="53" customFormat="1" ht="16.350000000000001" customHeight="1">
      <c r="A1141" s="52"/>
      <c r="B1141" s="52"/>
      <c r="C1141" s="52"/>
      <c r="D1141" s="52"/>
      <c r="E1141" s="52"/>
      <c r="F1141" s="52"/>
      <c r="G1141" s="52"/>
      <c r="H1141" s="52"/>
      <c r="I1141" s="52"/>
      <c r="J1141" s="52"/>
      <c r="K1141" s="52"/>
      <c r="L1141" s="52"/>
      <c r="M1141" s="52"/>
      <c r="N1141" s="52"/>
      <c r="O1141" s="52"/>
      <c r="P1141" s="52"/>
      <c r="Q1141" s="52"/>
    </row>
    <row r="1142" spans="1:17" s="53" customFormat="1" ht="16.350000000000001" customHeight="1">
      <c r="A1142" s="52"/>
      <c r="B1142" s="52"/>
      <c r="C1142" s="52"/>
      <c r="D1142" s="52"/>
      <c r="E1142" s="52"/>
      <c r="F1142" s="52"/>
      <c r="G1142" s="52"/>
      <c r="H1142" s="52"/>
      <c r="I1142" s="52"/>
      <c r="J1142" s="52"/>
      <c r="K1142" s="52"/>
      <c r="L1142" s="52"/>
      <c r="M1142" s="52"/>
      <c r="N1142" s="52"/>
      <c r="O1142" s="52"/>
      <c r="P1142" s="52"/>
      <c r="Q1142" s="52"/>
    </row>
    <row r="1143" spans="1:17" s="53" customFormat="1" ht="16.350000000000001" customHeight="1">
      <c r="A1143" s="52"/>
      <c r="B1143" s="52"/>
      <c r="C1143" s="5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</row>
    <row r="1144" spans="1:17" s="53" customFormat="1" ht="16.350000000000001" customHeight="1">
      <c r="A1144" s="52"/>
      <c r="B1144" s="52"/>
      <c r="C1144" s="52"/>
      <c r="D1144" s="52"/>
      <c r="E1144" s="52"/>
      <c r="F1144" s="52"/>
      <c r="G1144" s="52"/>
      <c r="H1144" s="52"/>
      <c r="I1144" s="52"/>
      <c r="J1144" s="52"/>
      <c r="K1144" s="52"/>
      <c r="L1144" s="52"/>
      <c r="M1144" s="52"/>
      <c r="N1144" s="52"/>
      <c r="O1144" s="52"/>
      <c r="P1144" s="52"/>
      <c r="Q1144" s="52"/>
    </row>
    <row r="1145" spans="1:17" s="53" customFormat="1" ht="16.350000000000001" customHeight="1">
      <c r="A1145" s="52"/>
      <c r="B1145" s="52"/>
      <c r="C1145" s="52"/>
      <c r="D1145" s="52"/>
      <c r="E1145" s="52"/>
      <c r="F1145" s="52"/>
      <c r="G1145" s="52"/>
      <c r="H1145" s="52"/>
      <c r="I1145" s="52"/>
      <c r="J1145" s="52"/>
      <c r="K1145" s="52"/>
      <c r="L1145" s="52"/>
      <c r="M1145" s="52"/>
      <c r="N1145" s="52"/>
      <c r="O1145" s="52"/>
      <c r="P1145" s="52"/>
      <c r="Q1145" s="52"/>
    </row>
    <row r="1146" spans="1:17" s="53" customFormat="1" ht="16.350000000000001" customHeight="1">
      <c r="A1146" s="52"/>
      <c r="B1146" s="52"/>
      <c r="C1146" s="52"/>
      <c r="D1146" s="52"/>
      <c r="E1146" s="52"/>
      <c r="F1146" s="52"/>
      <c r="G1146" s="52"/>
      <c r="H1146" s="52"/>
      <c r="I1146" s="52"/>
      <c r="J1146" s="52"/>
      <c r="K1146" s="52"/>
      <c r="L1146" s="52"/>
      <c r="M1146" s="52"/>
      <c r="N1146" s="52"/>
      <c r="O1146" s="52"/>
      <c r="P1146" s="52"/>
      <c r="Q1146" s="52"/>
    </row>
    <row r="1147" spans="1:17" s="53" customFormat="1" ht="16.350000000000001" customHeight="1">
      <c r="A1147" s="52"/>
      <c r="B1147" s="52"/>
      <c r="C1147" s="5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</row>
    <row r="1148" spans="1:17" s="53" customFormat="1" ht="16.350000000000001" customHeight="1">
      <c r="A1148" s="52"/>
      <c r="B1148" s="52"/>
      <c r="C1148" s="52"/>
      <c r="D1148" s="52"/>
      <c r="E1148" s="52"/>
      <c r="F1148" s="52"/>
      <c r="G1148" s="52"/>
      <c r="H1148" s="52"/>
      <c r="I1148" s="52"/>
      <c r="J1148" s="52"/>
      <c r="K1148" s="52"/>
      <c r="L1148" s="52"/>
      <c r="M1148" s="52"/>
      <c r="N1148" s="52"/>
      <c r="O1148" s="52"/>
      <c r="P1148" s="52"/>
      <c r="Q1148" s="52"/>
    </row>
    <row r="1149" spans="1:17" s="53" customFormat="1" ht="16.350000000000001" customHeight="1">
      <c r="A1149" s="52"/>
      <c r="B1149" s="52"/>
      <c r="C1149" s="52"/>
      <c r="D1149" s="52"/>
      <c r="E1149" s="52"/>
      <c r="F1149" s="52"/>
      <c r="G1149" s="52"/>
      <c r="H1149" s="52"/>
      <c r="I1149" s="52"/>
      <c r="J1149" s="52"/>
      <c r="K1149" s="52"/>
      <c r="L1149" s="52"/>
      <c r="M1149" s="52"/>
      <c r="N1149" s="52"/>
      <c r="O1149" s="52"/>
      <c r="P1149" s="52"/>
      <c r="Q1149" s="52"/>
    </row>
    <row r="1150" spans="1:17" s="53" customFormat="1" ht="16.350000000000001" customHeight="1">
      <c r="A1150" s="52"/>
      <c r="B1150" s="52"/>
      <c r="C1150" s="52"/>
      <c r="D1150" s="52"/>
      <c r="E1150" s="52"/>
      <c r="F1150" s="52"/>
      <c r="G1150" s="52"/>
      <c r="H1150" s="52"/>
      <c r="I1150" s="52"/>
      <c r="J1150" s="52"/>
      <c r="K1150" s="52"/>
      <c r="L1150" s="52"/>
      <c r="M1150" s="52"/>
      <c r="N1150" s="52"/>
      <c r="O1150" s="52"/>
      <c r="P1150" s="52"/>
      <c r="Q1150" s="52"/>
    </row>
    <row r="1151" spans="1:17" s="53" customFormat="1" ht="16.350000000000001" customHeight="1">
      <c r="A1151" s="52"/>
      <c r="B1151" s="52"/>
      <c r="C1151" s="5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</row>
    <row r="1152" spans="1:17" s="53" customFormat="1" ht="16.350000000000001" customHeight="1">
      <c r="A1152" s="52"/>
      <c r="B1152" s="52"/>
      <c r="C1152" s="52"/>
      <c r="D1152" s="52"/>
      <c r="E1152" s="52"/>
      <c r="F1152" s="52"/>
      <c r="G1152" s="52"/>
      <c r="H1152" s="52"/>
      <c r="I1152" s="52"/>
      <c r="J1152" s="52"/>
      <c r="K1152" s="52"/>
      <c r="L1152" s="52"/>
      <c r="M1152" s="52"/>
      <c r="N1152" s="52"/>
      <c r="O1152" s="52"/>
      <c r="P1152" s="52"/>
      <c r="Q1152" s="52"/>
    </row>
    <row r="1153" spans="1:17" s="53" customFormat="1" ht="16.350000000000001" customHeight="1">
      <c r="A1153" s="52"/>
      <c r="B1153" s="52"/>
      <c r="C1153" s="52"/>
      <c r="D1153" s="52"/>
      <c r="E1153" s="52"/>
      <c r="F1153" s="52"/>
      <c r="G1153" s="52"/>
      <c r="H1153" s="52"/>
      <c r="I1153" s="52"/>
      <c r="J1153" s="52"/>
      <c r="K1153" s="52"/>
      <c r="L1153" s="52"/>
      <c r="M1153" s="52"/>
      <c r="N1153" s="52"/>
      <c r="O1153" s="52"/>
      <c r="P1153" s="52"/>
      <c r="Q1153" s="52"/>
    </row>
    <row r="1154" spans="1:17" s="53" customFormat="1" ht="16.350000000000001" customHeight="1">
      <c r="A1154" s="52"/>
      <c r="B1154" s="52"/>
      <c r="C1154" s="52"/>
      <c r="D1154" s="52"/>
      <c r="E1154" s="52"/>
      <c r="F1154" s="52"/>
      <c r="G1154" s="52"/>
      <c r="H1154" s="52"/>
      <c r="I1154" s="52"/>
      <c r="J1154" s="52"/>
      <c r="K1154" s="52"/>
      <c r="L1154" s="52"/>
      <c r="M1154" s="52"/>
      <c r="N1154" s="52"/>
      <c r="O1154" s="52"/>
      <c r="P1154" s="52"/>
      <c r="Q1154" s="52"/>
    </row>
    <row r="1155" spans="1:17" s="53" customFormat="1" ht="16.350000000000001" customHeight="1">
      <c r="A1155" s="52"/>
      <c r="B1155" s="52"/>
      <c r="C1155" s="5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</row>
    <row r="1156" spans="1:17" s="53" customFormat="1" ht="16.350000000000001" customHeight="1">
      <c r="A1156" s="52"/>
      <c r="B1156" s="52"/>
      <c r="C1156" s="52"/>
      <c r="D1156" s="52"/>
      <c r="E1156" s="52"/>
      <c r="F1156" s="52"/>
      <c r="G1156" s="52"/>
      <c r="H1156" s="52"/>
      <c r="I1156" s="52"/>
      <c r="J1156" s="52"/>
      <c r="K1156" s="52"/>
      <c r="L1156" s="52"/>
      <c r="M1156" s="52"/>
      <c r="N1156" s="52"/>
      <c r="O1156" s="52"/>
      <c r="P1156" s="52"/>
      <c r="Q1156" s="52"/>
    </row>
    <row r="1157" spans="1:17" s="53" customFormat="1" ht="16.350000000000001" customHeight="1">
      <c r="A1157" s="52"/>
      <c r="B1157" s="52"/>
      <c r="C1157" s="52"/>
      <c r="D1157" s="52"/>
      <c r="E1157" s="52"/>
      <c r="F1157" s="52"/>
      <c r="G1157" s="52"/>
      <c r="H1157" s="52"/>
      <c r="I1157" s="52"/>
      <c r="J1157" s="52"/>
      <c r="K1157" s="52"/>
      <c r="L1157" s="52"/>
      <c r="M1157" s="52"/>
      <c r="N1157" s="52"/>
      <c r="O1157" s="52"/>
      <c r="P1157" s="52"/>
      <c r="Q1157" s="52"/>
    </row>
    <row r="1158" spans="1:17" s="53" customFormat="1" ht="16.350000000000001" customHeight="1">
      <c r="A1158" s="52"/>
      <c r="B1158" s="52"/>
      <c r="C1158" s="52"/>
      <c r="D1158" s="52"/>
      <c r="E1158" s="52"/>
      <c r="F1158" s="52"/>
      <c r="G1158" s="52"/>
      <c r="H1158" s="52"/>
      <c r="I1158" s="52"/>
      <c r="J1158" s="52"/>
      <c r="K1158" s="52"/>
      <c r="L1158" s="52"/>
      <c r="M1158" s="52"/>
      <c r="N1158" s="52"/>
      <c r="O1158" s="52"/>
      <c r="P1158" s="52"/>
      <c r="Q1158" s="52"/>
    </row>
    <row r="1159" spans="1:17" s="53" customFormat="1" ht="16.350000000000001" customHeight="1">
      <c r="A1159" s="52"/>
      <c r="B1159" s="52"/>
      <c r="C1159" s="5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</row>
    <row r="1160" spans="1:17" s="53" customFormat="1" ht="16.350000000000001" customHeight="1">
      <c r="A1160" s="52"/>
      <c r="B1160" s="52"/>
      <c r="C1160" s="52"/>
      <c r="D1160" s="52"/>
      <c r="E1160" s="52"/>
      <c r="F1160" s="52"/>
      <c r="G1160" s="52"/>
      <c r="H1160" s="52"/>
      <c r="I1160" s="52"/>
      <c r="J1160" s="52"/>
      <c r="K1160" s="52"/>
      <c r="L1160" s="52"/>
      <c r="M1160" s="52"/>
      <c r="N1160" s="52"/>
      <c r="O1160" s="52"/>
      <c r="P1160" s="52"/>
      <c r="Q1160" s="52"/>
    </row>
    <row r="1161" spans="1:17" s="53" customFormat="1" ht="16.350000000000001" customHeight="1">
      <c r="A1161" s="52"/>
      <c r="B1161" s="52"/>
      <c r="C1161" s="52"/>
      <c r="D1161" s="52"/>
      <c r="E1161" s="52"/>
      <c r="F1161" s="52"/>
      <c r="G1161" s="52"/>
      <c r="H1161" s="52"/>
      <c r="I1161" s="52"/>
      <c r="J1161" s="52"/>
      <c r="K1161" s="52"/>
      <c r="L1161" s="52"/>
      <c r="M1161" s="52"/>
      <c r="N1161" s="52"/>
      <c r="O1161" s="52"/>
      <c r="P1161" s="52"/>
      <c r="Q1161" s="52"/>
    </row>
    <row r="1162" spans="1:17" s="53" customFormat="1" ht="16.350000000000001" customHeight="1">
      <c r="A1162" s="52"/>
      <c r="B1162" s="52"/>
      <c r="C1162" s="52"/>
      <c r="D1162" s="52"/>
      <c r="E1162" s="52"/>
      <c r="F1162" s="52"/>
      <c r="G1162" s="52"/>
      <c r="H1162" s="52"/>
      <c r="I1162" s="52"/>
      <c r="J1162" s="52"/>
      <c r="K1162" s="52"/>
      <c r="L1162" s="52"/>
      <c r="M1162" s="52"/>
      <c r="N1162" s="52"/>
      <c r="O1162" s="52"/>
      <c r="P1162" s="52"/>
      <c r="Q1162" s="52"/>
    </row>
    <row r="1163" spans="1:17" s="53" customFormat="1" ht="16.350000000000001" customHeight="1">
      <c r="A1163" s="52"/>
      <c r="B1163" s="52"/>
      <c r="C1163" s="5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</row>
    <row r="1164" spans="1:17" s="53" customFormat="1" ht="16.350000000000001" customHeight="1">
      <c r="A1164" s="52"/>
      <c r="B1164" s="52"/>
      <c r="C1164" s="52"/>
      <c r="D1164" s="52"/>
      <c r="E1164" s="52"/>
      <c r="F1164" s="52"/>
      <c r="G1164" s="52"/>
      <c r="H1164" s="52"/>
      <c r="I1164" s="52"/>
      <c r="J1164" s="52"/>
      <c r="K1164" s="52"/>
      <c r="L1164" s="52"/>
      <c r="M1164" s="52"/>
      <c r="N1164" s="52"/>
      <c r="O1164" s="52"/>
      <c r="P1164" s="52"/>
      <c r="Q1164" s="52"/>
    </row>
    <row r="1165" spans="1:17" s="53" customFormat="1" ht="16.350000000000001" customHeight="1">
      <c r="A1165" s="52"/>
      <c r="B1165" s="52"/>
      <c r="C1165" s="52"/>
      <c r="D1165" s="52"/>
      <c r="E1165" s="52"/>
      <c r="F1165" s="52"/>
      <c r="G1165" s="52"/>
      <c r="H1165" s="52"/>
      <c r="I1165" s="52"/>
      <c r="J1165" s="52"/>
      <c r="K1165" s="52"/>
      <c r="L1165" s="52"/>
      <c r="M1165" s="52"/>
      <c r="N1165" s="52"/>
      <c r="O1165" s="52"/>
      <c r="P1165" s="52"/>
      <c r="Q1165" s="52"/>
    </row>
    <row r="1166" spans="1:17" s="53" customFormat="1" ht="16.350000000000001" customHeight="1">
      <c r="A1166" s="52"/>
      <c r="B1166" s="52"/>
      <c r="C1166" s="52"/>
      <c r="D1166" s="52"/>
      <c r="E1166" s="52"/>
      <c r="F1166" s="52"/>
      <c r="G1166" s="52"/>
      <c r="H1166" s="52"/>
      <c r="I1166" s="52"/>
      <c r="J1166" s="52"/>
      <c r="K1166" s="52"/>
      <c r="L1166" s="52"/>
      <c r="M1166" s="52"/>
      <c r="N1166" s="52"/>
      <c r="O1166" s="52"/>
      <c r="P1166" s="52"/>
      <c r="Q1166" s="52"/>
    </row>
    <row r="1167" spans="1:17" s="53" customFormat="1" ht="16.350000000000001" customHeight="1">
      <c r="A1167" s="52"/>
      <c r="B1167" s="52"/>
      <c r="C1167" s="5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</row>
    <row r="1168" spans="1:17" s="53" customFormat="1" ht="16.350000000000001" customHeight="1">
      <c r="A1168" s="52"/>
      <c r="B1168" s="52"/>
      <c r="C1168" s="52"/>
      <c r="D1168" s="52"/>
      <c r="E1168" s="52"/>
      <c r="F1168" s="52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</row>
    <row r="1169" spans="1:17" s="53" customFormat="1" ht="16.350000000000001" customHeight="1">
      <c r="A1169" s="52"/>
      <c r="B1169" s="52"/>
      <c r="C1169" s="52"/>
      <c r="D1169" s="52"/>
      <c r="E1169" s="52"/>
      <c r="F1169" s="52"/>
      <c r="G1169" s="52"/>
      <c r="H1169" s="52"/>
      <c r="I1169" s="52"/>
      <c r="J1169" s="52"/>
      <c r="K1169" s="52"/>
      <c r="L1169" s="52"/>
      <c r="M1169" s="52"/>
      <c r="N1169" s="52"/>
      <c r="O1169" s="52"/>
      <c r="P1169" s="52"/>
      <c r="Q1169" s="52"/>
    </row>
    <row r="1170" spans="1:17" s="53" customFormat="1" ht="16.350000000000001" customHeight="1">
      <c r="A1170" s="52"/>
      <c r="B1170" s="52"/>
      <c r="C1170" s="52"/>
      <c r="D1170" s="52"/>
      <c r="E1170" s="52"/>
      <c r="F1170" s="52"/>
      <c r="G1170" s="52"/>
      <c r="H1170" s="52"/>
      <c r="I1170" s="52"/>
      <c r="J1170" s="52"/>
      <c r="K1170" s="52"/>
      <c r="L1170" s="52"/>
      <c r="M1170" s="52"/>
      <c r="N1170" s="52"/>
      <c r="O1170" s="52"/>
      <c r="P1170" s="52"/>
      <c r="Q1170" s="52"/>
    </row>
    <row r="1171" spans="1:17" s="53" customFormat="1" ht="16.350000000000001" customHeight="1">
      <c r="A1171" s="52"/>
      <c r="B1171" s="52"/>
      <c r="C1171" s="5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</row>
    <row r="1172" spans="1:17" s="53" customFormat="1" ht="16.350000000000001" customHeight="1">
      <c r="A1172" s="52"/>
      <c r="B1172" s="52"/>
      <c r="C1172" s="52"/>
      <c r="D1172" s="52"/>
      <c r="E1172" s="52"/>
      <c r="F1172" s="52"/>
      <c r="G1172" s="52"/>
      <c r="H1172" s="52"/>
      <c r="I1172" s="52"/>
      <c r="J1172" s="52"/>
      <c r="K1172" s="52"/>
      <c r="L1172" s="52"/>
      <c r="M1172" s="52"/>
      <c r="N1172" s="52"/>
      <c r="O1172" s="52"/>
      <c r="P1172" s="52"/>
      <c r="Q1172" s="52"/>
    </row>
    <row r="1173" spans="1:17" s="53" customFormat="1" ht="16.350000000000001" customHeight="1">
      <c r="A1173" s="52"/>
      <c r="B1173" s="52"/>
      <c r="C1173" s="52"/>
      <c r="D1173" s="52"/>
      <c r="E1173" s="52"/>
      <c r="F1173" s="52"/>
      <c r="G1173" s="52"/>
      <c r="H1173" s="52"/>
      <c r="I1173" s="52"/>
      <c r="J1173" s="52"/>
      <c r="K1173" s="52"/>
      <c r="L1173" s="52"/>
      <c r="M1173" s="52"/>
      <c r="N1173" s="52"/>
      <c r="O1173" s="52"/>
      <c r="P1173" s="52"/>
      <c r="Q1173" s="52"/>
    </row>
    <row r="1174" spans="1:17" s="53" customFormat="1" ht="16.350000000000001" customHeight="1">
      <c r="A1174" s="52"/>
      <c r="B1174" s="52"/>
      <c r="C1174" s="52"/>
      <c r="D1174" s="52"/>
      <c r="E1174" s="52"/>
      <c r="F1174" s="52"/>
      <c r="G1174" s="52"/>
      <c r="H1174" s="52"/>
      <c r="I1174" s="52"/>
      <c r="J1174" s="52"/>
      <c r="K1174" s="52"/>
      <c r="L1174" s="52"/>
      <c r="M1174" s="52"/>
      <c r="N1174" s="52"/>
      <c r="O1174" s="52"/>
      <c r="P1174" s="52"/>
      <c r="Q1174" s="52"/>
    </row>
    <row r="1175" spans="1:17" s="53" customFormat="1" ht="16.350000000000001" customHeight="1">
      <c r="A1175" s="52"/>
      <c r="B1175" s="52"/>
      <c r="C1175" s="5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</row>
    <row r="1176" spans="1:17" s="53" customFormat="1" ht="16.350000000000001" customHeight="1">
      <c r="A1176" s="52"/>
      <c r="B1176" s="52"/>
      <c r="C1176" s="52"/>
      <c r="D1176" s="52"/>
      <c r="E1176" s="52"/>
      <c r="F1176" s="52"/>
      <c r="G1176" s="52"/>
      <c r="H1176" s="52"/>
      <c r="I1176" s="52"/>
      <c r="J1176" s="52"/>
      <c r="K1176" s="52"/>
      <c r="L1176" s="52"/>
      <c r="M1176" s="52"/>
      <c r="N1176" s="52"/>
      <c r="O1176" s="52"/>
      <c r="P1176" s="52"/>
      <c r="Q1176" s="52"/>
    </row>
    <row r="1177" spans="1:17" s="53" customFormat="1" ht="16.350000000000001" customHeight="1">
      <c r="A1177" s="52"/>
      <c r="B1177" s="52"/>
      <c r="C1177" s="52"/>
      <c r="D1177" s="52"/>
      <c r="E1177" s="52"/>
      <c r="F1177" s="52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</row>
    <row r="1178" spans="1:17" s="53" customFormat="1" ht="16.350000000000001" customHeight="1">
      <c r="A1178" s="52"/>
      <c r="B1178" s="52"/>
      <c r="C1178" s="52"/>
      <c r="D1178" s="52"/>
      <c r="E1178" s="52"/>
      <c r="F1178" s="52"/>
      <c r="G1178" s="52"/>
      <c r="H1178" s="52"/>
      <c r="I1178" s="52"/>
      <c r="J1178" s="52"/>
      <c r="K1178" s="52"/>
      <c r="L1178" s="52"/>
      <c r="M1178" s="52"/>
      <c r="N1178" s="52"/>
      <c r="O1178" s="52"/>
      <c r="P1178" s="52"/>
      <c r="Q1178" s="52"/>
    </row>
    <row r="1179" spans="1:17" s="53" customFormat="1" ht="16.350000000000001" customHeight="1">
      <c r="A1179" s="52"/>
      <c r="B1179" s="52"/>
      <c r="C1179" s="5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</row>
    <row r="1180" spans="1:17" s="53" customFormat="1" ht="16.350000000000001" customHeight="1">
      <c r="A1180" s="52"/>
      <c r="B1180" s="52"/>
      <c r="C1180" s="52"/>
      <c r="D1180" s="52"/>
      <c r="E1180" s="52"/>
      <c r="F1180" s="52"/>
      <c r="G1180" s="52"/>
      <c r="H1180" s="52"/>
      <c r="I1180" s="52"/>
      <c r="J1180" s="52"/>
      <c r="K1180" s="52"/>
      <c r="L1180" s="52"/>
      <c r="M1180" s="52"/>
      <c r="N1180" s="52"/>
      <c r="O1180" s="52"/>
      <c r="P1180" s="52"/>
      <c r="Q1180" s="52"/>
    </row>
    <row r="1181" spans="1:17" s="53" customFormat="1" ht="16.350000000000001" customHeight="1">
      <c r="A1181" s="52"/>
      <c r="B1181" s="52"/>
      <c r="C1181" s="52"/>
      <c r="D1181" s="52"/>
      <c r="E1181" s="52"/>
      <c r="F1181" s="52"/>
      <c r="G1181" s="52"/>
      <c r="H1181" s="52"/>
      <c r="I1181" s="52"/>
      <c r="J1181" s="52"/>
      <c r="K1181" s="52"/>
      <c r="L1181" s="52"/>
      <c r="M1181" s="52"/>
      <c r="N1181" s="52"/>
      <c r="O1181" s="52"/>
      <c r="P1181" s="52"/>
      <c r="Q1181" s="52"/>
    </row>
    <row r="1182" spans="1:17" s="53" customFormat="1" ht="16.350000000000001" customHeight="1">
      <c r="A1182" s="52"/>
      <c r="B1182" s="52"/>
      <c r="C1182" s="52"/>
      <c r="D1182" s="52"/>
      <c r="E1182" s="52"/>
      <c r="F1182" s="52"/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</row>
    <row r="1183" spans="1:17" s="53" customFormat="1" ht="16.350000000000001" customHeight="1">
      <c r="A1183" s="52"/>
      <c r="B1183" s="52"/>
      <c r="C1183" s="5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</row>
    <row r="1184" spans="1:17" s="53" customFormat="1" ht="16.350000000000001" customHeight="1">
      <c r="A1184" s="52"/>
      <c r="B1184" s="52"/>
      <c r="C1184" s="52"/>
      <c r="D1184" s="52"/>
      <c r="E1184" s="52"/>
      <c r="F1184" s="52"/>
      <c r="G1184" s="52"/>
      <c r="H1184" s="52"/>
      <c r="I1184" s="52"/>
      <c r="J1184" s="52"/>
      <c r="K1184" s="52"/>
      <c r="L1184" s="52"/>
      <c r="M1184" s="52"/>
      <c r="N1184" s="52"/>
      <c r="O1184" s="52"/>
      <c r="P1184" s="52"/>
      <c r="Q1184" s="52"/>
    </row>
    <row r="1185" spans="1:17" s="53" customFormat="1" ht="16.350000000000001" customHeight="1">
      <c r="A1185" s="52"/>
      <c r="B1185" s="52"/>
      <c r="C1185" s="52"/>
      <c r="D1185" s="52"/>
      <c r="E1185" s="52"/>
      <c r="F1185" s="52"/>
      <c r="G1185" s="52"/>
      <c r="H1185" s="52"/>
      <c r="I1185" s="52"/>
      <c r="J1185" s="52"/>
      <c r="K1185" s="52"/>
      <c r="L1185" s="52"/>
      <c r="M1185" s="52"/>
      <c r="N1185" s="52"/>
      <c r="O1185" s="52"/>
      <c r="P1185" s="52"/>
      <c r="Q1185" s="52"/>
    </row>
    <row r="1186" spans="1:17" s="53" customFormat="1" ht="16.350000000000001" customHeight="1">
      <c r="A1186" s="52"/>
      <c r="B1186" s="52"/>
      <c r="C1186" s="52"/>
      <c r="D1186" s="52"/>
      <c r="E1186" s="52"/>
      <c r="F1186" s="52"/>
      <c r="G1186" s="52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</row>
    <row r="1187" spans="1:17" s="53" customFormat="1" ht="16.350000000000001" customHeight="1">
      <c r="A1187" s="52"/>
      <c r="B1187" s="52"/>
      <c r="C1187" s="5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</row>
    <row r="1188" spans="1:17" s="53" customFormat="1" ht="16.350000000000001" customHeight="1">
      <c r="A1188" s="52"/>
      <c r="B1188" s="52"/>
      <c r="C1188" s="52"/>
      <c r="D1188" s="52"/>
      <c r="E1188" s="52"/>
      <c r="F1188" s="52"/>
      <c r="G1188" s="52"/>
      <c r="H1188" s="52"/>
      <c r="I1188" s="52"/>
      <c r="J1188" s="52"/>
      <c r="K1188" s="52"/>
      <c r="L1188" s="52"/>
      <c r="M1188" s="52"/>
      <c r="N1188" s="52"/>
      <c r="O1188" s="52"/>
      <c r="P1188" s="52"/>
      <c r="Q1188" s="52"/>
    </row>
    <row r="1189" spans="1:17" s="53" customFormat="1" ht="16.350000000000001" customHeight="1">
      <c r="A1189" s="52"/>
      <c r="B1189" s="52"/>
      <c r="C1189" s="52"/>
      <c r="D1189" s="52"/>
      <c r="E1189" s="52"/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</row>
    <row r="1190" spans="1:17" s="53" customFormat="1" ht="16.350000000000001" customHeight="1">
      <c r="A1190" s="52"/>
      <c r="B1190" s="52"/>
      <c r="C1190" s="52"/>
      <c r="D1190" s="52"/>
      <c r="E1190" s="52"/>
      <c r="F1190" s="52"/>
      <c r="G1190" s="52"/>
      <c r="H1190" s="52"/>
      <c r="I1190" s="52"/>
      <c r="J1190" s="52"/>
      <c r="K1190" s="52"/>
      <c r="L1190" s="52"/>
      <c r="M1190" s="52"/>
      <c r="N1190" s="52"/>
      <c r="O1190" s="52"/>
      <c r="P1190" s="52"/>
      <c r="Q1190" s="52"/>
    </row>
    <row r="1191" spans="1:17" s="53" customFormat="1" ht="16.350000000000001" customHeight="1">
      <c r="A1191" s="52"/>
      <c r="B1191" s="52"/>
      <c r="C1191" s="5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</row>
    <row r="1192" spans="1:17" s="53" customFormat="1" ht="16.350000000000001" customHeight="1">
      <c r="A1192" s="52"/>
      <c r="B1192" s="52"/>
      <c r="C1192" s="52"/>
      <c r="D1192" s="52"/>
      <c r="E1192" s="52"/>
      <c r="F1192" s="52"/>
      <c r="G1192" s="52"/>
      <c r="H1192" s="52"/>
      <c r="I1192" s="52"/>
      <c r="J1192" s="52"/>
      <c r="K1192" s="52"/>
      <c r="L1192" s="52"/>
      <c r="M1192" s="52"/>
      <c r="N1192" s="52"/>
      <c r="O1192" s="52"/>
      <c r="P1192" s="52"/>
      <c r="Q1192" s="52"/>
    </row>
    <row r="1193" spans="1:17" s="53" customFormat="1" ht="16.350000000000001" customHeight="1">
      <c r="A1193" s="52"/>
      <c r="B1193" s="52"/>
      <c r="C1193" s="52"/>
      <c r="D1193" s="52"/>
      <c r="E1193" s="52"/>
      <c r="F1193" s="52"/>
      <c r="G1193" s="52"/>
      <c r="H1193" s="52"/>
      <c r="I1193" s="52"/>
      <c r="J1193" s="52"/>
      <c r="K1193" s="52"/>
      <c r="L1193" s="52"/>
      <c r="M1193" s="52"/>
      <c r="N1193" s="52"/>
      <c r="O1193" s="52"/>
      <c r="P1193" s="52"/>
      <c r="Q1193" s="52"/>
    </row>
    <row r="1194" spans="1:17" s="53" customFormat="1" ht="16.350000000000001" customHeight="1">
      <c r="A1194" s="52"/>
      <c r="B1194" s="52"/>
      <c r="C1194" s="52"/>
      <c r="D1194" s="52"/>
      <c r="E1194" s="52"/>
      <c r="F1194" s="52"/>
      <c r="G1194" s="52"/>
      <c r="H1194" s="52"/>
      <c r="I1194" s="52"/>
      <c r="J1194" s="52"/>
      <c r="K1194" s="52"/>
      <c r="L1194" s="52"/>
      <c r="M1194" s="52"/>
      <c r="N1194" s="52"/>
      <c r="O1194" s="52"/>
      <c r="P1194" s="52"/>
      <c r="Q1194" s="52"/>
    </row>
    <row r="1195" spans="1:17" s="53" customFormat="1" ht="16.350000000000001" customHeight="1">
      <c r="A1195" s="52"/>
      <c r="B1195" s="52"/>
      <c r="C1195" s="5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</row>
    <row r="1196" spans="1:17" s="53" customFormat="1" ht="16.350000000000001" customHeight="1">
      <c r="A1196" s="52"/>
      <c r="B1196" s="52"/>
      <c r="C1196" s="52"/>
      <c r="D1196" s="52"/>
      <c r="E1196" s="52"/>
      <c r="F1196" s="52"/>
      <c r="G1196" s="52"/>
      <c r="H1196" s="52"/>
      <c r="I1196" s="52"/>
      <c r="J1196" s="52"/>
      <c r="K1196" s="52"/>
      <c r="L1196" s="52"/>
      <c r="M1196" s="52"/>
      <c r="N1196" s="52"/>
      <c r="O1196" s="52"/>
      <c r="P1196" s="52"/>
      <c r="Q1196" s="52"/>
    </row>
    <row r="1197" spans="1:17" s="53" customFormat="1" ht="16.350000000000001" customHeight="1">
      <c r="A1197" s="52"/>
      <c r="B1197" s="52"/>
      <c r="C1197" s="52"/>
      <c r="D1197" s="52"/>
      <c r="E1197" s="52"/>
      <c r="F1197" s="52"/>
      <c r="G1197" s="52"/>
      <c r="H1197" s="52"/>
      <c r="I1197" s="52"/>
      <c r="J1197" s="52"/>
      <c r="K1197" s="52"/>
      <c r="L1197" s="52"/>
      <c r="M1197" s="52"/>
      <c r="N1197" s="52"/>
      <c r="O1197" s="52"/>
      <c r="P1197" s="52"/>
      <c r="Q1197" s="52"/>
    </row>
    <row r="1198" spans="1:17" s="53" customFormat="1" ht="16.350000000000001" customHeight="1">
      <c r="A1198" s="52"/>
      <c r="B1198" s="52"/>
      <c r="C1198" s="52"/>
      <c r="D1198" s="52"/>
      <c r="E1198" s="52"/>
      <c r="F1198" s="52"/>
      <c r="G1198" s="52"/>
      <c r="H1198" s="52"/>
      <c r="I1198" s="52"/>
      <c r="J1198" s="52"/>
      <c r="K1198" s="52"/>
      <c r="L1198" s="52"/>
      <c r="M1198" s="52"/>
      <c r="N1198" s="52"/>
      <c r="O1198" s="52"/>
      <c r="P1198" s="52"/>
      <c r="Q1198" s="52"/>
    </row>
    <row r="1199" spans="1:17" s="53" customFormat="1" ht="16.350000000000001" customHeight="1">
      <c r="A1199" s="52"/>
      <c r="B1199" s="52"/>
      <c r="C1199" s="5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</row>
    <row r="1200" spans="1:17" s="53" customFormat="1" ht="16.350000000000001" customHeight="1">
      <c r="A1200" s="52"/>
      <c r="B1200" s="52"/>
      <c r="C1200" s="52"/>
      <c r="D1200" s="52"/>
      <c r="E1200" s="52"/>
      <c r="F1200" s="52"/>
      <c r="G1200" s="52"/>
      <c r="H1200" s="52"/>
      <c r="I1200" s="52"/>
      <c r="J1200" s="52"/>
      <c r="K1200" s="52"/>
      <c r="L1200" s="52"/>
      <c r="M1200" s="52"/>
      <c r="N1200" s="52"/>
      <c r="O1200" s="52"/>
      <c r="P1200" s="52"/>
      <c r="Q1200" s="52"/>
    </row>
    <row r="1201" spans="1:17" s="53" customFormat="1" ht="16.350000000000001" customHeight="1">
      <c r="A1201" s="52"/>
      <c r="B1201" s="52"/>
      <c r="C1201" s="52"/>
      <c r="D1201" s="52"/>
      <c r="E1201" s="52"/>
      <c r="F1201" s="52"/>
      <c r="G1201" s="52"/>
      <c r="H1201" s="52"/>
      <c r="I1201" s="52"/>
      <c r="J1201" s="52"/>
      <c r="K1201" s="52"/>
      <c r="L1201" s="52"/>
      <c r="M1201" s="52"/>
      <c r="N1201" s="52"/>
      <c r="O1201" s="52"/>
      <c r="P1201" s="52"/>
      <c r="Q1201" s="52"/>
    </row>
    <row r="1202" spans="1:17" s="53" customFormat="1" ht="16.350000000000001" customHeight="1">
      <c r="A1202" s="52"/>
      <c r="B1202" s="52"/>
      <c r="C1202" s="52"/>
      <c r="D1202" s="52"/>
      <c r="E1202" s="52"/>
      <c r="F1202" s="52"/>
      <c r="G1202" s="52"/>
      <c r="H1202" s="52"/>
      <c r="I1202" s="52"/>
      <c r="J1202" s="52"/>
      <c r="K1202" s="52"/>
      <c r="L1202" s="52"/>
      <c r="M1202" s="52"/>
      <c r="N1202" s="52"/>
      <c r="O1202" s="52"/>
      <c r="P1202" s="52"/>
      <c r="Q1202" s="52"/>
    </row>
    <row r="1203" spans="1:17" s="53" customFormat="1" ht="16.350000000000001" customHeight="1">
      <c r="A1203" s="52"/>
      <c r="B1203" s="52"/>
      <c r="C1203" s="5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</row>
    <row r="1204" spans="1:17" s="53" customFormat="1" ht="16.350000000000001" customHeight="1">
      <c r="A1204" s="52"/>
      <c r="B1204" s="52"/>
      <c r="C1204" s="52"/>
      <c r="D1204" s="52"/>
      <c r="E1204" s="52"/>
      <c r="F1204" s="52"/>
      <c r="G1204" s="52"/>
      <c r="H1204" s="52"/>
      <c r="I1204" s="52"/>
      <c r="J1204" s="52"/>
      <c r="K1204" s="52"/>
      <c r="L1204" s="52"/>
      <c r="M1204" s="52"/>
      <c r="N1204" s="52"/>
      <c r="O1204" s="52"/>
      <c r="P1204" s="52"/>
      <c r="Q1204" s="52"/>
    </row>
    <row r="1205" spans="1:17" s="53" customFormat="1" ht="16.350000000000001" customHeight="1">
      <c r="A1205" s="52"/>
      <c r="B1205" s="52"/>
      <c r="C1205" s="52"/>
      <c r="D1205" s="52"/>
      <c r="E1205" s="52"/>
      <c r="F1205" s="52"/>
      <c r="G1205" s="52"/>
      <c r="H1205" s="52"/>
      <c r="I1205" s="52"/>
      <c r="J1205" s="52"/>
      <c r="K1205" s="52"/>
      <c r="L1205" s="52"/>
      <c r="M1205" s="52"/>
      <c r="N1205" s="52"/>
      <c r="O1205" s="52"/>
      <c r="P1205" s="52"/>
      <c r="Q1205" s="52"/>
    </row>
    <row r="1206" spans="1:17" s="53" customFormat="1" ht="16.350000000000001" customHeight="1">
      <c r="A1206" s="52"/>
      <c r="B1206" s="52"/>
      <c r="C1206" s="52"/>
      <c r="D1206" s="52"/>
      <c r="E1206" s="52"/>
      <c r="F1206" s="52"/>
      <c r="G1206" s="52"/>
      <c r="H1206" s="52"/>
      <c r="I1206" s="52"/>
      <c r="J1206" s="52"/>
      <c r="K1206" s="52"/>
      <c r="L1206" s="52"/>
      <c r="M1206" s="52"/>
      <c r="N1206" s="52"/>
      <c r="O1206" s="52"/>
      <c r="P1206" s="52"/>
      <c r="Q1206" s="52"/>
    </row>
    <row r="1207" spans="1:17" s="53" customFormat="1" ht="16.350000000000001" customHeight="1">
      <c r="A1207" s="52"/>
      <c r="B1207" s="52"/>
      <c r="C1207" s="52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</row>
    <row r="1208" spans="1:17" s="53" customFormat="1" ht="16.350000000000001" customHeight="1">
      <c r="A1208" s="52"/>
      <c r="B1208" s="52"/>
      <c r="C1208" s="52"/>
      <c r="D1208" s="52"/>
      <c r="E1208" s="52"/>
      <c r="F1208" s="52"/>
      <c r="G1208" s="52"/>
      <c r="H1208" s="52"/>
      <c r="I1208" s="52"/>
      <c r="J1208" s="52"/>
      <c r="K1208" s="52"/>
      <c r="L1208" s="52"/>
      <c r="M1208" s="52"/>
      <c r="N1208" s="52"/>
      <c r="O1208" s="52"/>
      <c r="P1208" s="52"/>
      <c r="Q1208" s="52"/>
    </row>
    <row r="1209" spans="1:17" s="53" customFormat="1" ht="16.350000000000001" customHeight="1">
      <c r="A1209" s="52"/>
      <c r="B1209" s="52"/>
      <c r="C1209" s="52"/>
      <c r="D1209" s="52"/>
      <c r="E1209" s="52"/>
      <c r="F1209" s="52"/>
      <c r="G1209" s="52"/>
      <c r="H1209" s="52"/>
      <c r="I1209" s="52"/>
      <c r="J1209" s="52"/>
      <c r="K1209" s="52"/>
      <c r="L1209" s="52"/>
      <c r="M1209" s="52"/>
      <c r="N1209" s="52"/>
      <c r="O1209" s="52"/>
      <c r="P1209" s="52"/>
      <c r="Q1209" s="52"/>
    </row>
    <row r="1210" spans="1:17" s="53" customFormat="1" ht="16.350000000000001" customHeight="1">
      <c r="A1210" s="52"/>
      <c r="B1210" s="52"/>
      <c r="C1210" s="52"/>
      <c r="D1210" s="52"/>
      <c r="E1210" s="52"/>
      <c r="F1210" s="52"/>
      <c r="G1210" s="52"/>
      <c r="H1210" s="52"/>
      <c r="I1210" s="52"/>
      <c r="J1210" s="52"/>
      <c r="K1210" s="52"/>
      <c r="L1210" s="52"/>
      <c r="M1210" s="52"/>
      <c r="N1210" s="52"/>
      <c r="O1210" s="52"/>
      <c r="P1210" s="52"/>
      <c r="Q1210" s="52"/>
    </row>
    <row r="1211" spans="1:17" s="53" customFormat="1" ht="16.350000000000001" customHeight="1">
      <c r="A1211" s="52"/>
      <c r="B1211" s="52"/>
      <c r="C1211" s="52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</row>
    <row r="1212" spans="1:17" s="53" customFormat="1" ht="16.350000000000001" customHeight="1">
      <c r="A1212" s="52"/>
      <c r="B1212" s="52"/>
      <c r="C1212" s="52"/>
      <c r="D1212" s="52"/>
      <c r="E1212" s="52"/>
      <c r="F1212" s="52"/>
      <c r="G1212" s="52"/>
      <c r="H1212" s="52"/>
      <c r="I1212" s="52"/>
      <c r="J1212" s="52"/>
      <c r="K1212" s="52"/>
      <c r="L1212" s="52"/>
      <c r="M1212" s="52"/>
      <c r="N1212" s="52"/>
      <c r="O1212" s="52"/>
      <c r="P1212" s="52"/>
      <c r="Q1212" s="52"/>
    </row>
    <row r="1213" spans="1:17" s="53" customFormat="1" ht="16.350000000000001" customHeight="1">
      <c r="A1213" s="52"/>
      <c r="B1213" s="52"/>
      <c r="C1213" s="52"/>
      <c r="D1213" s="52"/>
      <c r="E1213" s="52"/>
      <c r="F1213" s="52"/>
      <c r="G1213" s="52"/>
      <c r="H1213" s="52"/>
      <c r="I1213" s="52"/>
      <c r="J1213" s="52"/>
      <c r="K1213" s="52"/>
      <c r="L1213" s="52"/>
      <c r="M1213" s="52"/>
      <c r="N1213" s="52"/>
      <c r="O1213" s="52"/>
      <c r="P1213" s="52"/>
      <c r="Q1213" s="52"/>
    </row>
    <row r="1214" spans="1:17" s="53" customFormat="1" ht="16.350000000000001" customHeight="1">
      <c r="A1214" s="52"/>
      <c r="B1214" s="52"/>
      <c r="C1214" s="52"/>
      <c r="D1214" s="52"/>
      <c r="E1214" s="52"/>
      <c r="F1214" s="52"/>
      <c r="G1214" s="52"/>
      <c r="H1214" s="52"/>
      <c r="I1214" s="52"/>
      <c r="J1214" s="52"/>
      <c r="K1214" s="52"/>
      <c r="L1214" s="52"/>
      <c r="M1214" s="52"/>
      <c r="N1214" s="52"/>
      <c r="O1214" s="52"/>
      <c r="P1214" s="52"/>
      <c r="Q1214" s="52"/>
    </row>
    <row r="1215" spans="1:17" s="53" customFormat="1" ht="16.350000000000001" customHeight="1">
      <c r="A1215" s="52"/>
      <c r="B1215" s="52"/>
      <c r="C1215" s="5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</row>
    <row r="1216" spans="1:17" s="53" customFormat="1" ht="16.350000000000001" customHeight="1">
      <c r="A1216" s="52"/>
      <c r="B1216" s="52"/>
      <c r="C1216" s="52"/>
      <c r="D1216" s="52"/>
      <c r="E1216" s="52"/>
      <c r="F1216" s="52"/>
      <c r="G1216" s="52"/>
      <c r="H1216" s="52"/>
      <c r="I1216" s="52"/>
      <c r="J1216" s="52"/>
      <c r="K1216" s="52"/>
      <c r="L1216" s="52"/>
      <c r="M1216" s="52"/>
      <c r="N1216" s="52"/>
      <c r="O1216" s="52"/>
      <c r="P1216" s="52"/>
      <c r="Q1216" s="52"/>
    </row>
    <row r="1217" spans="1:17" s="53" customFormat="1" ht="16.350000000000001" customHeight="1">
      <c r="A1217" s="52"/>
      <c r="B1217" s="52"/>
      <c r="C1217" s="52"/>
      <c r="D1217" s="52"/>
      <c r="E1217" s="52"/>
      <c r="F1217" s="52"/>
      <c r="G1217" s="52"/>
      <c r="H1217" s="52"/>
      <c r="I1217" s="52"/>
      <c r="J1217" s="52"/>
      <c r="K1217" s="52"/>
      <c r="L1217" s="52"/>
      <c r="M1217" s="52"/>
      <c r="N1217" s="52"/>
      <c r="O1217" s="52"/>
      <c r="P1217" s="52"/>
      <c r="Q1217" s="52"/>
    </row>
    <row r="1218" spans="1:17" s="53" customFormat="1" ht="16.350000000000001" customHeight="1">
      <c r="A1218" s="52"/>
      <c r="B1218" s="52"/>
      <c r="C1218" s="52"/>
      <c r="D1218" s="52"/>
      <c r="E1218" s="52"/>
      <c r="F1218" s="52"/>
      <c r="G1218" s="52"/>
      <c r="H1218" s="52"/>
      <c r="I1218" s="52"/>
      <c r="J1218" s="52"/>
      <c r="K1218" s="52"/>
      <c r="L1218" s="52"/>
      <c r="M1218" s="52"/>
      <c r="N1218" s="52"/>
      <c r="O1218" s="52"/>
      <c r="P1218" s="52"/>
      <c r="Q1218" s="52"/>
    </row>
    <row r="1219" spans="1:17" s="53" customFormat="1" ht="16.350000000000001" customHeight="1">
      <c r="A1219" s="52"/>
      <c r="B1219" s="52"/>
      <c r="C1219" s="5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</row>
    <row r="1220" spans="1:17" s="53" customFormat="1" ht="16.350000000000001" customHeight="1">
      <c r="A1220" s="52"/>
      <c r="B1220" s="52"/>
      <c r="C1220" s="52"/>
      <c r="D1220" s="52"/>
      <c r="E1220" s="52"/>
      <c r="F1220" s="52"/>
      <c r="G1220" s="52"/>
      <c r="H1220" s="52"/>
      <c r="I1220" s="52"/>
      <c r="J1220" s="52"/>
      <c r="K1220" s="52"/>
      <c r="L1220" s="52"/>
      <c r="M1220" s="52"/>
      <c r="N1220" s="52"/>
      <c r="O1220" s="52"/>
      <c r="P1220" s="52"/>
      <c r="Q1220" s="52"/>
    </row>
  </sheetData>
  <mergeCells count="9">
    <mergeCell ref="E11:H11"/>
    <mergeCell ref="M11:P11"/>
    <mergeCell ref="N12:P12"/>
    <mergeCell ref="A1:Q1"/>
    <mergeCell ref="C3:P3"/>
    <mergeCell ref="E9:H9"/>
    <mergeCell ref="M9:P9"/>
    <mergeCell ref="E10:H10"/>
    <mergeCell ref="M10:P10"/>
  </mergeCells>
  <pageMargins left="0.25" right="0.25" top="0.15" bottom="0.35" header="0.3" footer="0.02"/>
  <pageSetup paperSize="10001" orientation="portrait" r:id="rId1"/>
  <headerFooter>
    <oddFooter>&amp;C&amp;P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F3DA-CB4A-44BA-BFF2-6A165489B03B}">
  <sheetPr>
    <tabColor rgb="FF92D050"/>
  </sheetPr>
  <dimension ref="A3:S8"/>
  <sheetViews>
    <sheetView view="pageBreakPreview" zoomScaleNormal="100" zoomScaleSheetLayoutView="100" workbookViewId="0">
      <selection activeCell="C11" sqref="C11:H11"/>
    </sheetView>
  </sheetViews>
  <sheetFormatPr defaultRowHeight="17.25" customHeight="1"/>
  <cols>
    <col min="1" max="17" width="3.6640625" customWidth="1"/>
  </cols>
  <sheetData>
    <row r="3" spans="1:19" ht="17.25" customHeight="1">
      <c r="A3" s="1"/>
      <c r="B3" s="2">
        <v>1</v>
      </c>
      <c r="C3" s="3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9" ht="17.25" customHeight="1">
      <c r="A4" s="1"/>
      <c r="B4" s="1"/>
      <c r="C4" s="3" t="str">
        <f>TEXT(R4,"#,###,###,##0")&amp;" shares @ "&amp;TEXT(S4,"#,##0.00")&amp;" Spot = HKD "&amp;TEXT(R4*S4,"#,###,###,###,##0.00")</f>
        <v>40,000 shares @ 10.28 Spot = HKD 411,200.00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>
        <v>40000</v>
      </c>
      <c r="S4">
        <v>10.28</v>
      </c>
    </row>
    <row r="5" spans="1:19" ht="17.25" customHeight="1">
      <c r="A5" s="1"/>
      <c r="B5" s="1"/>
      <c r="C5" s="1"/>
      <c r="D5" s="1"/>
      <c r="E5" s="1"/>
      <c r="F5" s="1"/>
      <c r="G5" s="109">
        <v>175000</v>
      </c>
      <c r="H5" s="110"/>
      <c r="I5" s="110"/>
      <c r="J5" s="110"/>
      <c r="K5" s="1"/>
      <c r="L5" s="1"/>
      <c r="M5" s="1"/>
      <c r="N5" s="1"/>
      <c r="O5" s="1"/>
      <c r="P5" s="1"/>
      <c r="Q5" s="1"/>
    </row>
    <row r="6" spans="1:19" ht="17.25" customHeight="1">
      <c r="A6" s="1"/>
      <c r="B6" s="1"/>
      <c r="C6" s="1"/>
      <c r="D6" s="1"/>
      <c r="E6" s="1"/>
      <c r="F6" s="4" t="s">
        <v>37</v>
      </c>
      <c r="G6" s="109">
        <f>R4</f>
        <v>40000</v>
      </c>
      <c r="H6" s="110"/>
      <c r="I6" s="110"/>
      <c r="J6" s="110"/>
      <c r="K6" s="1"/>
      <c r="L6" s="111" t="s">
        <v>38</v>
      </c>
      <c r="M6" s="110"/>
      <c r="N6" s="110"/>
      <c r="O6" s="1"/>
      <c r="P6" s="1"/>
      <c r="Q6" s="1"/>
    </row>
    <row r="7" spans="1:19" ht="17.25" customHeight="1">
      <c r="A7" s="1"/>
      <c r="B7" s="1"/>
      <c r="C7" s="1"/>
      <c r="D7" s="1"/>
      <c r="E7" s="1"/>
      <c r="F7" s="1"/>
      <c r="G7" s="112">
        <f>G5+G6</f>
        <v>215000</v>
      </c>
      <c r="H7" s="113"/>
      <c r="I7" s="113"/>
      <c r="J7" s="113"/>
      <c r="K7" s="1"/>
      <c r="L7" s="114">
        <v>10.684917781799999</v>
      </c>
      <c r="M7" s="110"/>
      <c r="N7" s="110"/>
      <c r="O7" s="1"/>
      <c r="P7" s="1"/>
      <c r="Q7" s="1"/>
    </row>
    <row r="8" spans="1:19" ht="17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</sheetData>
  <mergeCells count="5">
    <mergeCell ref="G5:J5"/>
    <mergeCell ref="G6:J6"/>
    <mergeCell ref="L6:N6"/>
    <mergeCell ref="G7:J7"/>
    <mergeCell ref="L7:N7"/>
  </mergeCells>
  <pageMargins left="0.23622047244094491" right="0.23622047244094491" top="0.15748031496062992" bottom="0.35433070866141736" header="0.31496062992125984" footer="0.19685039370078741"/>
  <pageSetup paperSize="10001" orientation="portrait" horizontalDpi="4294967293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notebook</vt:lpstr>
      <vt:lpstr>notebook (2)</vt:lpstr>
      <vt:lpstr>from internet</vt:lpstr>
      <vt:lpstr>Closing 4PM</vt:lpstr>
      <vt:lpstr>Transfer template</vt:lpstr>
      <vt:lpstr>spot template</vt:lpstr>
      <vt:lpstr>'Closing 4PM'!Print_Area</vt:lpstr>
      <vt:lpstr>notebook!Print_Area</vt:lpstr>
      <vt:lpstr>'spot template'!Print_Area</vt:lpstr>
      <vt:lpstr>'Transfer template'!Print_Area</vt:lpstr>
      <vt:lpstr>notebook!Print_Titles</vt:lpstr>
      <vt:lpstr>'notebook (2)'!Print_Titles</vt:lpstr>
      <vt:lpstr>'spot template'!Print_Titles</vt:lpstr>
      <vt:lpstr>'Transfer template'!Print_Titles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Cruz</cp:lastModifiedBy>
  <cp:lastPrinted>2022-10-03T09:54:54Z</cp:lastPrinted>
  <dcterms:created xsi:type="dcterms:W3CDTF">2019-10-12T04:23:21Z</dcterms:created>
  <dcterms:modified xsi:type="dcterms:W3CDTF">2025-03-21T07:57:37Z</dcterms:modified>
</cp:coreProperties>
</file>