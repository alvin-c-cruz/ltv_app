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TV\server\instance\excel_templates\"/>
    </mc:Choice>
  </mc:AlternateContent>
  <xr:revisionPtr revIDLastSave="0" documentId="13_ncr:1_{3817F56D-C33C-4DC4-910A-CFD63302D2C2}" xr6:coauthVersionLast="47" xr6:coauthVersionMax="47" xr10:uidLastSave="{00000000-0000-0000-0000-000000000000}"/>
  <bookViews>
    <workbookView xWindow="-108" yWindow="-108" windowWidth="23256" windowHeight="12456" tabRatio="861" firstSheet="1" activeTab="1" xr2:uid="{00000000-000D-0000-FFFF-FFFF00000000}"/>
  </bookViews>
  <sheets>
    <sheet name="Beginning" sheetId="5" state="hidden" r:id="rId1"/>
    <sheet name="Sheet" sheetId="1" r:id="rId2"/>
    <sheet name="CB1-HKD" sheetId="2" r:id="rId3"/>
    <sheet name="CB2-HKD" sheetId="7" r:id="rId4"/>
    <sheet name="CB3-HKD" sheetId="17" r:id="rId5"/>
    <sheet name="CBBH-HKD" sheetId="8" r:id="rId6"/>
    <sheet name="CBBH2-HKD" sheetId="18" r:id="rId7"/>
    <sheet name="BOS-HKD" sheetId="9" r:id="rId8"/>
    <sheet name="DBPe-HKD" sheetId="10" r:id="rId9"/>
    <sheet name="DBPL-HKD" sheetId="11" r:id="rId10"/>
    <sheet name="SC-HKD" sheetId="12" r:id="rId11"/>
    <sheet name="SHK-HKD" sheetId="13" r:id="rId12"/>
    <sheet name="SHK2-HKD" sheetId="24" r:id="rId13"/>
    <sheet name="MST1-HKD" sheetId="14" r:id="rId14"/>
    <sheet name="MST2-HKD" sheetId="3" r:id="rId15"/>
    <sheet name="MSPL-HKD" sheetId="4" r:id="rId16"/>
    <sheet name="NSG-HKD" sheetId="25" r:id="rId17"/>
    <sheet name="BOS-JPY" sheetId="22" r:id="rId18"/>
    <sheet name="MSPL-JPY" sheetId="15" r:id="rId19"/>
    <sheet name="MSPL-AUD" sheetId="16" r:id="rId20"/>
    <sheet name="CB1-USD" sheetId="20" r:id="rId21"/>
    <sheet name="CBBH-USD" sheetId="19" r:id="rId22"/>
    <sheet name="BOS-USD" sheetId="6" r:id="rId23"/>
    <sheet name="DBPe-SGD" sheetId="23" r:id="rId24"/>
    <sheet name="MST1-SGD" sheetId="21" r:id="rId25"/>
    <sheet name="NSG-SGD" sheetId="26" r:id="rId26"/>
  </sheets>
  <definedNames>
    <definedName name="_xlnm.Print_Area" localSheetId="7">'BOS-HKD'!$A$1:$N$4</definedName>
    <definedName name="_xlnm.Print_Area" localSheetId="17">'BOS-JPY'!$A$1:$N$4</definedName>
    <definedName name="_xlnm.Print_Area" localSheetId="22">'BOS-USD'!$A$1:$N$4</definedName>
    <definedName name="_xlnm.Print_Area" localSheetId="2">'CB1-HKD'!$A$1:$N$4</definedName>
    <definedName name="_xlnm.Print_Area" localSheetId="20">'CB1-USD'!$A$1:$N$4</definedName>
    <definedName name="_xlnm.Print_Area" localSheetId="3">'CB2-HKD'!$A$1:$N$4</definedName>
    <definedName name="_xlnm.Print_Area" localSheetId="4">'CB3-HKD'!$A$1:$N$4</definedName>
    <definedName name="_xlnm.Print_Area" localSheetId="6">'CBBH2-HKD'!$A$1:$N$4</definedName>
    <definedName name="_xlnm.Print_Area" localSheetId="5">'CBBH-HKD'!$A$1:$N$4</definedName>
    <definedName name="_xlnm.Print_Area" localSheetId="21">'CBBH-USD'!$A$1:$N$4</definedName>
    <definedName name="_xlnm.Print_Area" localSheetId="8">'DBPe-HKD'!$A$1:$N$4</definedName>
    <definedName name="_xlnm.Print_Area" localSheetId="23">'DBPe-SGD'!$A$1:$N$4</definedName>
    <definedName name="_xlnm.Print_Area" localSheetId="9">'DBPL-HKD'!$A$1:$N$4</definedName>
    <definedName name="_xlnm.Print_Area" localSheetId="19">'MSPL-AUD'!$A$1:$N$4</definedName>
    <definedName name="_xlnm.Print_Area" localSheetId="15">'MSPL-HKD'!$A$1:$N$4</definedName>
    <definedName name="_xlnm.Print_Area" localSheetId="18">'MSPL-JPY'!$A$1:$N$4</definedName>
    <definedName name="_xlnm.Print_Area" localSheetId="13">'MST1-HKD'!$A$1:$N$4</definedName>
    <definedName name="_xlnm.Print_Area" localSheetId="24">'MST1-SGD'!$A$1:$N$4</definedName>
    <definedName name="_xlnm.Print_Area" localSheetId="14">'MST2-HKD'!$A$1:$N$4</definedName>
    <definedName name="_xlnm.Print_Area" localSheetId="16">'NSG-HKD'!$A$1:$N$4</definedName>
    <definedName name="_xlnm.Print_Area" localSheetId="25">'NSG-SGD'!$A$1:$N$4</definedName>
    <definedName name="_xlnm.Print_Area" localSheetId="10">'SC-HKD'!$A$1:$N$4</definedName>
    <definedName name="_xlnm.Print_Area" localSheetId="12">'SHK2-HKD'!$A$1:$N$4</definedName>
    <definedName name="_xlnm.Print_Area" localSheetId="11">'SHK-HKD'!$A$1:$N$4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7" i="5" l="1"/>
  <c r="B127" i="5" s="1"/>
  <c r="K126" i="5"/>
  <c r="K125" i="5"/>
  <c r="K124" i="5"/>
  <c r="K123" i="5"/>
  <c r="B123" i="5" s="1"/>
  <c r="K122" i="5"/>
  <c r="B122" i="5" s="1"/>
  <c r="K121" i="5"/>
  <c r="B121" i="5" s="1"/>
  <c r="K120" i="5"/>
  <c r="B120" i="5" s="1"/>
  <c r="K119" i="5"/>
  <c r="B119" i="5" s="1"/>
  <c r="K118" i="5"/>
  <c r="B118" i="5" s="1"/>
  <c r="K116" i="5"/>
  <c r="B116" i="5" s="1"/>
  <c r="K115" i="5"/>
  <c r="B115" i="5" s="1"/>
  <c r="K114" i="5"/>
  <c r="B114" i="5" s="1"/>
  <c r="K113" i="5"/>
  <c r="K112" i="5"/>
  <c r="K111" i="5"/>
  <c r="K110" i="5"/>
  <c r="K109" i="5"/>
  <c r="K108" i="5"/>
  <c r="K107" i="5"/>
  <c r="K106" i="5"/>
  <c r="B106" i="5" s="1"/>
  <c r="K105" i="5"/>
  <c r="B105" i="5" s="1"/>
  <c r="K103" i="5"/>
  <c r="B103" i="5" s="1"/>
  <c r="K102" i="5"/>
  <c r="B102" i="5" s="1"/>
  <c r="K101" i="5"/>
  <c r="B101" i="5" s="1"/>
  <c r="K100" i="5"/>
  <c r="K99" i="5"/>
  <c r="K98" i="5"/>
  <c r="K97" i="5"/>
  <c r="B97" i="5" s="1"/>
  <c r="K96" i="5"/>
  <c r="K95" i="5"/>
  <c r="K94" i="5"/>
  <c r="K92" i="5"/>
  <c r="K91" i="5"/>
  <c r="B91" i="5" s="1"/>
  <c r="K90" i="5"/>
  <c r="B90" i="5" s="1"/>
  <c r="K89" i="5"/>
  <c r="B89" i="5" s="1"/>
  <c r="K88" i="5"/>
  <c r="B88" i="5" s="1"/>
  <c r="K87" i="5"/>
  <c r="K86" i="5"/>
  <c r="K85" i="5"/>
  <c r="K84" i="5"/>
  <c r="B84" i="5" s="1"/>
  <c r="K83" i="5"/>
  <c r="K81" i="5"/>
  <c r="B81" i="5" s="1"/>
  <c r="K80" i="5"/>
  <c r="B80" i="5" s="1"/>
  <c r="K79" i="5"/>
  <c r="B79" i="5" s="1"/>
  <c r="K78" i="5"/>
  <c r="B78" i="5" s="1"/>
  <c r="K77" i="5"/>
  <c r="B77" i="5" s="1"/>
  <c r="K76" i="5"/>
  <c r="B76" i="5" s="1"/>
  <c r="K75" i="5"/>
  <c r="B75" i="5" s="1"/>
  <c r="K74" i="5"/>
  <c r="K73" i="5"/>
  <c r="K72" i="5"/>
  <c r="K70" i="5"/>
  <c r="K69" i="5"/>
  <c r="B69" i="5" s="1"/>
  <c r="K68" i="5"/>
  <c r="B68" i="5" s="1"/>
  <c r="K67" i="5"/>
  <c r="B67" i="5" s="1"/>
  <c r="K66" i="5"/>
  <c r="B66" i="5" s="1"/>
  <c r="K65" i="5"/>
  <c r="B65" i="5" s="1"/>
  <c r="K64" i="5"/>
  <c r="B64" i="5" s="1"/>
  <c r="K63" i="5"/>
  <c r="B63" i="5" s="1"/>
  <c r="K62" i="5"/>
  <c r="B62" i="5" s="1"/>
  <c r="K61" i="5"/>
  <c r="K59" i="5"/>
  <c r="K58" i="5"/>
  <c r="K57" i="5"/>
  <c r="K56" i="5"/>
  <c r="K55" i="5"/>
  <c r="K54" i="5"/>
  <c r="K53" i="5"/>
  <c r="B53" i="5" s="1"/>
  <c r="K52" i="5"/>
  <c r="B52" i="5" s="1"/>
  <c r="K51" i="5"/>
  <c r="B51" i="5" s="1"/>
  <c r="K50" i="5"/>
  <c r="B50" i="5" s="1"/>
  <c r="K48" i="5"/>
  <c r="B48" i="5" s="1"/>
  <c r="K47" i="5"/>
  <c r="K46" i="5"/>
  <c r="K45" i="5"/>
  <c r="K44" i="5"/>
  <c r="B44" i="5" s="1"/>
  <c r="K43" i="5"/>
  <c r="K42" i="5"/>
  <c r="K41" i="5"/>
  <c r="K40" i="5"/>
  <c r="K39" i="5"/>
  <c r="B39" i="5" s="1"/>
  <c r="K38" i="5"/>
  <c r="B38" i="5" s="1"/>
  <c r="K37" i="5"/>
  <c r="B37" i="5" s="1"/>
  <c r="K36" i="5"/>
  <c r="B36" i="5" s="1"/>
  <c r="K35" i="5"/>
  <c r="K33" i="5"/>
  <c r="K32" i="5"/>
  <c r="K31" i="5"/>
  <c r="B31" i="5" s="1"/>
  <c r="K30" i="5"/>
  <c r="B30" i="5" s="1"/>
  <c r="K29" i="5"/>
  <c r="K28" i="5"/>
  <c r="B28" i="5" s="1"/>
  <c r="K27" i="5"/>
  <c r="B27" i="5" s="1"/>
  <c r="K26" i="5"/>
  <c r="B26" i="5" s="1"/>
  <c r="K25" i="5"/>
  <c r="B25" i="5" s="1"/>
  <c r="K24" i="5"/>
  <c r="B24" i="5" s="1"/>
  <c r="K22" i="5"/>
  <c r="B22" i="5" s="1"/>
  <c r="K21" i="5"/>
  <c r="K20" i="5"/>
  <c r="K19" i="5"/>
  <c r="K18" i="5"/>
  <c r="B18" i="5" s="1"/>
  <c r="K17" i="5"/>
  <c r="K16" i="5"/>
  <c r="K15" i="5"/>
  <c r="B15" i="5" s="1"/>
  <c r="K14" i="5"/>
  <c r="B14" i="5" s="1"/>
  <c r="K13" i="5"/>
  <c r="B13" i="5" s="1"/>
  <c r="K11" i="5"/>
  <c r="B11" i="5" s="1"/>
  <c r="K10" i="5"/>
  <c r="B10" i="5" s="1"/>
  <c r="K9" i="5"/>
  <c r="B9" i="5" s="1"/>
  <c r="K8" i="5"/>
  <c r="K7" i="5"/>
  <c r="K6" i="5"/>
  <c r="K5" i="5"/>
  <c r="B5" i="5" s="1"/>
  <c r="K4" i="5"/>
  <c r="K3" i="5"/>
  <c r="K2" i="5"/>
  <c r="B126" i="5"/>
  <c r="B125" i="5"/>
  <c r="B124" i="5"/>
  <c r="B113" i="5"/>
  <c r="B112" i="5"/>
  <c r="B111" i="5"/>
  <c r="B110" i="5"/>
  <c r="B109" i="5"/>
  <c r="B108" i="5"/>
  <c r="B107" i="5"/>
  <c r="B100" i="5"/>
  <c r="B99" i="5"/>
  <c r="B98" i="5"/>
  <c r="B96" i="5"/>
  <c r="B95" i="5"/>
  <c r="B94" i="5"/>
  <c r="B92" i="5"/>
  <c r="B87" i="5"/>
  <c r="B86" i="5"/>
  <c r="B85" i="5"/>
  <c r="B83" i="5"/>
  <c r="B74" i="5"/>
  <c r="B73" i="5"/>
  <c r="B72" i="5"/>
  <c r="B70" i="5"/>
  <c r="B61" i="5"/>
  <c r="B59" i="5"/>
  <c r="B58" i="5"/>
  <c r="B57" i="5"/>
  <c r="B56" i="5"/>
  <c r="B55" i="5"/>
  <c r="B54" i="5"/>
  <c r="B47" i="5"/>
  <c r="B46" i="5"/>
  <c r="B45" i="5"/>
  <c r="B43" i="5"/>
  <c r="B42" i="5"/>
  <c r="B41" i="5"/>
  <c r="B40" i="5"/>
  <c r="B35" i="5"/>
  <c r="B33" i="5"/>
  <c r="B32" i="5"/>
  <c r="B29" i="5"/>
  <c r="B21" i="5"/>
  <c r="B20" i="5"/>
  <c r="B19" i="5"/>
  <c r="B17" i="5"/>
  <c r="B16" i="5"/>
  <c r="B8" i="5"/>
  <c r="B7" i="5"/>
  <c r="B6" i="5"/>
  <c r="B4" i="5"/>
  <c r="B3" i="5"/>
  <c r="B2" i="5"/>
  <c r="L127" i="5"/>
  <c r="D127" i="5"/>
  <c r="N127" i="5"/>
  <c r="C127" i="5"/>
  <c r="M126" i="5"/>
  <c r="L126" i="5"/>
  <c r="D126" i="5"/>
  <c r="E126" i="5" s="1"/>
  <c r="N126" i="5"/>
  <c r="C126" i="5"/>
  <c r="M125" i="5"/>
  <c r="L125" i="5"/>
  <c r="D125" i="5"/>
  <c r="C125" i="5"/>
  <c r="N124" i="5"/>
  <c r="L124" i="5"/>
  <c r="D124" i="5"/>
  <c r="C124" i="5"/>
  <c r="L123" i="5"/>
  <c r="D123" i="5"/>
  <c r="E123" i="5" s="1"/>
  <c r="N123" i="5"/>
  <c r="C123" i="5"/>
  <c r="L122" i="5"/>
  <c r="D122" i="5"/>
  <c r="N122" i="5"/>
  <c r="C122" i="5"/>
  <c r="E122" i="5" s="1"/>
  <c r="L121" i="5"/>
  <c r="D121" i="5"/>
  <c r="E121" i="5" s="1"/>
  <c r="N121" i="5"/>
  <c r="C121" i="5"/>
  <c r="L120" i="5"/>
  <c r="D120" i="5"/>
  <c r="C120" i="5"/>
  <c r="M120" i="5"/>
  <c r="L119" i="5"/>
  <c r="D119" i="5"/>
  <c r="N119" i="5"/>
  <c r="C119" i="5"/>
  <c r="A119" i="5"/>
  <c r="A120" i="5" s="1"/>
  <c r="A121" i="5" s="1"/>
  <c r="A122" i="5" s="1"/>
  <c r="A123" i="5" s="1"/>
  <c r="A124" i="5" s="1"/>
  <c r="A125" i="5" s="1"/>
  <c r="A126" i="5" s="1"/>
  <c r="A127" i="5" s="1"/>
  <c r="L118" i="5"/>
  <c r="D118" i="5"/>
  <c r="N118" i="5"/>
  <c r="C118" i="5"/>
  <c r="L116" i="5"/>
  <c r="D116" i="5"/>
  <c r="N116" i="5"/>
  <c r="C116" i="5"/>
  <c r="L115" i="5"/>
  <c r="D115" i="5"/>
  <c r="N115" i="5"/>
  <c r="C115" i="5"/>
  <c r="M115" i="5"/>
  <c r="M114" i="5"/>
  <c r="L114" i="5"/>
  <c r="D114" i="5"/>
  <c r="C114" i="5"/>
  <c r="E114" i="5" s="1"/>
  <c r="L113" i="5"/>
  <c r="D113" i="5"/>
  <c r="N113" i="5"/>
  <c r="C113" i="5"/>
  <c r="L112" i="5"/>
  <c r="D112" i="5"/>
  <c r="N112" i="5"/>
  <c r="C112" i="5"/>
  <c r="E112" i="5" s="1"/>
  <c r="M112" i="5"/>
  <c r="L111" i="5"/>
  <c r="D111" i="5"/>
  <c r="C111" i="5"/>
  <c r="E111" i="5" s="1"/>
  <c r="M111" i="5"/>
  <c r="L110" i="5"/>
  <c r="D110" i="5"/>
  <c r="N110" i="5"/>
  <c r="C110" i="5"/>
  <c r="E110" i="5" s="1"/>
  <c r="M110" i="5"/>
  <c r="L109" i="5"/>
  <c r="D109" i="5"/>
  <c r="E109" i="5" s="1"/>
  <c r="N109" i="5"/>
  <c r="C109" i="5"/>
  <c r="L108" i="5"/>
  <c r="D108" i="5"/>
  <c r="E108" i="5" s="1"/>
  <c r="N108" i="5"/>
  <c r="C108" i="5"/>
  <c r="L107" i="5"/>
  <c r="D107" i="5"/>
  <c r="N107" i="5"/>
  <c r="C107" i="5"/>
  <c r="E107" i="5" s="1"/>
  <c r="M107" i="5"/>
  <c r="L106" i="5"/>
  <c r="D106" i="5"/>
  <c r="N106" i="5"/>
  <c r="C106" i="5"/>
  <c r="A106" i="5"/>
  <c r="A107" i="5" s="1"/>
  <c r="A108" i="5" s="1"/>
  <c r="A109" i="5" s="1"/>
  <c r="A110" i="5" s="1"/>
  <c r="A111" i="5" s="1"/>
  <c r="A112" i="5" s="1"/>
  <c r="L105" i="5"/>
  <c r="D105" i="5"/>
  <c r="N105" i="5"/>
  <c r="C105" i="5"/>
  <c r="N103" i="5"/>
  <c r="M103" i="5"/>
  <c r="L103" i="5"/>
  <c r="D103" i="5"/>
  <c r="C103" i="5"/>
  <c r="N102" i="5"/>
  <c r="M102" i="5"/>
  <c r="L102" i="5"/>
  <c r="D102" i="5"/>
  <c r="C102" i="5"/>
  <c r="L101" i="5"/>
  <c r="D101" i="5"/>
  <c r="N101" i="5"/>
  <c r="C101" i="5"/>
  <c r="L100" i="5"/>
  <c r="D100" i="5"/>
  <c r="E100" i="5" s="1"/>
  <c r="N100" i="5"/>
  <c r="C100" i="5"/>
  <c r="M100" i="5"/>
  <c r="L99" i="5"/>
  <c r="D99" i="5"/>
  <c r="N99" i="5"/>
  <c r="C99" i="5"/>
  <c r="L98" i="5"/>
  <c r="D98" i="5"/>
  <c r="N98" i="5"/>
  <c r="C98" i="5"/>
  <c r="E98" i="5" s="1"/>
  <c r="L97" i="5"/>
  <c r="D97" i="5"/>
  <c r="N97" i="5"/>
  <c r="C97" i="5"/>
  <c r="E97" i="5" s="1"/>
  <c r="L96" i="5"/>
  <c r="D96" i="5"/>
  <c r="N96" i="5"/>
  <c r="C96" i="5"/>
  <c r="M96" i="5"/>
  <c r="L95" i="5"/>
  <c r="D95" i="5"/>
  <c r="N95" i="5"/>
  <c r="C95" i="5"/>
  <c r="E95" i="5" s="1"/>
  <c r="A95" i="5"/>
  <c r="A96" i="5" s="1"/>
  <c r="A97" i="5" s="1"/>
  <c r="A98" i="5" s="1"/>
  <c r="A99" i="5" s="1"/>
  <c r="A100" i="5" s="1"/>
  <c r="A101" i="5" s="1"/>
  <c r="A102" i="5" s="1"/>
  <c r="A103" i="5" s="1"/>
  <c r="L94" i="5"/>
  <c r="D94" i="5"/>
  <c r="E94" i="5" s="1"/>
  <c r="N94" i="5"/>
  <c r="C94" i="5"/>
  <c r="N92" i="5"/>
  <c r="M92" i="5"/>
  <c r="L92" i="5"/>
  <c r="D92" i="5"/>
  <c r="C92" i="5"/>
  <c r="E92" i="5" s="1"/>
  <c r="N91" i="5"/>
  <c r="M91" i="5"/>
  <c r="L91" i="5"/>
  <c r="D91" i="5"/>
  <c r="C91" i="5"/>
  <c r="E91" i="5" s="1"/>
  <c r="N90" i="5"/>
  <c r="M90" i="5"/>
  <c r="L90" i="5"/>
  <c r="D90" i="5"/>
  <c r="C90" i="5"/>
  <c r="E90" i="5" s="1"/>
  <c r="N89" i="5"/>
  <c r="M89" i="5"/>
  <c r="L89" i="5"/>
  <c r="D89" i="5"/>
  <c r="E89" i="5" s="1"/>
  <c r="C89" i="5"/>
  <c r="L88" i="5"/>
  <c r="D88" i="5"/>
  <c r="E88" i="5" s="1"/>
  <c r="N88" i="5"/>
  <c r="C88" i="5"/>
  <c r="M88" i="5"/>
  <c r="L87" i="5"/>
  <c r="D87" i="5"/>
  <c r="C87" i="5"/>
  <c r="M87" i="5"/>
  <c r="L86" i="5"/>
  <c r="D86" i="5"/>
  <c r="E86" i="5" s="1"/>
  <c r="C86" i="5"/>
  <c r="M86" i="5"/>
  <c r="N85" i="5"/>
  <c r="L85" i="5"/>
  <c r="D85" i="5"/>
  <c r="C85" i="5"/>
  <c r="L84" i="5"/>
  <c r="D84" i="5"/>
  <c r="N84" i="5"/>
  <c r="C84" i="5"/>
  <c r="E84" i="5" s="1"/>
  <c r="A84" i="5"/>
  <c r="A85" i="5" s="1"/>
  <c r="A86" i="5" s="1"/>
  <c r="A87" i="5" s="1"/>
  <c r="A88" i="5" s="1"/>
  <c r="A89" i="5" s="1"/>
  <c r="A90" i="5" s="1"/>
  <c r="A91" i="5" s="1"/>
  <c r="A92" i="5" s="1"/>
  <c r="L83" i="5"/>
  <c r="D83" i="5"/>
  <c r="N83" i="5"/>
  <c r="C83" i="5"/>
  <c r="N81" i="5"/>
  <c r="M81" i="5"/>
  <c r="L81" i="5"/>
  <c r="D81" i="5"/>
  <c r="C81" i="5"/>
  <c r="N80" i="5"/>
  <c r="M80" i="5"/>
  <c r="L80" i="5"/>
  <c r="D80" i="5"/>
  <c r="C80" i="5"/>
  <c r="N79" i="5"/>
  <c r="M79" i="5"/>
  <c r="L79" i="5"/>
  <c r="D79" i="5"/>
  <c r="C79" i="5"/>
  <c r="E79" i="5"/>
  <c r="N78" i="5"/>
  <c r="M78" i="5"/>
  <c r="L78" i="5"/>
  <c r="D78" i="5"/>
  <c r="C78" i="5"/>
  <c r="N77" i="5"/>
  <c r="M77" i="5"/>
  <c r="L77" i="5"/>
  <c r="D77" i="5"/>
  <c r="E77" i="5" s="1"/>
  <c r="C77" i="5"/>
  <c r="L76" i="5"/>
  <c r="D76" i="5"/>
  <c r="C76" i="5"/>
  <c r="E76" i="5" s="1"/>
  <c r="M76" i="5"/>
  <c r="L75" i="5"/>
  <c r="D75" i="5"/>
  <c r="E75" i="5" s="1"/>
  <c r="N75" i="5"/>
  <c r="C75" i="5"/>
  <c r="L74" i="5"/>
  <c r="D74" i="5"/>
  <c r="E74" i="5" s="1"/>
  <c r="N74" i="5"/>
  <c r="C74" i="5"/>
  <c r="L73" i="5"/>
  <c r="D73" i="5"/>
  <c r="N73" i="5"/>
  <c r="C73" i="5"/>
  <c r="E73" i="5" s="1"/>
  <c r="M73" i="5"/>
  <c r="A73" i="5"/>
  <c r="A74" i="5" s="1"/>
  <c r="A75" i="5" s="1"/>
  <c r="A76" i="5" s="1"/>
  <c r="A77" i="5" s="1"/>
  <c r="A78" i="5" s="1"/>
  <c r="A79" i="5" s="1"/>
  <c r="A80" i="5" s="1"/>
  <c r="A81" i="5" s="1"/>
  <c r="L72" i="5"/>
  <c r="D72" i="5"/>
  <c r="N72" i="5"/>
  <c r="C72" i="5"/>
  <c r="E72" i="5" s="1"/>
  <c r="M72" i="5"/>
  <c r="N70" i="5"/>
  <c r="M70" i="5"/>
  <c r="L70" i="5"/>
  <c r="D70" i="5"/>
  <c r="C70" i="5"/>
  <c r="N69" i="5"/>
  <c r="M69" i="5"/>
  <c r="L69" i="5"/>
  <c r="D69" i="5"/>
  <c r="C69" i="5"/>
  <c r="E69" i="5" s="1"/>
  <c r="N68" i="5"/>
  <c r="M68" i="5"/>
  <c r="L68" i="5"/>
  <c r="D68" i="5"/>
  <c r="C68" i="5"/>
  <c r="E68" i="5" s="1"/>
  <c r="N67" i="5"/>
  <c r="M67" i="5"/>
  <c r="L67" i="5"/>
  <c r="D67" i="5"/>
  <c r="C67" i="5"/>
  <c r="N66" i="5"/>
  <c r="M66" i="5"/>
  <c r="L66" i="5"/>
  <c r="D66" i="5"/>
  <c r="C66" i="5"/>
  <c r="L65" i="5"/>
  <c r="D65" i="5"/>
  <c r="N65" i="5"/>
  <c r="C65" i="5"/>
  <c r="E65" i="5" s="1"/>
  <c r="L64" i="5"/>
  <c r="D64" i="5"/>
  <c r="N64" i="5"/>
  <c r="C64" i="5"/>
  <c r="M63" i="5"/>
  <c r="L63" i="5"/>
  <c r="D63" i="5"/>
  <c r="N63" i="5"/>
  <c r="C63" i="5"/>
  <c r="L62" i="5"/>
  <c r="D62" i="5"/>
  <c r="N62" i="5"/>
  <c r="C62" i="5"/>
  <c r="M62" i="5"/>
  <c r="A62" i="5"/>
  <c r="A63" i="5" s="1"/>
  <c r="A64" i="5" s="1"/>
  <c r="A65" i="5" s="1"/>
  <c r="A66" i="5" s="1"/>
  <c r="A67" i="5" s="1"/>
  <c r="A68" i="5" s="1"/>
  <c r="A69" i="5" s="1"/>
  <c r="A70" i="5" s="1"/>
  <c r="L61" i="5"/>
  <c r="D61" i="5"/>
  <c r="E61" i="5" s="1"/>
  <c r="N61" i="5"/>
  <c r="C61" i="5"/>
  <c r="N59" i="5"/>
  <c r="M59" i="5"/>
  <c r="L59" i="5"/>
  <c r="D59" i="5"/>
  <c r="C59" i="5"/>
  <c r="N58" i="5"/>
  <c r="M58" i="5"/>
  <c r="L58" i="5"/>
  <c r="D58" i="5"/>
  <c r="C58" i="5"/>
  <c r="N57" i="5"/>
  <c r="M57" i="5"/>
  <c r="L57" i="5"/>
  <c r="D57" i="5"/>
  <c r="C57" i="5"/>
  <c r="E57" i="5" s="1"/>
  <c r="L56" i="5"/>
  <c r="D56" i="5"/>
  <c r="C56" i="5"/>
  <c r="E56" i="5" s="1"/>
  <c r="M56" i="5"/>
  <c r="L55" i="5"/>
  <c r="D55" i="5"/>
  <c r="N55" i="5"/>
  <c r="C55" i="5"/>
  <c r="L54" i="5"/>
  <c r="D54" i="5"/>
  <c r="N54" i="5"/>
  <c r="C54" i="5"/>
  <c r="L53" i="5"/>
  <c r="D53" i="5"/>
  <c r="C53" i="5"/>
  <c r="M53" i="5"/>
  <c r="L52" i="5"/>
  <c r="D52" i="5"/>
  <c r="N52" i="5"/>
  <c r="C52" i="5"/>
  <c r="M52" i="5"/>
  <c r="L51" i="5"/>
  <c r="D51" i="5"/>
  <c r="C51" i="5"/>
  <c r="E51" i="5" s="1"/>
  <c r="M51" i="5"/>
  <c r="A51" i="5"/>
  <c r="A52" i="5" s="1"/>
  <c r="A53" i="5" s="1"/>
  <c r="A54" i="5" s="1"/>
  <c r="A55" i="5" s="1"/>
  <c r="A56" i="5" s="1"/>
  <c r="A57" i="5" s="1"/>
  <c r="A58" i="5" s="1"/>
  <c r="A59" i="5" s="1"/>
  <c r="N50" i="5"/>
  <c r="L50" i="5"/>
  <c r="D50" i="5"/>
  <c r="C50" i="5"/>
  <c r="M50" i="5"/>
  <c r="N48" i="5"/>
  <c r="M48" i="5"/>
  <c r="L48" i="5"/>
  <c r="D48" i="5"/>
  <c r="C48" i="5"/>
  <c r="E48" i="5" s="1"/>
  <c r="N47" i="5"/>
  <c r="M47" i="5"/>
  <c r="L47" i="5"/>
  <c r="D47" i="5"/>
  <c r="C47" i="5"/>
  <c r="N46" i="5"/>
  <c r="M46" i="5"/>
  <c r="L46" i="5"/>
  <c r="D46" i="5"/>
  <c r="C46" i="5"/>
  <c r="E46" i="5" s="1"/>
  <c r="N45" i="5"/>
  <c r="M45" i="5"/>
  <c r="L45" i="5"/>
  <c r="D45" i="5"/>
  <c r="C45" i="5"/>
  <c r="N44" i="5"/>
  <c r="M44" i="5"/>
  <c r="L44" i="5"/>
  <c r="D44" i="5"/>
  <c r="C44" i="5"/>
  <c r="L43" i="5"/>
  <c r="D43" i="5"/>
  <c r="N43" i="5"/>
  <c r="C43" i="5"/>
  <c r="E43" i="5" s="1"/>
  <c r="L42" i="5"/>
  <c r="D42" i="5"/>
  <c r="C42" i="5"/>
  <c r="M42" i="5"/>
  <c r="L41" i="5"/>
  <c r="D41" i="5"/>
  <c r="C41" i="5"/>
  <c r="E41" i="5" s="1"/>
  <c r="M41" i="5"/>
  <c r="L40" i="5"/>
  <c r="D40" i="5"/>
  <c r="N40" i="5"/>
  <c r="C40" i="5"/>
  <c r="E40" i="5" s="1"/>
  <c r="M40" i="5"/>
  <c r="L39" i="5"/>
  <c r="D39" i="5"/>
  <c r="N39" i="5"/>
  <c r="C39" i="5"/>
  <c r="L38" i="5"/>
  <c r="D38" i="5"/>
  <c r="E38" i="5" s="1"/>
  <c r="N38" i="5"/>
  <c r="C38" i="5"/>
  <c r="M37" i="5"/>
  <c r="L37" i="5"/>
  <c r="D37" i="5"/>
  <c r="N37" i="5"/>
  <c r="C37" i="5"/>
  <c r="L36" i="5"/>
  <c r="D36" i="5"/>
  <c r="N36" i="5"/>
  <c r="C36" i="5"/>
  <c r="M36" i="5"/>
  <c r="A36" i="5"/>
  <c r="A37" i="5" s="1"/>
  <c r="A38" i="5" s="1"/>
  <c r="A39" i="5" s="1"/>
  <c r="A40" i="5" s="1"/>
  <c r="A41" i="5" s="1"/>
  <c r="A42" i="5" s="1"/>
  <c r="A43" i="5" s="1"/>
  <c r="L35" i="5"/>
  <c r="D35" i="5"/>
  <c r="N35" i="5"/>
  <c r="C35" i="5"/>
  <c r="E35" i="5" s="1"/>
  <c r="N33" i="5"/>
  <c r="M33" i="5"/>
  <c r="L33" i="5"/>
  <c r="D33" i="5"/>
  <c r="E33" i="5" s="1"/>
  <c r="C33" i="5"/>
  <c r="N32" i="5"/>
  <c r="M32" i="5"/>
  <c r="L32" i="5"/>
  <c r="D32" i="5"/>
  <c r="C32" i="5"/>
  <c r="E32" i="5" s="1"/>
  <c r="N31" i="5"/>
  <c r="M31" i="5"/>
  <c r="L31" i="5"/>
  <c r="D31" i="5"/>
  <c r="C31" i="5"/>
  <c r="E31" i="5" s="1"/>
  <c r="N30" i="5"/>
  <c r="M30" i="5"/>
  <c r="L30" i="5"/>
  <c r="D30" i="5"/>
  <c r="C30" i="5"/>
  <c r="L29" i="5"/>
  <c r="D29" i="5"/>
  <c r="N29" i="5"/>
  <c r="C29" i="5"/>
  <c r="M28" i="5"/>
  <c r="L28" i="5"/>
  <c r="D28" i="5"/>
  <c r="N28" i="5"/>
  <c r="C28" i="5"/>
  <c r="M27" i="5"/>
  <c r="L27" i="5"/>
  <c r="D27" i="5"/>
  <c r="N27" i="5"/>
  <c r="C27" i="5"/>
  <c r="L26" i="5"/>
  <c r="D26" i="5"/>
  <c r="N26" i="5"/>
  <c r="C26" i="5"/>
  <c r="L25" i="5"/>
  <c r="D25" i="5"/>
  <c r="N25" i="5"/>
  <c r="C25" i="5"/>
  <c r="A25" i="5"/>
  <c r="A26" i="5" s="1"/>
  <c r="A27" i="5" s="1"/>
  <c r="A28" i="5" s="1"/>
  <c r="A29" i="5" s="1"/>
  <c r="A30" i="5" s="1"/>
  <c r="A31" i="5" s="1"/>
  <c r="A32" i="5" s="1"/>
  <c r="A33" i="5" s="1"/>
  <c r="L24" i="5"/>
  <c r="D24" i="5"/>
  <c r="N24" i="5"/>
  <c r="C24" i="5"/>
  <c r="N22" i="5"/>
  <c r="M22" i="5"/>
  <c r="L22" i="5"/>
  <c r="D22" i="5"/>
  <c r="C22" i="5"/>
  <c r="E22" i="5" s="1"/>
  <c r="N21" i="5"/>
  <c r="M21" i="5"/>
  <c r="L21" i="5"/>
  <c r="D21" i="5"/>
  <c r="C21" i="5"/>
  <c r="N20" i="5"/>
  <c r="M20" i="5"/>
  <c r="L20" i="5"/>
  <c r="D20" i="5"/>
  <c r="C20" i="5"/>
  <c r="E20" i="5" s="1"/>
  <c r="N19" i="5"/>
  <c r="M19" i="5"/>
  <c r="L19" i="5"/>
  <c r="D19" i="5"/>
  <c r="C19" i="5"/>
  <c r="L18" i="5"/>
  <c r="D18" i="5"/>
  <c r="N18" i="5"/>
  <c r="C18" i="5"/>
  <c r="M18" i="5"/>
  <c r="L17" i="5"/>
  <c r="D17" i="5"/>
  <c r="N17" i="5"/>
  <c r="C17" i="5"/>
  <c r="E17" i="5" s="1"/>
  <c r="M17" i="5"/>
  <c r="L16" i="5"/>
  <c r="D16" i="5"/>
  <c r="N16" i="5"/>
  <c r="C16" i="5"/>
  <c r="L15" i="5"/>
  <c r="D15" i="5"/>
  <c r="N15" i="5"/>
  <c r="C15" i="5"/>
  <c r="L14" i="5"/>
  <c r="D14" i="5"/>
  <c r="N14" i="5"/>
  <c r="C14" i="5"/>
  <c r="M14" i="5"/>
  <c r="A14" i="5"/>
  <c r="L13" i="5"/>
  <c r="D13" i="5"/>
  <c r="N13" i="5"/>
  <c r="C13" i="5"/>
  <c r="N11" i="5"/>
  <c r="M11" i="5"/>
  <c r="L11" i="5"/>
  <c r="D11" i="5"/>
  <c r="C11" i="5"/>
  <c r="E11" i="5" s="1"/>
  <c r="N10" i="5"/>
  <c r="M10" i="5"/>
  <c r="L10" i="5"/>
  <c r="D10" i="5"/>
  <c r="C10" i="5"/>
  <c r="N9" i="5"/>
  <c r="M9" i="5"/>
  <c r="L9" i="5"/>
  <c r="D9" i="5"/>
  <c r="C9" i="5"/>
  <c r="N8" i="5"/>
  <c r="M8" i="5"/>
  <c r="L8" i="5"/>
  <c r="D8" i="5"/>
  <c r="C8" i="5"/>
  <c r="M7" i="5"/>
  <c r="L7" i="5"/>
  <c r="D7" i="5"/>
  <c r="N7" i="5"/>
  <c r="C7" i="5"/>
  <c r="E7" i="5" s="1"/>
  <c r="L6" i="5"/>
  <c r="D6" i="5"/>
  <c r="N6" i="5"/>
  <c r="C6" i="5"/>
  <c r="E6" i="5" s="1"/>
  <c r="M6" i="5"/>
  <c r="L5" i="5"/>
  <c r="D5" i="5"/>
  <c r="N5" i="5"/>
  <c r="C5" i="5"/>
  <c r="L4" i="5"/>
  <c r="D4" i="5"/>
  <c r="N4" i="5"/>
  <c r="C4" i="5"/>
  <c r="L3" i="5"/>
  <c r="D3" i="5"/>
  <c r="N3" i="5"/>
  <c r="C3" i="5"/>
  <c r="A3" i="5"/>
  <c r="A4" i="5" s="1"/>
  <c r="A5" i="5" s="1"/>
  <c r="A6" i="5" s="1"/>
  <c r="A7" i="5" s="1"/>
  <c r="A8" i="5" s="1"/>
  <c r="A9" i="5" s="1"/>
  <c r="A10" i="5" s="1"/>
  <c r="A11" i="5" s="1"/>
  <c r="L2" i="5"/>
  <c r="D2" i="5"/>
  <c r="C2" i="5"/>
  <c r="M2" i="5"/>
  <c r="M121" i="5"/>
  <c r="E81" i="5"/>
  <c r="E39" i="5"/>
  <c r="E45" i="5"/>
  <c r="M101" i="5"/>
  <c r="N120" i="5"/>
  <c r="M124" i="5"/>
  <c r="N114" i="5"/>
  <c r="E106" i="5"/>
  <c r="M106" i="5"/>
  <c r="M97" i="5"/>
  <c r="E87" i="5"/>
  <c r="N86" i="5"/>
  <c r="M83" i="5"/>
  <c r="N87" i="5"/>
  <c r="N76" i="5"/>
  <c r="E66" i="5"/>
  <c r="N51" i="5"/>
  <c r="N56" i="5"/>
  <c r="M54" i="5"/>
  <c r="E42" i="5"/>
  <c r="M39" i="5"/>
  <c r="M13" i="5"/>
  <c r="N41" i="5"/>
  <c r="N2" i="5"/>
  <c r="E2" i="5"/>
  <c r="M16" i="5"/>
  <c r="N42" i="5"/>
  <c r="M24" i="5"/>
  <c r="M74" i="5"/>
  <c r="M3" i="5"/>
  <c r="M26" i="5"/>
  <c r="M95" i="5"/>
  <c r="M116" i="5"/>
  <c r="M118" i="5"/>
  <c r="M127" i="5"/>
  <c r="A15" i="5"/>
  <c r="A16" i="5" s="1"/>
  <c r="A17" i="5" s="1"/>
  <c r="A18" i="5" s="1"/>
  <c r="A19" i="5" s="1"/>
  <c r="A20" i="5" s="1"/>
  <c r="A21" i="5" s="1"/>
  <c r="A22" i="5" s="1"/>
  <c r="M15" i="5"/>
  <c r="M25" i="5"/>
  <c r="M38" i="5"/>
  <c r="N53" i="5"/>
  <c r="M64" i="5"/>
  <c r="M65" i="5"/>
  <c r="M85" i="5"/>
  <c r="M94" i="5"/>
  <c r="M123" i="5"/>
  <c r="M4" i="5"/>
  <c r="M5" i="5"/>
  <c r="M35" i="5"/>
  <c r="M43" i="5"/>
  <c r="M98" i="5"/>
  <c r="M99" i="5"/>
  <c r="M108" i="5"/>
  <c r="M109" i="5"/>
  <c r="N111" i="5"/>
  <c r="M29" i="5"/>
  <c r="M61" i="5"/>
  <c r="E119" i="5"/>
  <c r="M119" i="5"/>
  <c r="M122" i="5"/>
  <c r="N125" i="5"/>
  <c r="M55" i="5"/>
  <c r="M75" i="5"/>
  <c r="M84" i="5"/>
  <c r="E105" i="5"/>
  <c r="M105" i="5"/>
  <c r="E113" i="5"/>
  <c r="M113" i="5"/>
  <c r="E37" i="5" l="1"/>
  <c r="E63" i="5"/>
  <c r="E5" i="5"/>
  <c r="E10" i="5"/>
  <c r="E16" i="5"/>
  <c r="E21" i="5"/>
  <c r="E96" i="5"/>
  <c r="E99" i="5"/>
  <c r="E102" i="5"/>
  <c r="E116" i="5"/>
  <c r="E120" i="5"/>
  <c r="E53" i="5"/>
  <c r="E8" i="5"/>
  <c r="E25" i="5"/>
  <c r="E52" i="5"/>
  <c r="E9" i="5"/>
  <c r="E19" i="5"/>
  <c r="E55" i="5"/>
  <c r="E3" i="5"/>
  <c r="E14" i="5"/>
  <c r="E28" i="5"/>
  <c r="E47" i="5"/>
  <c r="E50" i="5"/>
  <c r="E36" i="5"/>
  <c r="E83" i="5"/>
  <c r="E124" i="5"/>
  <c r="E58" i="5"/>
  <c r="E67" i="5"/>
  <c r="E78" i="5"/>
  <c r="E80" i="5"/>
  <c r="E118" i="5"/>
  <c r="E127" i="5"/>
  <c r="E4" i="5"/>
  <c r="E15" i="5"/>
  <c r="E26" i="5"/>
  <c r="E59" i="5"/>
  <c r="E62" i="5"/>
  <c r="E64" i="5"/>
  <c r="E103" i="5"/>
  <c r="E70" i="5"/>
  <c r="E115" i="5"/>
  <c r="E125" i="5"/>
  <c r="E13" i="5"/>
  <c r="E18" i="5"/>
  <c r="E24" i="5"/>
  <c r="E27" i="5"/>
  <c r="E29" i="5"/>
  <c r="E54" i="5"/>
  <c r="E101" i="5"/>
  <c r="E85" i="5"/>
  <c r="E30" i="5"/>
  <c r="E44" i="5"/>
  <c r="A113" i="5"/>
  <c r="A116" i="5" s="1"/>
  <c r="A115" i="5"/>
  <c r="A114" i="5"/>
  <c r="A45" i="5"/>
  <c r="A47" i="5"/>
  <c r="A46" i="5"/>
  <c r="A44" i="5"/>
  <c r="A48" i="5" s="1"/>
</calcChain>
</file>

<file path=xl/sharedStrings.xml><?xml version="1.0" encoding="utf-8"?>
<sst xmlns="http://schemas.openxmlformats.org/spreadsheetml/2006/main" count="92" uniqueCount="47">
  <si>
    <t>CB1</t>
  </si>
  <si>
    <t>MST2</t>
  </si>
  <si>
    <t>MSPL</t>
  </si>
  <si>
    <t>Citibank Account No. 1</t>
  </si>
  <si>
    <t>Date:</t>
  </si>
  <si>
    <t>July 31, 2020</t>
  </si>
  <si>
    <t>Morgan Stanley Titan No. 2</t>
  </si>
  <si>
    <t>Morgan Stanley Perfect Legend</t>
  </si>
  <si>
    <t>Control</t>
  </si>
  <si>
    <t>Average</t>
  </si>
  <si>
    <t>Account</t>
  </si>
  <si>
    <t>Quantity</t>
  </si>
  <si>
    <t>Amount</t>
  </si>
  <si>
    <t>account</t>
  </si>
  <si>
    <t>code</t>
  </si>
  <si>
    <t>shares</t>
  </si>
  <si>
    <t>average</t>
  </si>
  <si>
    <t>CB2</t>
  </si>
  <si>
    <t>CBBH</t>
  </si>
  <si>
    <t>BOS</t>
  </si>
  <si>
    <t>DBPe</t>
  </si>
  <si>
    <t>DBPL</t>
  </si>
  <si>
    <t>SC</t>
  </si>
  <si>
    <t>MST1</t>
  </si>
  <si>
    <t>SHK</t>
  </si>
  <si>
    <t>Bank of Singapore</t>
  </si>
  <si>
    <t>July 27, 2020</t>
  </si>
  <si>
    <t>Citibank Account No. 2</t>
  </si>
  <si>
    <t>Deutsche Bank Personal</t>
  </si>
  <si>
    <t>Deutsche Bank Perfect Legend</t>
  </si>
  <si>
    <t>Standard Chartered Bank</t>
  </si>
  <si>
    <t>July 22, 2020</t>
  </si>
  <si>
    <t>Morgan Stanley Titan No. 1</t>
  </si>
  <si>
    <t>Citibank Account No. 3</t>
  </si>
  <si>
    <t>Citibank Berry Hill No. 1</t>
  </si>
  <si>
    <t>Citibank Berry Hill No. 2</t>
  </si>
  <si>
    <r>
      <t>Bank of Singapore</t>
    </r>
    <r>
      <rPr>
        <b/>
        <sz val="18"/>
        <color rgb="FFFF0000"/>
        <rFont val="Calibri"/>
        <family val="2"/>
      </rPr>
      <t xml:space="preserve"> - JPY</t>
    </r>
  </si>
  <si>
    <r>
      <t>Morgan Stanley Perfect Legend</t>
    </r>
    <r>
      <rPr>
        <b/>
        <sz val="18"/>
        <color rgb="FFFF0000"/>
        <rFont val="Calibri"/>
        <family val="2"/>
      </rPr>
      <t xml:space="preserve"> - JPY</t>
    </r>
  </si>
  <si>
    <r>
      <t>Morgan Stanley Perfect Legend</t>
    </r>
    <r>
      <rPr>
        <b/>
        <sz val="18"/>
        <color rgb="FFFF0000"/>
        <rFont val="Calibri"/>
        <family val="2"/>
      </rPr>
      <t xml:space="preserve"> - AUD</t>
    </r>
  </si>
  <si>
    <r>
      <t>Citibank Account No. 1</t>
    </r>
    <r>
      <rPr>
        <b/>
        <sz val="18"/>
        <color rgb="FFFF0000"/>
        <rFont val="Calibri"/>
        <family val="2"/>
      </rPr>
      <t xml:space="preserve"> - USD</t>
    </r>
  </si>
  <si>
    <r>
      <t>Citibank Berry Hill No. 1</t>
    </r>
    <r>
      <rPr>
        <b/>
        <sz val="18"/>
        <color rgb="FFFF0000"/>
        <rFont val="Calibri"/>
        <family val="2"/>
      </rPr>
      <t xml:space="preserve"> - USD</t>
    </r>
  </si>
  <si>
    <r>
      <t>Bank of Singapore</t>
    </r>
    <r>
      <rPr>
        <b/>
        <sz val="18"/>
        <color rgb="FFFF0000"/>
        <rFont val="Calibri"/>
        <family val="2"/>
      </rPr>
      <t xml:space="preserve"> - USD</t>
    </r>
  </si>
  <si>
    <r>
      <t>Deutsche Bank Personal</t>
    </r>
    <r>
      <rPr>
        <b/>
        <sz val="18"/>
        <color rgb="FFFF0000"/>
        <rFont val="Calibri"/>
        <family val="2"/>
      </rPr>
      <t xml:space="preserve"> - SGD</t>
    </r>
  </si>
  <si>
    <r>
      <t>Morgan Stanley Titan No. 1</t>
    </r>
    <r>
      <rPr>
        <b/>
        <sz val="18"/>
        <color rgb="FFFF0000"/>
        <rFont val="Calibri"/>
        <family val="2"/>
      </rPr>
      <t xml:space="preserve"> - SGD</t>
    </r>
  </si>
  <si>
    <t>Sun Hung Kai Account No. 1</t>
  </si>
  <si>
    <t>Sun Hung Kai Account No. 2</t>
  </si>
  <si>
    <t>Nomura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</si>
</sst>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</font>
    <font>
      <b/>
      <sz val="18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00"/>
      </patternFill>
    </fill>
    <fill>
      <patternFill patternType="solid">
        <fgColor rgb="FFFFCC99"/>
      </patternFill>
    </fill>
    <fill>
      <patternFill patternType="solid">
        <f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FF9900"/>
      </patternFill>
    </fill>
    <fill>
      <patternFill patternType="solid">
        <fgColor rgb="FF3366FF"/>
      </patternFill>
    </fill>
    <fill>
      <patternFill patternType="solid">
        <fgColor rgb="FFFFCC00"/>
      </patternFill>
    </fill>
    <fill>
      <patternFill patternType="solid">
        <fgColor rgb="FFCC99FF"/>
      </patternFill>
    </fill>
    <fill>
      <patternFill patternType="solid">
        <fgColor rgb="FFFF99CC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/>
    <xf numFmtId="0" fontId="0" fillId="5" borderId="0" xfId="0" applyFill="1"/>
    <xf numFmtId="3" fontId="4" fillId="0" borderId="0" xfId="0" applyNumberFormat="1" applyFont="1"/>
    <xf numFmtId="165" fontId="4" fillId="0" borderId="0" xfId="0" applyNumberFormat="1" applyFont="1"/>
    <xf numFmtId="164" fontId="4" fillId="0" borderId="0" xfId="1" applyFont="1"/>
    <xf numFmtId="0" fontId="0" fillId="5" borderId="0" xfId="0" quotePrefix="1" applyFill="1"/>
    <xf numFmtId="0" fontId="0" fillId="6" borderId="0" xfId="0" applyFill="1"/>
    <xf numFmtId="0" fontId="5" fillId="0" borderId="0" xfId="0" applyFont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0" fillId="7" borderId="0" xfId="0" applyFill="1"/>
    <xf numFmtId="0" fontId="1" fillId="7" borderId="0" xfId="0" applyFont="1" applyFill="1" applyAlignment="1">
      <alignment horizontal="left" vertical="center"/>
    </xf>
    <xf numFmtId="0" fontId="0" fillId="8" borderId="0" xfId="0" applyFill="1"/>
    <xf numFmtId="0" fontId="1" fillId="8" borderId="0" xfId="0" applyFont="1" applyFill="1" applyAlignment="1">
      <alignment horizontal="left" vertical="center"/>
    </xf>
    <xf numFmtId="0" fontId="0" fillId="9" borderId="0" xfId="0" applyFill="1"/>
    <xf numFmtId="0" fontId="1" fillId="9" borderId="0" xfId="0" applyFont="1" applyFill="1" applyAlignment="1">
      <alignment horizontal="left" vertical="center"/>
    </xf>
    <xf numFmtId="0" fontId="0" fillId="10" borderId="0" xfId="0" applyFill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0" fillId="11" borderId="0" xfId="0" applyFill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workbookViewId="0">
      <selection activeCell="K1" sqref="K1"/>
    </sheetView>
  </sheetViews>
  <sheetFormatPr defaultRowHeight="14.4" x14ac:dyDescent="0.3"/>
  <cols>
    <col min="1" max="1" width="9.109375" style="8"/>
    <col min="2" max="2" width="12.6640625" style="8" bestFit="1" customWidth="1"/>
    <col min="3" max="4" width="9.109375" style="8"/>
    <col min="5" max="5" width="15.33203125" style="8" bestFit="1" customWidth="1"/>
    <col min="6" max="6" width="2.109375" customWidth="1"/>
    <col min="7" max="7" width="8" bestFit="1" customWidth="1"/>
    <col min="8" max="8" width="15.44140625" bestFit="1" customWidth="1"/>
    <col min="9" max="9" width="12.6640625" bestFit="1" customWidth="1"/>
    <col min="11" max="11" width="10.33203125" bestFit="1" customWidth="1"/>
  </cols>
  <sheetData>
    <row r="1" spans="1:14" x14ac:dyDescent="0.3">
      <c r="A1" s="8" t="s">
        <v>10</v>
      </c>
      <c r="B1" s="8" t="s">
        <v>8</v>
      </c>
      <c r="C1" s="8" t="s">
        <v>11</v>
      </c>
      <c r="D1" s="8" t="s">
        <v>9</v>
      </c>
      <c r="E1" s="8" t="s">
        <v>12</v>
      </c>
      <c r="G1" s="9"/>
      <c r="H1" s="9"/>
      <c r="I1" s="9"/>
      <c r="J1" s="9"/>
      <c r="K1" t="s">
        <v>13</v>
      </c>
      <c r="L1" t="s">
        <v>14</v>
      </c>
      <c r="M1" t="s">
        <v>15</v>
      </c>
      <c r="N1" t="s">
        <v>16</v>
      </c>
    </row>
    <row r="2" spans="1:14" x14ac:dyDescent="0.3">
      <c r="A2" s="8" t="s">
        <v>0</v>
      </c>
      <c r="B2" s="8" t="str">
        <f t="shared" ref="B2:B11" si="0">K2&amp;G2</f>
        <v/>
      </c>
      <c r="C2" s="10" t="e">
        <f t="shared" ref="C2:C11" si="1">IF(LEFT(H2,1)="(",-VALUE(MID(H2,3,LEN(H2)-11)),VALUE(LEFT(H2,LEN(H2)-7)))</f>
        <v>#VALUE!</v>
      </c>
      <c r="D2" s="11" t="e">
        <f t="shared" ref="D2:D11" si="2">VALUE(RIGHT(I2,LEN(I2)-4))</f>
        <v>#VALUE!</v>
      </c>
      <c r="E2" s="12" t="e">
        <f t="shared" ref="E2:E11" si="3">C2*D2</f>
        <v>#VALUE!</v>
      </c>
      <c r="G2" s="9"/>
      <c r="H2" s="9"/>
      <c r="I2" s="9"/>
      <c r="J2" s="9"/>
      <c r="K2" t="str">
        <f t="shared" ref="K2:K11" si="4">IF(G2&lt;&gt;"",A2,"")&amp;IF(RIGHT(G2,2)="JP","-JPY",IF(RIGHT(G2,2)="AU","-AUD",IF(RIGHT(G2,2)="US","-USD","")))</f>
        <v/>
      </c>
      <c r="L2" t="str">
        <f t="shared" ref="L2:L11" si="5">IF(H2&lt;&gt;"",TEXT(LEFT(G2,LEN(G2)-3),"0000"),"")</f>
        <v/>
      </c>
      <c r="M2" t="str">
        <f t="shared" ref="M2:M11" si="6">IF(G2&lt;&gt;"",C2,"")</f>
        <v/>
      </c>
      <c r="N2" t="str">
        <f t="shared" ref="N2:N11" si="7">IF(G2&lt;&gt;"",D2,"")</f>
        <v/>
      </c>
    </row>
    <row r="3" spans="1:14" x14ac:dyDescent="0.3">
      <c r="A3" s="8" t="str">
        <f t="shared" ref="A3:A11" si="8">A2</f>
        <v>CB1</v>
      </c>
      <c r="B3" s="8" t="str">
        <f t="shared" si="0"/>
        <v/>
      </c>
      <c r="C3" s="10" t="e">
        <f t="shared" si="1"/>
        <v>#VALUE!</v>
      </c>
      <c r="D3" s="11" t="e">
        <f t="shared" si="2"/>
        <v>#VALUE!</v>
      </c>
      <c r="E3" s="12" t="e">
        <f t="shared" si="3"/>
        <v>#VALUE!</v>
      </c>
      <c r="G3" s="9"/>
      <c r="H3" s="9"/>
      <c r="I3" s="9"/>
      <c r="J3" s="9"/>
      <c r="K3" t="str">
        <f t="shared" si="4"/>
        <v/>
      </c>
      <c r="L3" t="str">
        <f t="shared" si="5"/>
        <v/>
      </c>
      <c r="M3" t="str">
        <f t="shared" si="6"/>
        <v/>
      </c>
      <c r="N3" t="str">
        <f t="shared" si="7"/>
        <v/>
      </c>
    </row>
    <row r="4" spans="1:14" x14ac:dyDescent="0.3">
      <c r="A4" s="8" t="str">
        <f t="shared" si="8"/>
        <v>CB1</v>
      </c>
      <c r="B4" s="8" t="str">
        <f t="shared" si="0"/>
        <v/>
      </c>
      <c r="C4" s="10" t="e">
        <f t="shared" si="1"/>
        <v>#VALUE!</v>
      </c>
      <c r="D4" s="11" t="e">
        <f t="shared" si="2"/>
        <v>#VALUE!</v>
      </c>
      <c r="E4" s="12" t="e">
        <f t="shared" si="3"/>
        <v>#VALUE!</v>
      </c>
      <c r="G4" s="9"/>
      <c r="H4" s="9"/>
      <c r="I4" s="9"/>
      <c r="J4" s="9"/>
      <c r="K4" t="str">
        <f t="shared" si="4"/>
        <v/>
      </c>
      <c r="L4" t="str">
        <f t="shared" si="5"/>
        <v/>
      </c>
      <c r="M4" t="str">
        <f t="shared" si="6"/>
        <v/>
      </c>
      <c r="N4" t="str">
        <f t="shared" si="7"/>
        <v/>
      </c>
    </row>
    <row r="5" spans="1:14" x14ac:dyDescent="0.3">
      <c r="A5" s="8" t="str">
        <f t="shared" si="8"/>
        <v>CB1</v>
      </c>
      <c r="B5" s="8" t="str">
        <f t="shared" si="0"/>
        <v/>
      </c>
      <c r="C5" s="10" t="e">
        <f t="shared" si="1"/>
        <v>#VALUE!</v>
      </c>
      <c r="D5" s="11" t="e">
        <f t="shared" si="2"/>
        <v>#VALUE!</v>
      </c>
      <c r="E5" s="12" t="e">
        <f t="shared" si="3"/>
        <v>#VALUE!</v>
      </c>
      <c r="G5" s="9"/>
      <c r="H5" s="9"/>
      <c r="I5" s="9"/>
      <c r="J5" s="9"/>
      <c r="K5" t="str">
        <f t="shared" si="4"/>
        <v/>
      </c>
      <c r="L5" t="str">
        <f t="shared" si="5"/>
        <v/>
      </c>
      <c r="M5" t="str">
        <f t="shared" si="6"/>
        <v/>
      </c>
      <c r="N5" t="str">
        <f t="shared" si="7"/>
        <v/>
      </c>
    </row>
    <row r="6" spans="1:14" x14ac:dyDescent="0.3">
      <c r="A6" s="8" t="str">
        <f t="shared" si="8"/>
        <v>CB1</v>
      </c>
      <c r="B6" s="8" t="str">
        <f t="shared" si="0"/>
        <v/>
      </c>
      <c r="C6" s="10" t="e">
        <f t="shared" si="1"/>
        <v>#VALUE!</v>
      </c>
      <c r="D6" s="11" t="e">
        <f t="shared" si="2"/>
        <v>#VALUE!</v>
      </c>
      <c r="E6" s="12" t="e">
        <f t="shared" si="3"/>
        <v>#VALUE!</v>
      </c>
      <c r="G6" s="9"/>
      <c r="H6" s="9"/>
      <c r="I6" s="9"/>
      <c r="J6" s="9"/>
      <c r="K6" t="str">
        <f t="shared" si="4"/>
        <v/>
      </c>
      <c r="L6" t="str">
        <f t="shared" si="5"/>
        <v/>
      </c>
      <c r="M6" t="str">
        <f t="shared" si="6"/>
        <v/>
      </c>
      <c r="N6" t="str">
        <f t="shared" si="7"/>
        <v/>
      </c>
    </row>
    <row r="7" spans="1:14" x14ac:dyDescent="0.3">
      <c r="A7" s="8" t="str">
        <f t="shared" si="8"/>
        <v>CB1</v>
      </c>
      <c r="B7" s="8" t="str">
        <f t="shared" si="0"/>
        <v/>
      </c>
      <c r="C7" s="10" t="e">
        <f t="shared" si="1"/>
        <v>#VALUE!</v>
      </c>
      <c r="D7" s="11" t="e">
        <f t="shared" si="2"/>
        <v>#VALUE!</v>
      </c>
      <c r="E7" s="12" t="e">
        <f t="shared" si="3"/>
        <v>#VALUE!</v>
      </c>
      <c r="G7" s="9"/>
      <c r="H7" s="9"/>
      <c r="I7" s="9"/>
      <c r="J7" s="9"/>
      <c r="K7" t="str">
        <f t="shared" si="4"/>
        <v/>
      </c>
      <c r="L7" t="str">
        <f t="shared" si="5"/>
        <v/>
      </c>
      <c r="M7" t="str">
        <f t="shared" si="6"/>
        <v/>
      </c>
      <c r="N7" t="str">
        <f t="shared" si="7"/>
        <v/>
      </c>
    </row>
    <row r="8" spans="1:14" x14ac:dyDescent="0.3">
      <c r="A8" s="8" t="str">
        <f t="shared" si="8"/>
        <v>CB1</v>
      </c>
      <c r="B8" s="8" t="str">
        <f t="shared" si="0"/>
        <v/>
      </c>
      <c r="C8" s="10" t="e">
        <f t="shared" si="1"/>
        <v>#VALUE!</v>
      </c>
      <c r="D8" s="11" t="e">
        <f t="shared" si="2"/>
        <v>#VALUE!</v>
      </c>
      <c r="E8" s="12" t="e">
        <f t="shared" si="3"/>
        <v>#VALUE!</v>
      </c>
      <c r="G8" s="9"/>
      <c r="H8" s="9"/>
      <c r="I8" s="9"/>
      <c r="J8" s="9"/>
      <c r="K8" t="str">
        <f t="shared" si="4"/>
        <v/>
      </c>
      <c r="L8" t="str">
        <f t="shared" si="5"/>
        <v/>
      </c>
      <c r="M8" t="str">
        <f t="shared" si="6"/>
        <v/>
      </c>
      <c r="N8" t="str">
        <f t="shared" si="7"/>
        <v/>
      </c>
    </row>
    <row r="9" spans="1:14" x14ac:dyDescent="0.3">
      <c r="A9" s="8" t="str">
        <f t="shared" si="8"/>
        <v>CB1</v>
      </c>
      <c r="B9" s="8" t="str">
        <f t="shared" si="0"/>
        <v/>
      </c>
      <c r="C9" s="10" t="e">
        <f t="shared" si="1"/>
        <v>#VALUE!</v>
      </c>
      <c r="D9" s="11" t="e">
        <f t="shared" si="2"/>
        <v>#VALUE!</v>
      </c>
      <c r="E9" s="12" t="e">
        <f t="shared" si="3"/>
        <v>#VALUE!</v>
      </c>
      <c r="G9" s="9"/>
      <c r="H9" s="9"/>
      <c r="I9" s="9"/>
      <c r="J9" s="9"/>
      <c r="K9" t="str">
        <f t="shared" si="4"/>
        <v/>
      </c>
      <c r="L9" t="str">
        <f t="shared" si="5"/>
        <v/>
      </c>
      <c r="M9" t="str">
        <f t="shared" si="6"/>
        <v/>
      </c>
      <c r="N9" t="str">
        <f t="shared" si="7"/>
        <v/>
      </c>
    </row>
    <row r="10" spans="1:14" x14ac:dyDescent="0.3">
      <c r="A10" s="8" t="str">
        <f t="shared" si="8"/>
        <v>CB1</v>
      </c>
      <c r="B10" s="8" t="str">
        <f t="shared" si="0"/>
        <v/>
      </c>
      <c r="C10" s="10" t="e">
        <f t="shared" si="1"/>
        <v>#VALUE!</v>
      </c>
      <c r="D10" s="11" t="e">
        <f t="shared" si="2"/>
        <v>#VALUE!</v>
      </c>
      <c r="E10" s="12" t="e">
        <f t="shared" si="3"/>
        <v>#VALUE!</v>
      </c>
      <c r="G10" s="9"/>
      <c r="H10" s="9"/>
      <c r="I10" s="9"/>
      <c r="J10" s="9"/>
      <c r="K10" t="str">
        <f t="shared" si="4"/>
        <v/>
      </c>
      <c r="L10" t="str">
        <f t="shared" si="5"/>
        <v/>
      </c>
      <c r="M10" t="str">
        <f t="shared" si="6"/>
        <v/>
      </c>
      <c r="N10" t="str">
        <f t="shared" si="7"/>
        <v/>
      </c>
    </row>
    <row r="11" spans="1:14" x14ac:dyDescent="0.3">
      <c r="A11" s="8" t="str">
        <f t="shared" si="8"/>
        <v>CB1</v>
      </c>
      <c r="B11" s="8" t="str">
        <f t="shared" si="0"/>
        <v/>
      </c>
      <c r="C11" s="10" t="e">
        <f t="shared" si="1"/>
        <v>#VALUE!</v>
      </c>
      <c r="D11" s="11" t="e">
        <f t="shared" si="2"/>
        <v>#VALUE!</v>
      </c>
      <c r="E11" s="12" t="e">
        <f t="shared" si="3"/>
        <v>#VALUE!</v>
      </c>
      <c r="G11" s="9"/>
      <c r="H11" s="9"/>
      <c r="I11" s="9"/>
      <c r="J11" s="9"/>
      <c r="K11" t="str">
        <f t="shared" si="4"/>
        <v/>
      </c>
      <c r="L11" t="str">
        <f t="shared" si="5"/>
        <v/>
      </c>
      <c r="M11" t="str">
        <f t="shared" si="6"/>
        <v/>
      </c>
      <c r="N11" t="str">
        <f t="shared" si="7"/>
        <v/>
      </c>
    </row>
    <row r="12" spans="1:14" x14ac:dyDescent="0.3">
      <c r="G12" s="9"/>
      <c r="H12" s="9"/>
      <c r="I12" s="9"/>
      <c r="J12" s="9"/>
    </row>
    <row r="13" spans="1:14" x14ac:dyDescent="0.3">
      <c r="A13" s="8" t="s">
        <v>17</v>
      </c>
      <c r="B13" s="8" t="str">
        <f t="shared" ref="B13:B22" si="9">K13&amp;G13</f>
        <v/>
      </c>
      <c r="C13" s="10" t="e">
        <f t="shared" ref="C13:C22" si="10">IF(LEFT(H13,1)="(",-VALUE(MID(H13,3,LEN(H13)-11)),VALUE(LEFT(H13,LEN(H13)-7)))</f>
        <v>#VALUE!</v>
      </c>
      <c r="D13" s="11" t="e">
        <f t="shared" ref="D13:D22" si="11">VALUE(RIGHT(I13,LEN(I13)-4))</f>
        <v>#VALUE!</v>
      </c>
      <c r="E13" s="12" t="e">
        <f t="shared" ref="E13:E22" si="12">C13*D13</f>
        <v>#VALUE!</v>
      </c>
      <c r="G13" s="9"/>
      <c r="H13" s="9"/>
      <c r="I13" s="9"/>
      <c r="J13" s="9"/>
      <c r="K13" t="str">
        <f t="shared" ref="K13:K22" si="13">IF(G13&lt;&gt;"",A13,"")&amp;IF(RIGHT(G13,2)="JP","-JPY",IF(RIGHT(G13,2)="AU","-AUD",IF(RIGHT(G13,2)="US","-USD","")))</f>
        <v/>
      </c>
      <c r="L13" t="str">
        <f t="shared" ref="L13:L22" si="14">IF(H13&lt;&gt;"",TEXT(LEFT(G13,LEN(G13)-3),"0000"),"")</f>
        <v/>
      </c>
      <c r="M13" t="str">
        <f t="shared" ref="M13:M22" si="15">IF(G13&lt;&gt;"",C13,"")</f>
        <v/>
      </c>
      <c r="N13" t="str">
        <f t="shared" ref="N13:N22" si="16">IF(G13&lt;&gt;"",D13,"")</f>
        <v/>
      </c>
    </row>
    <row r="14" spans="1:14" x14ac:dyDescent="0.3">
      <c r="A14" s="8" t="str">
        <f t="shared" ref="A14:A22" si="17">A13</f>
        <v>CB2</v>
      </c>
      <c r="B14" s="8" t="str">
        <f t="shared" si="9"/>
        <v/>
      </c>
      <c r="C14" s="10" t="e">
        <f t="shared" si="10"/>
        <v>#VALUE!</v>
      </c>
      <c r="D14" s="11" t="e">
        <f t="shared" si="11"/>
        <v>#VALUE!</v>
      </c>
      <c r="E14" s="12" t="e">
        <f t="shared" si="12"/>
        <v>#VALUE!</v>
      </c>
      <c r="G14" s="9"/>
      <c r="H14" s="9"/>
      <c r="I14" s="9"/>
      <c r="J14" s="9"/>
      <c r="K14" t="str">
        <f t="shared" si="13"/>
        <v/>
      </c>
      <c r="L14" t="str">
        <f t="shared" si="14"/>
        <v/>
      </c>
      <c r="M14" t="str">
        <f t="shared" si="15"/>
        <v/>
      </c>
      <c r="N14" t="str">
        <f t="shared" si="16"/>
        <v/>
      </c>
    </row>
    <row r="15" spans="1:14" x14ac:dyDescent="0.3">
      <c r="A15" s="8" t="str">
        <f t="shared" si="17"/>
        <v>CB2</v>
      </c>
      <c r="B15" s="8" t="str">
        <f t="shared" si="9"/>
        <v/>
      </c>
      <c r="C15" s="10" t="e">
        <f t="shared" si="10"/>
        <v>#VALUE!</v>
      </c>
      <c r="D15" s="11" t="e">
        <f t="shared" si="11"/>
        <v>#VALUE!</v>
      </c>
      <c r="E15" s="12" t="e">
        <f t="shared" si="12"/>
        <v>#VALUE!</v>
      </c>
      <c r="G15" s="9"/>
      <c r="H15" s="9"/>
      <c r="I15" s="9"/>
      <c r="J15" s="9"/>
      <c r="K15" t="str">
        <f t="shared" si="13"/>
        <v/>
      </c>
      <c r="L15" t="str">
        <f t="shared" si="14"/>
        <v/>
      </c>
      <c r="M15" t="str">
        <f t="shared" si="15"/>
        <v/>
      </c>
      <c r="N15" t="str">
        <f t="shared" si="16"/>
        <v/>
      </c>
    </row>
    <row r="16" spans="1:14" x14ac:dyDescent="0.3">
      <c r="A16" s="8" t="str">
        <f t="shared" si="17"/>
        <v>CB2</v>
      </c>
      <c r="B16" s="8" t="str">
        <f t="shared" si="9"/>
        <v/>
      </c>
      <c r="C16" s="10" t="e">
        <f t="shared" si="10"/>
        <v>#VALUE!</v>
      </c>
      <c r="D16" s="11" t="e">
        <f t="shared" si="11"/>
        <v>#VALUE!</v>
      </c>
      <c r="E16" s="12" t="e">
        <f t="shared" si="12"/>
        <v>#VALUE!</v>
      </c>
      <c r="G16" s="9"/>
      <c r="H16" s="9"/>
      <c r="I16" s="9"/>
      <c r="J16" s="9"/>
      <c r="K16" t="str">
        <f t="shared" si="13"/>
        <v/>
      </c>
      <c r="L16" t="str">
        <f t="shared" si="14"/>
        <v/>
      </c>
      <c r="M16" t="str">
        <f t="shared" si="15"/>
        <v/>
      </c>
      <c r="N16" t="str">
        <f t="shared" si="16"/>
        <v/>
      </c>
    </row>
    <row r="17" spans="1:14" x14ac:dyDescent="0.3">
      <c r="A17" s="8" t="str">
        <f t="shared" si="17"/>
        <v>CB2</v>
      </c>
      <c r="B17" s="8" t="str">
        <f t="shared" si="9"/>
        <v/>
      </c>
      <c r="C17" s="10" t="e">
        <f t="shared" si="10"/>
        <v>#VALUE!</v>
      </c>
      <c r="D17" s="11" t="e">
        <f t="shared" si="11"/>
        <v>#VALUE!</v>
      </c>
      <c r="E17" s="12" t="e">
        <f t="shared" si="12"/>
        <v>#VALUE!</v>
      </c>
      <c r="G17" s="9"/>
      <c r="H17" s="9"/>
      <c r="I17" s="9"/>
      <c r="J17" s="9"/>
      <c r="K17" t="str">
        <f t="shared" si="13"/>
        <v/>
      </c>
      <c r="L17" t="str">
        <f t="shared" si="14"/>
        <v/>
      </c>
      <c r="M17" t="str">
        <f t="shared" si="15"/>
        <v/>
      </c>
      <c r="N17" t="str">
        <f t="shared" si="16"/>
        <v/>
      </c>
    </row>
    <row r="18" spans="1:14" x14ac:dyDescent="0.3">
      <c r="A18" s="8" t="str">
        <f t="shared" si="17"/>
        <v>CB2</v>
      </c>
      <c r="B18" s="8" t="str">
        <f t="shared" si="9"/>
        <v/>
      </c>
      <c r="C18" s="10" t="e">
        <f t="shared" si="10"/>
        <v>#VALUE!</v>
      </c>
      <c r="D18" s="11" t="e">
        <f t="shared" si="11"/>
        <v>#VALUE!</v>
      </c>
      <c r="E18" s="12" t="e">
        <f t="shared" si="12"/>
        <v>#VALUE!</v>
      </c>
      <c r="G18" s="9"/>
      <c r="H18" s="9"/>
      <c r="I18" s="9"/>
      <c r="J18" s="9"/>
      <c r="K18" t="str">
        <f t="shared" si="13"/>
        <v/>
      </c>
      <c r="L18" t="str">
        <f t="shared" si="14"/>
        <v/>
      </c>
      <c r="M18" t="str">
        <f t="shared" si="15"/>
        <v/>
      </c>
      <c r="N18" t="str">
        <f t="shared" si="16"/>
        <v/>
      </c>
    </row>
    <row r="19" spans="1:14" x14ac:dyDescent="0.3">
      <c r="A19" s="8" t="str">
        <f t="shared" si="17"/>
        <v>CB2</v>
      </c>
      <c r="B19" s="8" t="str">
        <f t="shared" si="9"/>
        <v/>
      </c>
      <c r="C19" s="10" t="e">
        <f t="shared" si="10"/>
        <v>#VALUE!</v>
      </c>
      <c r="D19" s="11" t="e">
        <f t="shared" si="11"/>
        <v>#VALUE!</v>
      </c>
      <c r="E19" s="12" t="e">
        <f t="shared" si="12"/>
        <v>#VALUE!</v>
      </c>
      <c r="G19" s="9"/>
      <c r="H19" s="9"/>
      <c r="I19" s="9"/>
      <c r="J19" s="9"/>
      <c r="K19" t="str">
        <f t="shared" si="13"/>
        <v/>
      </c>
      <c r="L19" t="str">
        <f t="shared" si="14"/>
        <v/>
      </c>
      <c r="M19" t="str">
        <f t="shared" si="15"/>
        <v/>
      </c>
      <c r="N19" t="str">
        <f t="shared" si="16"/>
        <v/>
      </c>
    </row>
    <row r="20" spans="1:14" x14ac:dyDescent="0.3">
      <c r="A20" s="8" t="str">
        <f t="shared" si="17"/>
        <v>CB2</v>
      </c>
      <c r="B20" s="8" t="str">
        <f t="shared" si="9"/>
        <v/>
      </c>
      <c r="C20" s="10" t="e">
        <f t="shared" si="10"/>
        <v>#VALUE!</v>
      </c>
      <c r="D20" s="11" t="e">
        <f t="shared" si="11"/>
        <v>#VALUE!</v>
      </c>
      <c r="E20" s="12" t="e">
        <f t="shared" si="12"/>
        <v>#VALUE!</v>
      </c>
      <c r="G20" s="9"/>
      <c r="H20" s="9"/>
      <c r="I20" s="9"/>
      <c r="J20" s="9"/>
      <c r="K20" t="str">
        <f t="shared" si="13"/>
        <v/>
      </c>
      <c r="L20" t="str">
        <f t="shared" si="14"/>
        <v/>
      </c>
      <c r="M20" t="str">
        <f t="shared" si="15"/>
        <v/>
      </c>
      <c r="N20" t="str">
        <f t="shared" si="16"/>
        <v/>
      </c>
    </row>
    <row r="21" spans="1:14" x14ac:dyDescent="0.3">
      <c r="A21" s="8" t="str">
        <f t="shared" si="17"/>
        <v>CB2</v>
      </c>
      <c r="B21" s="8" t="str">
        <f t="shared" si="9"/>
        <v/>
      </c>
      <c r="C21" s="10" t="e">
        <f t="shared" si="10"/>
        <v>#VALUE!</v>
      </c>
      <c r="D21" s="11" t="e">
        <f t="shared" si="11"/>
        <v>#VALUE!</v>
      </c>
      <c r="E21" s="12" t="e">
        <f t="shared" si="12"/>
        <v>#VALUE!</v>
      </c>
      <c r="G21" s="9"/>
      <c r="H21" s="9"/>
      <c r="I21" s="9"/>
      <c r="J21" s="9"/>
      <c r="K21" t="str">
        <f t="shared" si="13"/>
        <v/>
      </c>
      <c r="L21" t="str">
        <f t="shared" si="14"/>
        <v/>
      </c>
      <c r="M21" t="str">
        <f t="shared" si="15"/>
        <v/>
      </c>
      <c r="N21" t="str">
        <f t="shared" si="16"/>
        <v/>
      </c>
    </row>
    <row r="22" spans="1:14" x14ac:dyDescent="0.3">
      <c r="A22" s="8" t="str">
        <f t="shared" si="17"/>
        <v>CB2</v>
      </c>
      <c r="B22" s="8" t="str">
        <f t="shared" si="9"/>
        <v/>
      </c>
      <c r="C22" s="10" t="e">
        <f t="shared" si="10"/>
        <v>#VALUE!</v>
      </c>
      <c r="D22" s="11" t="e">
        <f t="shared" si="11"/>
        <v>#VALUE!</v>
      </c>
      <c r="E22" s="12" t="e">
        <f t="shared" si="12"/>
        <v>#VALUE!</v>
      </c>
      <c r="G22" s="9"/>
      <c r="H22" s="9"/>
      <c r="I22" s="9"/>
      <c r="J22" s="9"/>
      <c r="K22" t="str">
        <f t="shared" si="13"/>
        <v/>
      </c>
      <c r="L22" t="str">
        <f t="shared" si="14"/>
        <v/>
      </c>
      <c r="M22" t="str">
        <f t="shared" si="15"/>
        <v/>
      </c>
      <c r="N22" t="str">
        <f t="shared" si="16"/>
        <v/>
      </c>
    </row>
    <row r="23" spans="1:14" x14ac:dyDescent="0.3">
      <c r="G23" s="9"/>
      <c r="H23" s="9"/>
      <c r="I23" s="9"/>
      <c r="J23" s="9"/>
    </row>
    <row r="24" spans="1:14" x14ac:dyDescent="0.3">
      <c r="A24" s="8" t="s">
        <v>18</v>
      </c>
      <c r="B24" s="8" t="str">
        <f t="shared" ref="B24:B33" si="18">K24&amp;G24</f>
        <v/>
      </c>
      <c r="C24" s="10" t="e">
        <f t="shared" ref="C24:C33" si="19">IF(LEFT(H24,1)="(",-VALUE(MID(H24,3,LEN(H24)-11)),VALUE(LEFT(H24,LEN(H24)-7)))</f>
        <v>#VALUE!</v>
      </c>
      <c r="D24" s="11" t="e">
        <f t="shared" ref="D24:D33" si="20">VALUE(RIGHT(I24,LEN(I24)-4))</f>
        <v>#VALUE!</v>
      </c>
      <c r="E24" s="12" t="e">
        <f t="shared" ref="E24:E33" si="21">C24*D24</f>
        <v>#VALUE!</v>
      </c>
      <c r="G24" s="9"/>
      <c r="H24" s="9"/>
      <c r="I24" s="9"/>
      <c r="J24" s="9"/>
      <c r="K24" t="str">
        <f t="shared" ref="K24:K33" si="22">IF(G24&lt;&gt;"",A24,"")&amp;IF(RIGHT(G24,2)="JP","-JPY",IF(RIGHT(G24,2)="AU","-AUD",IF(RIGHT(G24,2)="US","-USD","")))</f>
        <v/>
      </c>
      <c r="L24" t="str">
        <f t="shared" ref="L24:L33" si="23">IF(H24&lt;&gt;"",TEXT(LEFT(G24,LEN(G24)-3),"0000"),"")</f>
        <v/>
      </c>
      <c r="M24" t="str">
        <f t="shared" ref="M24:M33" si="24">IF(G24&lt;&gt;"",C24,"")</f>
        <v/>
      </c>
      <c r="N24" t="str">
        <f t="shared" ref="N24:N33" si="25">IF(G24&lt;&gt;"",D24,"")</f>
        <v/>
      </c>
    </row>
    <row r="25" spans="1:14" x14ac:dyDescent="0.3">
      <c r="A25" s="8" t="str">
        <f t="shared" ref="A25:A33" si="26">A24</f>
        <v>CBBH</v>
      </c>
      <c r="B25" s="8" t="str">
        <f t="shared" si="18"/>
        <v/>
      </c>
      <c r="C25" s="10" t="e">
        <f t="shared" si="19"/>
        <v>#VALUE!</v>
      </c>
      <c r="D25" s="11" t="e">
        <f t="shared" si="20"/>
        <v>#VALUE!</v>
      </c>
      <c r="E25" s="12" t="e">
        <f t="shared" si="21"/>
        <v>#VALUE!</v>
      </c>
      <c r="G25" s="9"/>
      <c r="H25" s="9"/>
      <c r="I25" s="9"/>
      <c r="J25" s="9"/>
      <c r="K25" t="str">
        <f t="shared" si="22"/>
        <v/>
      </c>
      <c r="L25" t="str">
        <f t="shared" si="23"/>
        <v/>
      </c>
      <c r="M25" t="str">
        <f t="shared" si="24"/>
        <v/>
      </c>
      <c r="N25" t="str">
        <f t="shared" si="25"/>
        <v/>
      </c>
    </row>
    <row r="26" spans="1:14" x14ac:dyDescent="0.3">
      <c r="A26" s="8" t="str">
        <f t="shared" si="26"/>
        <v>CBBH</v>
      </c>
      <c r="B26" s="8" t="str">
        <f t="shared" si="18"/>
        <v/>
      </c>
      <c r="C26" s="10" t="e">
        <f t="shared" si="19"/>
        <v>#VALUE!</v>
      </c>
      <c r="D26" s="11" t="e">
        <f t="shared" si="20"/>
        <v>#VALUE!</v>
      </c>
      <c r="E26" s="12" t="e">
        <f t="shared" si="21"/>
        <v>#VALUE!</v>
      </c>
      <c r="G26" s="9"/>
      <c r="H26" s="9"/>
      <c r="I26" s="9"/>
      <c r="J26" s="9"/>
      <c r="K26" t="str">
        <f t="shared" si="22"/>
        <v/>
      </c>
      <c r="L26" t="str">
        <f t="shared" si="23"/>
        <v/>
      </c>
      <c r="M26" t="str">
        <f t="shared" si="24"/>
        <v/>
      </c>
      <c r="N26" t="str">
        <f t="shared" si="25"/>
        <v/>
      </c>
    </row>
    <row r="27" spans="1:14" x14ac:dyDescent="0.3">
      <c r="A27" s="8" t="str">
        <f t="shared" si="26"/>
        <v>CBBH</v>
      </c>
      <c r="B27" s="8" t="str">
        <f t="shared" si="18"/>
        <v/>
      </c>
      <c r="C27" s="10" t="e">
        <f t="shared" si="19"/>
        <v>#VALUE!</v>
      </c>
      <c r="D27" s="11" t="e">
        <f t="shared" si="20"/>
        <v>#VALUE!</v>
      </c>
      <c r="E27" s="12" t="e">
        <f t="shared" si="21"/>
        <v>#VALUE!</v>
      </c>
      <c r="G27" s="9"/>
      <c r="H27" s="9"/>
      <c r="I27" s="9"/>
      <c r="J27" s="9"/>
      <c r="K27" t="str">
        <f t="shared" si="22"/>
        <v/>
      </c>
      <c r="L27" t="str">
        <f t="shared" si="23"/>
        <v/>
      </c>
      <c r="M27" t="str">
        <f t="shared" si="24"/>
        <v/>
      </c>
      <c r="N27" t="str">
        <f t="shared" si="25"/>
        <v/>
      </c>
    </row>
    <row r="28" spans="1:14" x14ac:dyDescent="0.3">
      <c r="A28" s="8" t="str">
        <f t="shared" si="26"/>
        <v>CBBH</v>
      </c>
      <c r="B28" s="8" t="str">
        <f t="shared" si="18"/>
        <v/>
      </c>
      <c r="C28" s="10" t="e">
        <f t="shared" si="19"/>
        <v>#VALUE!</v>
      </c>
      <c r="D28" s="11" t="e">
        <f t="shared" si="20"/>
        <v>#VALUE!</v>
      </c>
      <c r="E28" s="12" t="e">
        <f t="shared" si="21"/>
        <v>#VALUE!</v>
      </c>
      <c r="G28" s="9"/>
      <c r="H28" s="9"/>
      <c r="I28" s="9"/>
      <c r="J28" s="9"/>
      <c r="K28" t="str">
        <f t="shared" si="22"/>
        <v/>
      </c>
      <c r="L28" t="str">
        <f t="shared" si="23"/>
        <v/>
      </c>
      <c r="M28" t="str">
        <f t="shared" si="24"/>
        <v/>
      </c>
      <c r="N28" t="str">
        <f t="shared" si="25"/>
        <v/>
      </c>
    </row>
    <row r="29" spans="1:14" x14ac:dyDescent="0.3">
      <c r="A29" s="8" t="str">
        <f t="shared" si="26"/>
        <v>CBBH</v>
      </c>
      <c r="B29" s="8" t="str">
        <f t="shared" si="18"/>
        <v/>
      </c>
      <c r="C29" s="10" t="e">
        <f t="shared" si="19"/>
        <v>#VALUE!</v>
      </c>
      <c r="D29" s="11" t="e">
        <f t="shared" si="20"/>
        <v>#VALUE!</v>
      </c>
      <c r="E29" s="12" t="e">
        <f t="shared" si="21"/>
        <v>#VALUE!</v>
      </c>
      <c r="G29" s="9"/>
      <c r="H29" s="9"/>
      <c r="I29" s="9"/>
      <c r="J29" s="9"/>
      <c r="K29" t="str">
        <f t="shared" si="22"/>
        <v/>
      </c>
      <c r="L29" t="str">
        <f t="shared" si="23"/>
        <v/>
      </c>
      <c r="M29" t="str">
        <f t="shared" si="24"/>
        <v/>
      </c>
      <c r="N29" t="str">
        <f t="shared" si="25"/>
        <v/>
      </c>
    </row>
    <row r="30" spans="1:14" x14ac:dyDescent="0.3">
      <c r="A30" s="8" t="str">
        <f t="shared" si="26"/>
        <v>CBBH</v>
      </c>
      <c r="B30" s="8" t="str">
        <f t="shared" si="18"/>
        <v/>
      </c>
      <c r="C30" s="10" t="e">
        <f t="shared" si="19"/>
        <v>#VALUE!</v>
      </c>
      <c r="D30" s="11" t="e">
        <f t="shared" si="20"/>
        <v>#VALUE!</v>
      </c>
      <c r="E30" s="12" t="e">
        <f t="shared" si="21"/>
        <v>#VALUE!</v>
      </c>
      <c r="G30" s="9"/>
      <c r="H30" s="9"/>
      <c r="I30" s="9"/>
      <c r="J30" s="9"/>
      <c r="K30" t="str">
        <f t="shared" si="22"/>
        <v/>
      </c>
      <c r="L30" t="str">
        <f t="shared" si="23"/>
        <v/>
      </c>
      <c r="M30" t="str">
        <f t="shared" si="24"/>
        <v/>
      </c>
      <c r="N30" t="str">
        <f t="shared" si="25"/>
        <v/>
      </c>
    </row>
    <row r="31" spans="1:14" x14ac:dyDescent="0.3">
      <c r="A31" s="8" t="str">
        <f t="shared" si="26"/>
        <v>CBBH</v>
      </c>
      <c r="B31" s="8" t="str">
        <f t="shared" si="18"/>
        <v/>
      </c>
      <c r="C31" s="10" t="e">
        <f t="shared" si="19"/>
        <v>#VALUE!</v>
      </c>
      <c r="D31" s="11" t="e">
        <f t="shared" si="20"/>
        <v>#VALUE!</v>
      </c>
      <c r="E31" s="12" t="e">
        <f t="shared" si="21"/>
        <v>#VALUE!</v>
      </c>
      <c r="G31" s="9"/>
      <c r="H31" s="9"/>
      <c r="I31" s="9"/>
      <c r="J31" s="9"/>
      <c r="K31" t="str">
        <f t="shared" si="22"/>
        <v/>
      </c>
      <c r="L31" t="str">
        <f t="shared" si="23"/>
        <v/>
      </c>
      <c r="M31" t="str">
        <f t="shared" si="24"/>
        <v/>
      </c>
      <c r="N31" t="str">
        <f t="shared" si="25"/>
        <v/>
      </c>
    </row>
    <row r="32" spans="1:14" x14ac:dyDescent="0.3">
      <c r="A32" s="8" t="str">
        <f t="shared" si="26"/>
        <v>CBBH</v>
      </c>
      <c r="B32" s="8" t="str">
        <f t="shared" si="18"/>
        <v/>
      </c>
      <c r="C32" s="10" t="e">
        <f t="shared" si="19"/>
        <v>#VALUE!</v>
      </c>
      <c r="D32" s="11" t="e">
        <f t="shared" si="20"/>
        <v>#VALUE!</v>
      </c>
      <c r="E32" s="12" t="e">
        <f t="shared" si="21"/>
        <v>#VALUE!</v>
      </c>
      <c r="G32" s="9"/>
      <c r="H32" s="9"/>
      <c r="I32" s="9"/>
      <c r="J32" s="9"/>
      <c r="K32" t="str">
        <f t="shared" si="22"/>
        <v/>
      </c>
      <c r="L32" t="str">
        <f t="shared" si="23"/>
        <v/>
      </c>
      <c r="M32" t="str">
        <f t="shared" si="24"/>
        <v/>
      </c>
      <c r="N32" t="str">
        <f t="shared" si="25"/>
        <v/>
      </c>
    </row>
    <row r="33" spans="1:14" x14ac:dyDescent="0.3">
      <c r="A33" s="8" t="str">
        <f t="shared" si="26"/>
        <v>CBBH</v>
      </c>
      <c r="B33" s="8" t="str">
        <f t="shared" si="18"/>
        <v/>
      </c>
      <c r="C33" s="10" t="e">
        <f t="shared" si="19"/>
        <v>#VALUE!</v>
      </c>
      <c r="D33" s="11" t="e">
        <f t="shared" si="20"/>
        <v>#VALUE!</v>
      </c>
      <c r="E33" s="12" t="e">
        <f t="shared" si="21"/>
        <v>#VALUE!</v>
      </c>
      <c r="G33" s="9"/>
      <c r="H33" s="9"/>
      <c r="I33" s="9"/>
      <c r="J33" s="9"/>
      <c r="K33" t="str">
        <f t="shared" si="22"/>
        <v/>
      </c>
      <c r="L33" t="str">
        <f t="shared" si="23"/>
        <v/>
      </c>
      <c r="M33" t="str">
        <f t="shared" si="24"/>
        <v/>
      </c>
      <c r="N33" t="str">
        <f t="shared" si="25"/>
        <v/>
      </c>
    </row>
    <row r="34" spans="1:14" x14ac:dyDescent="0.3">
      <c r="G34" s="9"/>
      <c r="H34" s="9"/>
      <c r="I34" s="9"/>
      <c r="J34" s="9"/>
    </row>
    <row r="35" spans="1:14" x14ac:dyDescent="0.3">
      <c r="A35" s="8" t="s">
        <v>19</v>
      </c>
      <c r="B35" s="8" t="str">
        <f t="shared" ref="B35:B48" si="27">K35&amp;G35</f>
        <v/>
      </c>
      <c r="C35" s="10" t="e">
        <f t="shared" ref="C35:C48" si="28">IF(LEFT(H35,1)="(",-VALUE(MID(H35,3,LEN(H35)-11)),VALUE(LEFT(H35,LEN(H35)-7)))</f>
        <v>#VALUE!</v>
      </c>
      <c r="D35" s="11" t="e">
        <f t="shared" ref="D35:D48" si="29">VALUE(RIGHT(I35,LEN(I35)-4))</f>
        <v>#VALUE!</v>
      </c>
      <c r="E35" s="12" t="e">
        <f t="shared" ref="E35:E48" si="30">C35*D35</f>
        <v>#VALUE!</v>
      </c>
      <c r="G35" s="9"/>
      <c r="H35" s="9"/>
      <c r="I35" s="9"/>
      <c r="J35" s="9"/>
      <c r="K35" t="str">
        <f t="shared" ref="K35:K48" si="31">IF(G35&lt;&gt;"",A35,"")&amp;IF(RIGHT(G35,2)="JP","-JPY",IF(RIGHT(G35,2)="AU","-AUD",IF(RIGHT(G35,2)="US","-USD","")))</f>
        <v/>
      </c>
      <c r="L35" t="str">
        <f t="shared" ref="L35:L48" si="32">IF(H35&lt;&gt;"",TEXT(LEFT(G35,LEN(G35)-3),"0000"),"")</f>
        <v/>
      </c>
      <c r="M35" t="str">
        <f t="shared" ref="M35:M48" si="33">IF(G35&lt;&gt;"",C35,"")</f>
        <v/>
      </c>
      <c r="N35" t="str">
        <f t="shared" ref="N35:N48" si="34">IF(G35&lt;&gt;"",D35,"")</f>
        <v/>
      </c>
    </row>
    <row r="36" spans="1:14" x14ac:dyDescent="0.3">
      <c r="A36" s="8" t="str">
        <f t="shared" ref="A36:A44" si="35">A35</f>
        <v>BOS</v>
      </c>
      <c r="B36" s="8" t="str">
        <f t="shared" si="27"/>
        <v/>
      </c>
      <c r="C36" s="10" t="e">
        <f t="shared" si="28"/>
        <v>#VALUE!</v>
      </c>
      <c r="D36" s="11" t="e">
        <f t="shared" si="29"/>
        <v>#VALUE!</v>
      </c>
      <c r="E36" s="12" t="e">
        <f t="shared" si="30"/>
        <v>#VALUE!</v>
      </c>
      <c r="G36" s="9"/>
      <c r="H36" s="9"/>
      <c r="I36" s="9"/>
      <c r="J36" s="9"/>
      <c r="K36" t="str">
        <f t="shared" si="31"/>
        <v/>
      </c>
      <c r="L36" t="str">
        <f t="shared" si="32"/>
        <v/>
      </c>
      <c r="M36" t="str">
        <f t="shared" si="33"/>
        <v/>
      </c>
      <c r="N36" t="str">
        <f t="shared" si="34"/>
        <v/>
      </c>
    </row>
    <row r="37" spans="1:14" x14ac:dyDescent="0.3">
      <c r="A37" s="8" t="str">
        <f t="shared" si="35"/>
        <v>BOS</v>
      </c>
      <c r="B37" s="8" t="str">
        <f t="shared" si="27"/>
        <v/>
      </c>
      <c r="C37" s="10" t="e">
        <f t="shared" si="28"/>
        <v>#VALUE!</v>
      </c>
      <c r="D37" s="11" t="e">
        <f t="shared" si="29"/>
        <v>#VALUE!</v>
      </c>
      <c r="E37" s="12" t="e">
        <f t="shared" si="30"/>
        <v>#VALUE!</v>
      </c>
      <c r="G37" s="9"/>
      <c r="H37" s="9"/>
      <c r="I37" s="9"/>
      <c r="J37" s="9"/>
      <c r="K37" t="str">
        <f t="shared" si="31"/>
        <v/>
      </c>
      <c r="L37" t="str">
        <f t="shared" si="32"/>
        <v/>
      </c>
      <c r="M37" t="str">
        <f t="shared" si="33"/>
        <v/>
      </c>
      <c r="N37" t="str">
        <f t="shared" si="34"/>
        <v/>
      </c>
    </row>
    <row r="38" spans="1:14" x14ac:dyDescent="0.3">
      <c r="A38" s="8" t="str">
        <f t="shared" si="35"/>
        <v>BOS</v>
      </c>
      <c r="B38" s="8" t="str">
        <f t="shared" si="27"/>
        <v/>
      </c>
      <c r="C38" s="10" t="e">
        <f t="shared" si="28"/>
        <v>#VALUE!</v>
      </c>
      <c r="D38" s="11" t="e">
        <f t="shared" si="29"/>
        <v>#VALUE!</v>
      </c>
      <c r="E38" s="12" t="e">
        <f t="shared" si="30"/>
        <v>#VALUE!</v>
      </c>
      <c r="G38" s="9"/>
      <c r="H38" s="9"/>
      <c r="I38" s="9"/>
      <c r="J38" s="9"/>
      <c r="K38" t="str">
        <f t="shared" si="31"/>
        <v/>
      </c>
      <c r="L38" t="str">
        <f t="shared" si="32"/>
        <v/>
      </c>
      <c r="M38" t="str">
        <f t="shared" si="33"/>
        <v/>
      </c>
      <c r="N38" t="str">
        <f t="shared" si="34"/>
        <v/>
      </c>
    </row>
    <row r="39" spans="1:14" x14ac:dyDescent="0.3">
      <c r="A39" s="8" t="str">
        <f t="shared" si="35"/>
        <v>BOS</v>
      </c>
      <c r="B39" s="8" t="str">
        <f t="shared" si="27"/>
        <v/>
      </c>
      <c r="C39" s="10" t="e">
        <f t="shared" si="28"/>
        <v>#VALUE!</v>
      </c>
      <c r="D39" s="11" t="e">
        <f t="shared" si="29"/>
        <v>#VALUE!</v>
      </c>
      <c r="E39" s="12" t="e">
        <f t="shared" si="30"/>
        <v>#VALUE!</v>
      </c>
      <c r="G39" s="9"/>
      <c r="H39" s="9"/>
      <c r="I39" s="9"/>
      <c r="J39" s="9"/>
      <c r="K39" t="str">
        <f t="shared" si="31"/>
        <v/>
      </c>
      <c r="L39" t="str">
        <f t="shared" si="32"/>
        <v/>
      </c>
      <c r="M39" t="str">
        <f t="shared" si="33"/>
        <v/>
      </c>
      <c r="N39" t="str">
        <f t="shared" si="34"/>
        <v/>
      </c>
    </row>
    <row r="40" spans="1:14" x14ac:dyDescent="0.3">
      <c r="A40" s="8" t="str">
        <f t="shared" si="35"/>
        <v>BOS</v>
      </c>
      <c r="B40" s="8" t="str">
        <f t="shared" si="27"/>
        <v/>
      </c>
      <c r="C40" s="10" t="e">
        <f t="shared" si="28"/>
        <v>#VALUE!</v>
      </c>
      <c r="D40" s="11" t="e">
        <f t="shared" si="29"/>
        <v>#VALUE!</v>
      </c>
      <c r="E40" s="12" t="e">
        <f t="shared" si="30"/>
        <v>#VALUE!</v>
      </c>
      <c r="G40" s="9"/>
      <c r="H40" s="9"/>
      <c r="I40" s="9"/>
      <c r="J40" s="9"/>
      <c r="K40" t="str">
        <f t="shared" si="31"/>
        <v/>
      </c>
      <c r="L40" t="str">
        <f t="shared" si="32"/>
        <v/>
      </c>
      <c r="M40" t="str">
        <f t="shared" si="33"/>
        <v/>
      </c>
      <c r="N40" t="str">
        <f t="shared" si="34"/>
        <v/>
      </c>
    </row>
    <row r="41" spans="1:14" x14ac:dyDescent="0.3">
      <c r="A41" s="8" t="str">
        <f t="shared" si="35"/>
        <v>BOS</v>
      </c>
      <c r="B41" s="8" t="str">
        <f t="shared" si="27"/>
        <v/>
      </c>
      <c r="C41" s="10" t="e">
        <f t="shared" si="28"/>
        <v>#VALUE!</v>
      </c>
      <c r="D41" s="11" t="e">
        <f t="shared" si="29"/>
        <v>#VALUE!</v>
      </c>
      <c r="E41" s="12" t="e">
        <f t="shared" si="30"/>
        <v>#VALUE!</v>
      </c>
      <c r="G41" s="9"/>
      <c r="H41" s="9"/>
      <c r="I41" s="9"/>
      <c r="J41" s="9"/>
      <c r="K41" t="str">
        <f t="shared" si="31"/>
        <v/>
      </c>
      <c r="L41" t="str">
        <f t="shared" si="32"/>
        <v/>
      </c>
      <c r="M41" t="str">
        <f t="shared" si="33"/>
        <v/>
      </c>
      <c r="N41" t="str">
        <f t="shared" si="34"/>
        <v/>
      </c>
    </row>
    <row r="42" spans="1:14" x14ac:dyDescent="0.3">
      <c r="A42" s="8" t="str">
        <f t="shared" si="35"/>
        <v>BOS</v>
      </c>
      <c r="B42" s="8" t="str">
        <f t="shared" si="27"/>
        <v/>
      </c>
      <c r="C42" s="10" t="e">
        <f t="shared" si="28"/>
        <v>#VALUE!</v>
      </c>
      <c r="D42" s="11" t="e">
        <f t="shared" si="29"/>
        <v>#VALUE!</v>
      </c>
      <c r="E42" s="12" t="e">
        <f t="shared" si="30"/>
        <v>#VALUE!</v>
      </c>
      <c r="G42" s="9"/>
      <c r="H42" s="9"/>
      <c r="I42" s="9"/>
      <c r="J42" s="9"/>
      <c r="K42" t="str">
        <f t="shared" si="31"/>
        <v/>
      </c>
      <c r="L42" t="str">
        <f t="shared" si="32"/>
        <v/>
      </c>
      <c r="M42" t="str">
        <f t="shared" si="33"/>
        <v/>
      </c>
      <c r="N42" t="str">
        <f t="shared" si="34"/>
        <v/>
      </c>
    </row>
    <row r="43" spans="1:14" x14ac:dyDescent="0.3">
      <c r="A43" s="8" t="str">
        <f t="shared" si="35"/>
        <v>BOS</v>
      </c>
      <c r="B43" s="8" t="str">
        <f t="shared" si="27"/>
        <v/>
      </c>
      <c r="C43" s="10" t="e">
        <f t="shared" si="28"/>
        <v>#VALUE!</v>
      </c>
      <c r="D43" s="11" t="e">
        <f t="shared" si="29"/>
        <v>#VALUE!</v>
      </c>
      <c r="E43" s="12" t="e">
        <f t="shared" si="30"/>
        <v>#VALUE!</v>
      </c>
      <c r="G43" s="9"/>
      <c r="H43" s="9"/>
      <c r="I43" s="9"/>
      <c r="J43" s="9"/>
      <c r="K43" t="str">
        <f t="shared" si="31"/>
        <v/>
      </c>
      <c r="L43" t="str">
        <f t="shared" si="32"/>
        <v/>
      </c>
      <c r="M43" t="str">
        <f t="shared" si="33"/>
        <v/>
      </c>
      <c r="N43" t="str">
        <f t="shared" si="34"/>
        <v/>
      </c>
    </row>
    <row r="44" spans="1:14" x14ac:dyDescent="0.3">
      <c r="A44" s="8" t="str">
        <f t="shared" si="35"/>
        <v>BOS</v>
      </c>
      <c r="B44" s="8" t="str">
        <f t="shared" si="27"/>
        <v/>
      </c>
      <c r="C44" s="10" t="e">
        <f t="shared" si="28"/>
        <v>#VALUE!</v>
      </c>
      <c r="D44" s="11" t="e">
        <f t="shared" si="29"/>
        <v>#VALUE!</v>
      </c>
      <c r="E44" s="12" t="e">
        <f t="shared" si="30"/>
        <v>#VALUE!</v>
      </c>
      <c r="G44" s="9"/>
      <c r="H44" s="9"/>
      <c r="I44" s="9"/>
      <c r="J44" s="9"/>
      <c r="K44" t="str">
        <f t="shared" si="31"/>
        <v/>
      </c>
      <c r="L44" t="str">
        <f t="shared" si="32"/>
        <v/>
      </c>
      <c r="M44" t="str">
        <f t="shared" si="33"/>
        <v/>
      </c>
      <c r="N44" t="str">
        <f t="shared" si="34"/>
        <v/>
      </c>
    </row>
    <row r="45" spans="1:14" x14ac:dyDescent="0.3">
      <c r="A45" s="8" t="str">
        <f>A43</f>
        <v>BOS</v>
      </c>
      <c r="B45" s="8" t="str">
        <f t="shared" si="27"/>
        <v/>
      </c>
      <c r="C45" s="10" t="e">
        <f t="shared" si="28"/>
        <v>#VALUE!</v>
      </c>
      <c r="D45" s="11" t="e">
        <f t="shared" si="29"/>
        <v>#VALUE!</v>
      </c>
      <c r="E45" s="12" t="e">
        <f t="shared" si="30"/>
        <v>#VALUE!</v>
      </c>
      <c r="G45" s="9"/>
      <c r="H45" s="9"/>
      <c r="I45" s="9"/>
      <c r="J45" s="9"/>
      <c r="K45" t="str">
        <f t="shared" si="31"/>
        <v/>
      </c>
      <c r="L45" t="str">
        <f t="shared" si="32"/>
        <v/>
      </c>
      <c r="M45" t="str">
        <f t="shared" si="33"/>
        <v/>
      </c>
      <c r="N45" t="str">
        <f t="shared" si="34"/>
        <v/>
      </c>
    </row>
    <row r="46" spans="1:14" x14ac:dyDescent="0.3">
      <c r="A46" s="8" t="str">
        <f>A43</f>
        <v>BOS</v>
      </c>
      <c r="B46" s="8" t="str">
        <f t="shared" si="27"/>
        <v/>
      </c>
      <c r="C46" s="10" t="e">
        <f t="shared" si="28"/>
        <v>#VALUE!</v>
      </c>
      <c r="D46" s="11" t="e">
        <f t="shared" si="29"/>
        <v>#VALUE!</v>
      </c>
      <c r="E46" s="12" t="e">
        <f t="shared" si="30"/>
        <v>#VALUE!</v>
      </c>
      <c r="G46" s="9"/>
      <c r="H46" s="9"/>
      <c r="I46" s="9"/>
      <c r="J46" s="9"/>
      <c r="K46" t="str">
        <f t="shared" si="31"/>
        <v/>
      </c>
      <c r="L46" t="str">
        <f t="shared" si="32"/>
        <v/>
      </c>
      <c r="M46" t="str">
        <f t="shared" si="33"/>
        <v/>
      </c>
      <c r="N46" t="str">
        <f t="shared" si="34"/>
        <v/>
      </c>
    </row>
    <row r="47" spans="1:14" x14ac:dyDescent="0.3">
      <c r="A47" s="8" t="str">
        <f>A43</f>
        <v>BOS</v>
      </c>
      <c r="B47" s="8" t="str">
        <f t="shared" si="27"/>
        <v/>
      </c>
      <c r="C47" s="10" t="e">
        <f t="shared" si="28"/>
        <v>#VALUE!</v>
      </c>
      <c r="D47" s="11" t="e">
        <f t="shared" si="29"/>
        <v>#VALUE!</v>
      </c>
      <c r="E47" s="12" t="e">
        <f t="shared" si="30"/>
        <v>#VALUE!</v>
      </c>
      <c r="G47" s="9"/>
      <c r="H47" s="9"/>
      <c r="I47" s="9"/>
      <c r="J47" s="9"/>
      <c r="K47" t="str">
        <f t="shared" si="31"/>
        <v/>
      </c>
      <c r="L47" t="str">
        <f t="shared" si="32"/>
        <v/>
      </c>
      <c r="M47" t="str">
        <f t="shared" si="33"/>
        <v/>
      </c>
      <c r="N47" t="str">
        <f t="shared" si="34"/>
        <v/>
      </c>
    </row>
    <row r="48" spans="1:14" x14ac:dyDescent="0.3">
      <c r="A48" s="8" t="str">
        <f>A44</f>
        <v>BOS</v>
      </c>
      <c r="B48" s="8" t="str">
        <f t="shared" si="27"/>
        <v/>
      </c>
      <c r="C48" s="10" t="e">
        <f t="shared" si="28"/>
        <v>#VALUE!</v>
      </c>
      <c r="D48" s="11" t="e">
        <f t="shared" si="29"/>
        <v>#VALUE!</v>
      </c>
      <c r="E48" s="12" t="e">
        <f t="shared" si="30"/>
        <v>#VALUE!</v>
      </c>
      <c r="G48" s="9"/>
      <c r="H48" s="9"/>
      <c r="I48" s="9"/>
      <c r="J48" s="9"/>
      <c r="K48" t="str">
        <f t="shared" si="31"/>
        <v/>
      </c>
      <c r="L48" t="str">
        <f t="shared" si="32"/>
        <v/>
      </c>
      <c r="M48" t="str">
        <f t="shared" si="33"/>
        <v/>
      </c>
      <c r="N48" t="str">
        <f t="shared" si="34"/>
        <v/>
      </c>
    </row>
    <row r="49" spans="1:14" x14ac:dyDescent="0.3">
      <c r="G49" s="9"/>
      <c r="H49" s="9"/>
      <c r="I49" s="9"/>
      <c r="J49" s="9"/>
    </row>
    <row r="50" spans="1:14" x14ac:dyDescent="0.3">
      <c r="A50" s="8" t="s">
        <v>20</v>
      </c>
      <c r="B50" s="8" t="str">
        <f t="shared" ref="B50:B59" si="36">K50&amp;G50</f>
        <v/>
      </c>
      <c r="C50" s="10" t="e">
        <f t="shared" ref="C50:C59" si="37">IF(LEFT(H50,1)="(",-VALUE(MID(H50,3,LEN(H50)-11)),VALUE(LEFT(H50,LEN(H50)-7)))</f>
        <v>#VALUE!</v>
      </c>
      <c r="D50" s="11" t="e">
        <f t="shared" ref="D50:D59" si="38">VALUE(RIGHT(I50,LEN(I50)-4))</f>
        <v>#VALUE!</v>
      </c>
      <c r="E50" s="12" t="e">
        <f t="shared" ref="E50:E59" si="39">C50*D50</f>
        <v>#VALUE!</v>
      </c>
      <c r="G50" s="9"/>
      <c r="H50" s="9"/>
      <c r="I50" s="9"/>
      <c r="J50" s="9"/>
      <c r="K50" t="str">
        <f t="shared" ref="K50:K59" si="40">IF(G50&lt;&gt;"",A50,"")&amp;IF(RIGHT(G50,2)="JP","-JPY",IF(RIGHT(G50,2)="AU","-AUD",IF(RIGHT(G50,2)="US","-USD","")))</f>
        <v/>
      </c>
      <c r="L50" t="str">
        <f t="shared" ref="L50:L59" si="41">IF(H50&lt;&gt;"",TEXT(LEFT(G50,LEN(G50)-3),"0000"),"")</f>
        <v/>
      </c>
      <c r="M50" t="str">
        <f t="shared" ref="M50:M59" si="42">IF(G50&lt;&gt;"",C50,"")</f>
        <v/>
      </c>
      <c r="N50" t="str">
        <f t="shared" ref="N50:N59" si="43">IF(G50&lt;&gt;"",D50,"")</f>
        <v/>
      </c>
    </row>
    <row r="51" spans="1:14" x14ac:dyDescent="0.3">
      <c r="A51" s="8" t="str">
        <f t="shared" ref="A51:A59" si="44">A50</f>
        <v>DBPe</v>
      </c>
      <c r="B51" s="8" t="str">
        <f t="shared" si="36"/>
        <v/>
      </c>
      <c r="C51" s="10" t="e">
        <f t="shared" si="37"/>
        <v>#VALUE!</v>
      </c>
      <c r="D51" s="11" t="e">
        <f t="shared" si="38"/>
        <v>#VALUE!</v>
      </c>
      <c r="E51" s="12" t="e">
        <f t="shared" si="39"/>
        <v>#VALUE!</v>
      </c>
      <c r="G51" s="9"/>
      <c r="H51" s="9"/>
      <c r="I51" s="9"/>
      <c r="J51" s="9"/>
      <c r="K51" t="str">
        <f t="shared" si="40"/>
        <v/>
      </c>
      <c r="L51" t="str">
        <f t="shared" si="41"/>
        <v/>
      </c>
      <c r="M51" t="str">
        <f t="shared" si="42"/>
        <v/>
      </c>
      <c r="N51" t="str">
        <f t="shared" si="43"/>
        <v/>
      </c>
    </row>
    <row r="52" spans="1:14" x14ac:dyDescent="0.3">
      <c r="A52" s="8" t="str">
        <f t="shared" si="44"/>
        <v>DBPe</v>
      </c>
      <c r="B52" s="8" t="str">
        <f t="shared" si="36"/>
        <v/>
      </c>
      <c r="C52" s="10" t="e">
        <f t="shared" si="37"/>
        <v>#VALUE!</v>
      </c>
      <c r="D52" s="11" t="e">
        <f t="shared" si="38"/>
        <v>#VALUE!</v>
      </c>
      <c r="E52" s="12" t="e">
        <f t="shared" si="39"/>
        <v>#VALUE!</v>
      </c>
      <c r="G52" s="9"/>
      <c r="H52" s="9"/>
      <c r="I52" s="9"/>
      <c r="J52" s="9"/>
      <c r="K52" t="str">
        <f t="shared" si="40"/>
        <v/>
      </c>
      <c r="L52" t="str">
        <f t="shared" si="41"/>
        <v/>
      </c>
      <c r="M52" t="str">
        <f t="shared" si="42"/>
        <v/>
      </c>
      <c r="N52" t="str">
        <f t="shared" si="43"/>
        <v/>
      </c>
    </row>
    <row r="53" spans="1:14" x14ac:dyDescent="0.3">
      <c r="A53" s="8" t="str">
        <f t="shared" si="44"/>
        <v>DBPe</v>
      </c>
      <c r="B53" s="8" t="str">
        <f t="shared" si="36"/>
        <v/>
      </c>
      <c r="C53" s="10" t="e">
        <f t="shared" si="37"/>
        <v>#VALUE!</v>
      </c>
      <c r="D53" s="11" t="e">
        <f t="shared" si="38"/>
        <v>#VALUE!</v>
      </c>
      <c r="E53" s="12" t="e">
        <f t="shared" si="39"/>
        <v>#VALUE!</v>
      </c>
      <c r="G53" s="9"/>
      <c r="H53" s="9"/>
      <c r="I53" s="9"/>
      <c r="J53" s="9"/>
      <c r="K53" t="str">
        <f t="shared" si="40"/>
        <v/>
      </c>
      <c r="L53" t="str">
        <f t="shared" si="41"/>
        <v/>
      </c>
      <c r="M53" t="str">
        <f t="shared" si="42"/>
        <v/>
      </c>
      <c r="N53" t="str">
        <f t="shared" si="43"/>
        <v/>
      </c>
    </row>
    <row r="54" spans="1:14" x14ac:dyDescent="0.3">
      <c r="A54" s="8" t="str">
        <f t="shared" si="44"/>
        <v>DBPe</v>
      </c>
      <c r="B54" s="8" t="str">
        <f t="shared" si="36"/>
        <v/>
      </c>
      <c r="C54" s="10" t="e">
        <f t="shared" si="37"/>
        <v>#VALUE!</v>
      </c>
      <c r="D54" s="11" t="e">
        <f t="shared" si="38"/>
        <v>#VALUE!</v>
      </c>
      <c r="E54" s="12" t="e">
        <f t="shared" si="39"/>
        <v>#VALUE!</v>
      </c>
      <c r="G54" s="9"/>
      <c r="H54" s="9"/>
      <c r="I54" s="9"/>
      <c r="J54" s="9"/>
      <c r="K54" t="str">
        <f t="shared" si="40"/>
        <v/>
      </c>
      <c r="L54" t="str">
        <f t="shared" si="41"/>
        <v/>
      </c>
      <c r="M54" t="str">
        <f t="shared" si="42"/>
        <v/>
      </c>
      <c r="N54" t="str">
        <f t="shared" si="43"/>
        <v/>
      </c>
    </row>
    <row r="55" spans="1:14" x14ac:dyDescent="0.3">
      <c r="A55" s="8" t="str">
        <f t="shared" si="44"/>
        <v>DBPe</v>
      </c>
      <c r="B55" s="8" t="str">
        <f t="shared" si="36"/>
        <v/>
      </c>
      <c r="C55" s="10" t="e">
        <f t="shared" si="37"/>
        <v>#VALUE!</v>
      </c>
      <c r="D55" s="11" t="e">
        <f t="shared" si="38"/>
        <v>#VALUE!</v>
      </c>
      <c r="E55" s="12" t="e">
        <f t="shared" si="39"/>
        <v>#VALUE!</v>
      </c>
      <c r="G55" s="9"/>
      <c r="H55" s="9"/>
      <c r="I55" s="9"/>
      <c r="J55" s="9"/>
      <c r="K55" t="str">
        <f t="shared" si="40"/>
        <v/>
      </c>
      <c r="L55" t="str">
        <f t="shared" si="41"/>
        <v/>
      </c>
      <c r="M55" t="str">
        <f t="shared" si="42"/>
        <v/>
      </c>
      <c r="N55" t="str">
        <f t="shared" si="43"/>
        <v/>
      </c>
    </row>
    <row r="56" spans="1:14" x14ac:dyDescent="0.3">
      <c r="A56" s="8" t="str">
        <f t="shared" si="44"/>
        <v>DBPe</v>
      </c>
      <c r="B56" s="8" t="str">
        <f t="shared" si="36"/>
        <v/>
      </c>
      <c r="C56" s="10" t="e">
        <f t="shared" si="37"/>
        <v>#VALUE!</v>
      </c>
      <c r="D56" s="11" t="e">
        <f t="shared" si="38"/>
        <v>#VALUE!</v>
      </c>
      <c r="E56" s="12" t="e">
        <f t="shared" si="39"/>
        <v>#VALUE!</v>
      </c>
      <c r="G56" s="9"/>
      <c r="H56" s="9"/>
      <c r="I56" s="9"/>
      <c r="J56" s="9"/>
      <c r="K56" t="str">
        <f t="shared" si="40"/>
        <v/>
      </c>
      <c r="L56" t="str">
        <f t="shared" si="41"/>
        <v/>
      </c>
      <c r="M56" t="str">
        <f t="shared" si="42"/>
        <v/>
      </c>
      <c r="N56" t="str">
        <f t="shared" si="43"/>
        <v/>
      </c>
    </row>
    <row r="57" spans="1:14" x14ac:dyDescent="0.3">
      <c r="A57" s="8" t="str">
        <f t="shared" si="44"/>
        <v>DBPe</v>
      </c>
      <c r="B57" s="8" t="str">
        <f t="shared" si="36"/>
        <v/>
      </c>
      <c r="C57" s="10" t="e">
        <f t="shared" si="37"/>
        <v>#VALUE!</v>
      </c>
      <c r="D57" s="11" t="e">
        <f t="shared" si="38"/>
        <v>#VALUE!</v>
      </c>
      <c r="E57" s="12" t="e">
        <f t="shared" si="39"/>
        <v>#VALUE!</v>
      </c>
      <c r="G57" s="9"/>
      <c r="H57" s="9"/>
      <c r="I57" s="9"/>
      <c r="J57" s="9"/>
      <c r="K57" t="str">
        <f t="shared" si="40"/>
        <v/>
      </c>
      <c r="L57" t="str">
        <f t="shared" si="41"/>
        <v/>
      </c>
      <c r="M57" t="str">
        <f t="shared" si="42"/>
        <v/>
      </c>
      <c r="N57" t="str">
        <f t="shared" si="43"/>
        <v/>
      </c>
    </row>
    <row r="58" spans="1:14" x14ac:dyDescent="0.3">
      <c r="A58" s="8" t="str">
        <f t="shared" si="44"/>
        <v>DBPe</v>
      </c>
      <c r="B58" s="8" t="str">
        <f t="shared" si="36"/>
        <v/>
      </c>
      <c r="C58" s="10" t="e">
        <f t="shared" si="37"/>
        <v>#VALUE!</v>
      </c>
      <c r="D58" s="11" t="e">
        <f t="shared" si="38"/>
        <v>#VALUE!</v>
      </c>
      <c r="E58" s="12" t="e">
        <f t="shared" si="39"/>
        <v>#VALUE!</v>
      </c>
      <c r="G58" s="9"/>
      <c r="H58" s="9"/>
      <c r="I58" s="9"/>
      <c r="J58" s="9"/>
      <c r="K58" t="str">
        <f t="shared" si="40"/>
        <v/>
      </c>
      <c r="L58" t="str">
        <f t="shared" si="41"/>
        <v/>
      </c>
      <c r="M58" t="str">
        <f t="shared" si="42"/>
        <v/>
      </c>
      <c r="N58" t="str">
        <f t="shared" si="43"/>
        <v/>
      </c>
    </row>
    <row r="59" spans="1:14" x14ac:dyDescent="0.3">
      <c r="A59" s="8" t="str">
        <f t="shared" si="44"/>
        <v>DBPe</v>
      </c>
      <c r="B59" s="8" t="str">
        <f t="shared" si="36"/>
        <v/>
      </c>
      <c r="C59" s="10" t="e">
        <f t="shared" si="37"/>
        <v>#VALUE!</v>
      </c>
      <c r="D59" s="11" t="e">
        <f t="shared" si="38"/>
        <v>#VALUE!</v>
      </c>
      <c r="E59" s="12" t="e">
        <f t="shared" si="39"/>
        <v>#VALUE!</v>
      </c>
      <c r="G59" s="9"/>
      <c r="H59" s="9"/>
      <c r="I59" s="9"/>
      <c r="J59" s="9"/>
      <c r="K59" t="str">
        <f t="shared" si="40"/>
        <v/>
      </c>
      <c r="L59" t="str">
        <f t="shared" si="41"/>
        <v/>
      </c>
      <c r="M59" t="str">
        <f t="shared" si="42"/>
        <v/>
      </c>
      <c r="N59" t="str">
        <f t="shared" si="43"/>
        <v/>
      </c>
    </row>
    <row r="60" spans="1:14" x14ac:dyDescent="0.3">
      <c r="G60" s="9"/>
      <c r="H60" s="9"/>
      <c r="I60" s="9"/>
      <c r="J60" s="9"/>
    </row>
    <row r="61" spans="1:14" x14ac:dyDescent="0.3">
      <c r="A61" s="8" t="s">
        <v>21</v>
      </c>
      <c r="B61" s="8" t="str">
        <f t="shared" ref="B61:B70" si="45">K61&amp;G61</f>
        <v/>
      </c>
      <c r="C61" s="10" t="e">
        <f t="shared" ref="C61:C70" si="46">IF(LEFT(H61,1)="(",-VALUE(MID(H61,3,LEN(H61)-11)),VALUE(LEFT(H61,LEN(H61)-7)))</f>
        <v>#VALUE!</v>
      </c>
      <c r="D61" s="11" t="e">
        <f t="shared" ref="D61:D70" si="47">VALUE(RIGHT(I61,LEN(I61)-4))</f>
        <v>#VALUE!</v>
      </c>
      <c r="E61" s="12" t="e">
        <f t="shared" ref="E61:E70" si="48">C61*D61</f>
        <v>#VALUE!</v>
      </c>
      <c r="G61" s="9"/>
      <c r="H61" s="9"/>
      <c r="I61" s="9"/>
      <c r="J61" s="9"/>
      <c r="K61" t="str">
        <f t="shared" ref="K61:K70" si="49">IF(G61&lt;&gt;"",A61,"")&amp;IF(RIGHT(G61,2)="JP","-JPY",IF(RIGHT(G61,2)="AU","-AUD",IF(RIGHT(G61,2)="US","-USD","")))</f>
        <v/>
      </c>
      <c r="L61" t="str">
        <f t="shared" ref="L61:L70" si="50">IF(H61&lt;&gt;"",TEXT(LEFT(G61,LEN(G61)-3),"0000"),"")</f>
        <v/>
      </c>
      <c r="M61" t="str">
        <f t="shared" ref="M61:M70" si="51">IF(G61&lt;&gt;"",C61,"")</f>
        <v/>
      </c>
      <c r="N61" t="str">
        <f t="shared" ref="N61:N70" si="52">IF(G61&lt;&gt;"",D61,"")</f>
        <v/>
      </c>
    </row>
    <row r="62" spans="1:14" x14ac:dyDescent="0.3">
      <c r="A62" s="8" t="str">
        <f t="shared" ref="A62:A70" si="53">A61</f>
        <v>DBPL</v>
      </c>
      <c r="B62" s="8" t="str">
        <f t="shared" si="45"/>
        <v/>
      </c>
      <c r="C62" s="10" t="e">
        <f t="shared" si="46"/>
        <v>#VALUE!</v>
      </c>
      <c r="D62" s="11" t="e">
        <f t="shared" si="47"/>
        <v>#VALUE!</v>
      </c>
      <c r="E62" s="12" t="e">
        <f t="shared" si="48"/>
        <v>#VALUE!</v>
      </c>
      <c r="G62" s="9"/>
      <c r="H62" s="9"/>
      <c r="I62" s="9"/>
      <c r="J62" s="9"/>
      <c r="K62" t="str">
        <f t="shared" si="49"/>
        <v/>
      </c>
      <c r="L62" t="str">
        <f t="shared" si="50"/>
        <v/>
      </c>
      <c r="M62" t="str">
        <f t="shared" si="51"/>
        <v/>
      </c>
      <c r="N62" t="str">
        <f t="shared" si="52"/>
        <v/>
      </c>
    </row>
    <row r="63" spans="1:14" x14ac:dyDescent="0.3">
      <c r="A63" s="8" t="str">
        <f t="shared" si="53"/>
        <v>DBPL</v>
      </c>
      <c r="B63" s="8" t="str">
        <f t="shared" si="45"/>
        <v/>
      </c>
      <c r="C63" s="10" t="e">
        <f t="shared" si="46"/>
        <v>#VALUE!</v>
      </c>
      <c r="D63" s="11" t="e">
        <f t="shared" si="47"/>
        <v>#VALUE!</v>
      </c>
      <c r="E63" s="12" t="e">
        <f t="shared" si="48"/>
        <v>#VALUE!</v>
      </c>
      <c r="G63" s="9"/>
      <c r="H63" s="9"/>
      <c r="I63" s="9"/>
      <c r="J63" s="9"/>
      <c r="K63" t="str">
        <f t="shared" si="49"/>
        <v/>
      </c>
      <c r="L63" t="str">
        <f t="shared" si="50"/>
        <v/>
      </c>
      <c r="M63" t="str">
        <f t="shared" si="51"/>
        <v/>
      </c>
      <c r="N63" t="str">
        <f t="shared" si="52"/>
        <v/>
      </c>
    </row>
    <row r="64" spans="1:14" x14ac:dyDescent="0.3">
      <c r="A64" s="8" t="str">
        <f t="shared" si="53"/>
        <v>DBPL</v>
      </c>
      <c r="B64" s="8" t="str">
        <f t="shared" si="45"/>
        <v/>
      </c>
      <c r="C64" s="10" t="e">
        <f t="shared" si="46"/>
        <v>#VALUE!</v>
      </c>
      <c r="D64" s="11" t="e">
        <f t="shared" si="47"/>
        <v>#VALUE!</v>
      </c>
      <c r="E64" s="12" t="e">
        <f t="shared" si="48"/>
        <v>#VALUE!</v>
      </c>
      <c r="G64" s="9"/>
      <c r="H64" s="9"/>
      <c r="I64" s="9"/>
      <c r="J64" s="9"/>
      <c r="K64" t="str">
        <f t="shared" si="49"/>
        <v/>
      </c>
      <c r="L64" t="str">
        <f t="shared" si="50"/>
        <v/>
      </c>
      <c r="M64" t="str">
        <f t="shared" si="51"/>
        <v/>
      </c>
      <c r="N64" t="str">
        <f t="shared" si="52"/>
        <v/>
      </c>
    </row>
    <row r="65" spans="1:14" x14ac:dyDescent="0.3">
      <c r="A65" s="8" t="str">
        <f t="shared" si="53"/>
        <v>DBPL</v>
      </c>
      <c r="B65" s="8" t="str">
        <f t="shared" si="45"/>
        <v/>
      </c>
      <c r="C65" s="10" t="e">
        <f t="shared" si="46"/>
        <v>#VALUE!</v>
      </c>
      <c r="D65" s="11" t="e">
        <f t="shared" si="47"/>
        <v>#VALUE!</v>
      </c>
      <c r="E65" s="12" t="e">
        <f t="shared" si="48"/>
        <v>#VALUE!</v>
      </c>
      <c r="G65" s="9"/>
      <c r="H65" s="9"/>
      <c r="I65" s="9"/>
      <c r="J65" s="9"/>
      <c r="K65" t="str">
        <f t="shared" si="49"/>
        <v/>
      </c>
      <c r="L65" t="str">
        <f t="shared" si="50"/>
        <v/>
      </c>
      <c r="M65" t="str">
        <f t="shared" si="51"/>
        <v/>
      </c>
      <c r="N65" t="str">
        <f t="shared" si="52"/>
        <v/>
      </c>
    </row>
    <row r="66" spans="1:14" x14ac:dyDescent="0.3">
      <c r="A66" s="8" t="str">
        <f t="shared" si="53"/>
        <v>DBPL</v>
      </c>
      <c r="B66" s="8" t="str">
        <f t="shared" si="45"/>
        <v/>
      </c>
      <c r="C66" s="10" t="e">
        <f t="shared" si="46"/>
        <v>#VALUE!</v>
      </c>
      <c r="D66" s="11" t="e">
        <f t="shared" si="47"/>
        <v>#VALUE!</v>
      </c>
      <c r="E66" s="12" t="e">
        <f t="shared" si="48"/>
        <v>#VALUE!</v>
      </c>
      <c r="G66" s="9"/>
      <c r="H66" s="9"/>
      <c r="I66" s="9"/>
      <c r="J66" s="9"/>
      <c r="K66" t="str">
        <f t="shared" si="49"/>
        <v/>
      </c>
      <c r="L66" t="str">
        <f t="shared" si="50"/>
        <v/>
      </c>
      <c r="M66" t="str">
        <f t="shared" si="51"/>
        <v/>
      </c>
      <c r="N66" t="str">
        <f t="shared" si="52"/>
        <v/>
      </c>
    </row>
    <row r="67" spans="1:14" x14ac:dyDescent="0.3">
      <c r="A67" s="8" t="str">
        <f t="shared" si="53"/>
        <v>DBPL</v>
      </c>
      <c r="B67" s="8" t="str">
        <f t="shared" si="45"/>
        <v/>
      </c>
      <c r="C67" s="10" t="e">
        <f t="shared" si="46"/>
        <v>#VALUE!</v>
      </c>
      <c r="D67" s="11" t="e">
        <f t="shared" si="47"/>
        <v>#VALUE!</v>
      </c>
      <c r="E67" s="12" t="e">
        <f t="shared" si="48"/>
        <v>#VALUE!</v>
      </c>
      <c r="G67" s="9"/>
      <c r="H67" s="9"/>
      <c r="I67" s="9"/>
      <c r="J67" s="9"/>
      <c r="K67" t="str">
        <f t="shared" si="49"/>
        <v/>
      </c>
      <c r="L67" t="str">
        <f t="shared" si="50"/>
        <v/>
      </c>
      <c r="M67" t="str">
        <f t="shared" si="51"/>
        <v/>
      </c>
      <c r="N67" t="str">
        <f t="shared" si="52"/>
        <v/>
      </c>
    </row>
    <row r="68" spans="1:14" x14ac:dyDescent="0.3">
      <c r="A68" s="8" t="str">
        <f t="shared" si="53"/>
        <v>DBPL</v>
      </c>
      <c r="B68" s="8" t="str">
        <f t="shared" si="45"/>
        <v/>
      </c>
      <c r="C68" s="10" t="e">
        <f t="shared" si="46"/>
        <v>#VALUE!</v>
      </c>
      <c r="D68" s="11" t="e">
        <f t="shared" si="47"/>
        <v>#VALUE!</v>
      </c>
      <c r="E68" s="12" t="e">
        <f t="shared" si="48"/>
        <v>#VALUE!</v>
      </c>
      <c r="G68" s="9"/>
      <c r="H68" s="9"/>
      <c r="I68" s="9"/>
      <c r="J68" s="9"/>
      <c r="K68" t="str">
        <f t="shared" si="49"/>
        <v/>
      </c>
      <c r="L68" t="str">
        <f t="shared" si="50"/>
        <v/>
      </c>
      <c r="M68" t="str">
        <f t="shared" si="51"/>
        <v/>
      </c>
      <c r="N68" t="str">
        <f t="shared" si="52"/>
        <v/>
      </c>
    </row>
    <row r="69" spans="1:14" x14ac:dyDescent="0.3">
      <c r="A69" s="8" t="str">
        <f t="shared" si="53"/>
        <v>DBPL</v>
      </c>
      <c r="B69" s="8" t="str">
        <f t="shared" si="45"/>
        <v/>
      </c>
      <c r="C69" s="10" t="e">
        <f t="shared" si="46"/>
        <v>#VALUE!</v>
      </c>
      <c r="D69" s="11" t="e">
        <f t="shared" si="47"/>
        <v>#VALUE!</v>
      </c>
      <c r="E69" s="12" t="e">
        <f t="shared" si="48"/>
        <v>#VALUE!</v>
      </c>
      <c r="G69" s="9"/>
      <c r="H69" s="9"/>
      <c r="I69" s="9"/>
      <c r="J69" s="9"/>
      <c r="K69" t="str">
        <f t="shared" si="49"/>
        <v/>
      </c>
      <c r="L69" t="str">
        <f t="shared" si="50"/>
        <v/>
      </c>
      <c r="M69" t="str">
        <f t="shared" si="51"/>
        <v/>
      </c>
      <c r="N69" t="str">
        <f t="shared" si="52"/>
        <v/>
      </c>
    </row>
    <row r="70" spans="1:14" x14ac:dyDescent="0.3">
      <c r="A70" s="8" t="str">
        <f t="shared" si="53"/>
        <v>DBPL</v>
      </c>
      <c r="B70" s="8" t="str">
        <f t="shared" si="45"/>
        <v/>
      </c>
      <c r="C70" s="10" t="e">
        <f t="shared" si="46"/>
        <v>#VALUE!</v>
      </c>
      <c r="D70" s="11" t="e">
        <f t="shared" si="47"/>
        <v>#VALUE!</v>
      </c>
      <c r="E70" s="12" t="e">
        <f t="shared" si="48"/>
        <v>#VALUE!</v>
      </c>
      <c r="G70" s="9"/>
      <c r="H70" s="9"/>
      <c r="I70" s="9"/>
      <c r="J70" s="9"/>
      <c r="K70" t="str">
        <f t="shared" si="49"/>
        <v/>
      </c>
      <c r="L70" t="str">
        <f t="shared" si="50"/>
        <v/>
      </c>
      <c r="M70" t="str">
        <f t="shared" si="51"/>
        <v/>
      </c>
      <c r="N70" t="str">
        <f t="shared" si="52"/>
        <v/>
      </c>
    </row>
    <row r="71" spans="1:14" x14ac:dyDescent="0.3">
      <c r="G71" s="9"/>
      <c r="H71" s="9"/>
      <c r="I71" s="9"/>
      <c r="J71" s="9"/>
    </row>
    <row r="72" spans="1:14" x14ac:dyDescent="0.3">
      <c r="A72" s="8" t="s">
        <v>22</v>
      </c>
      <c r="B72" s="8" t="str">
        <f t="shared" ref="B72:B81" si="54">K72&amp;G72</f>
        <v/>
      </c>
      <c r="C72" s="10" t="e">
        <f t="shared" ref="C72:C81" si="55">IF(LEFT(H72,1)="(",-VALUE(MID(H72,3,LEN(H72)-11)),VALUE(LEFT(H72,LEN(H72)-7)))</f>
        <v>#VALUE!</v>
      </c>
      <c r="D72" s="11" t="e">
        <f t="shared" ref="D72:D81" si="56">VALUE(RIGHT(I72,LEN(I72)-4))</f>
        <v>#VALUE!</v>
      </c>
      <c r="E72" s="12" t="e">
        <f t="shared" ref="E72:E81" si="57">C72*D72</f>
        <v>#VALUE!</v>
      </c>
      <c r="G72" s="9"/>
      <c r="H72" s="9"/>
      <c r="I72" s="9"/>
      <c r="J72" s="9"/>
      <c r="K72" t="str">
        <f t="shared" ref="K72:K81" si="58">IF(G72&lt;&gt;"",A72,"")&amp;IF(RIGHT(G72,2)="JP","-JPY",IF(RIGHT(G72,2)="AU","-AUD",IF(RIGHT(G72,2)="US","-USD","")))</f>
        <v/>
      </c>
      <c r="L72" t="str">
        <f t="shared" ref="L72:L81" si="59">IF(H72&lt;&gt;"",TEXT(LEFT(G72,LEN(G72)-3),"0000"),"")</f>
        <v/>
      </c>
      <c r="M72" t="str">
        <f t="shared" ref="M72:M81" si="60">IF(G72&lt;&gt;"",C72,"")</f>
        <v/>
      </c>
      <c r="N72" t="str">
        <f t="shared" ref="N72:N81" si="61">IF(G72&lt;&gt;"",D72,"")</f>
        <v/>
      </c>
    </row>
    <row r="73" spans="1:14" x14ac:dyDescent="0.3">
      <c r="A73" s="8" t="str">
        <f t="shared" ref="A73:A81" si="62">A72</f>
        <v>SC</v>
      </c>
      <c r="B73" s="8" t="str">
        <f t="shared" si="54"/>
        <v/>
      </c>
      <c r="C73" s="10" t="e">
        <f t="shared" si="55"/>
        <v>#VALUE!</v>
      </c>
      <c r="D73" s="11" t="e">
        <f t="shared" si="56"/>
        <v>#VALUE!</v>
      </c>
      <c r="E73" s="12" t="e">
        <f t="shared" si="57"/>
        <v>#VALUE!</v>
      </c>
      <c r="G73" s="9"/>
      <c r="H73" s="9"/>
      <c r="I73" s="9"/>
      <c r="J73" s="9"/>
      <c r="K73" t="str">
        <f t="shared" si="58"/>
        <v/>
      </c>
      <c r="L73" t="str">
        <f t="shared" si="59"/>
        <v/>
      </c>
      <c r="M73" t="str">
        <f t="shared" si="60"/>
        <v/>
      </c>
      <c r="N73" t="str">
        <f t="shared" si="61"/>
        <v/>
      </c>
    </row>
    <row r="74" spans="1:14" x14ac:dyDescent="0.3">
      <c r="A74" s="8" t="str">
        <f t="shared" si="62"/>
        <v>SC</v>
      </c>
      <c r="B74" s="8" t="str">
        <f t="shared" si="54"/>
        <v/>
      </c>
      <c r="C74" s="10" t="e">
        <f t="shared" si="55"/>
        <v>#VALUE!</v>
      </c>
      <c r="D74" s="11" t="e">
        <f t="shared" si="56"/>
        <v>#VALUE!</v>
      </c>
      <c r="E74" s="12" t="e">
        <f t="shared" si="57"/>
        <v>#VALUE!</v>
      </c>
      <c r="G74" s="9"/>
      <c r="H74" s="9"/>
      <c r="I74" s="9"/>
      <c r="J74" s="9"/>
      <c r="K74" t="str">
        <f t="shared" si="58"/>
        <v/>
      </c>
      <c r="L74" t="str">
        <f t="shared" si="59"/>
        <v/>
      </c>
      <c r="M74" t="str">
        <f t="shared" si="60"/>
        <v/>
      </c>
      <c r="N74" t="str">
        <f t="shared" si="61"/>
        <v/>
      </c>
    </row>
    <row r="75" spans="1:14" x14ac:dyDescent="0.3">
      <c r="A75" s="8" t="str">
        <f t="shared" si="62"/>
        <v>SC</v>
      </c>
      <c r="B75" s="8" t="str">
        <f t="shared" si="54"/>
        <v/>
      </c>
      <c r="C75" s="10" t="e">
        <f t="shared" si="55"/>
        <v>#VALUE!</v>
      </c>
      <c r="D75" s="11" t="e">
        <f t="shared" si="56"/>
        <v>#VALUE!</v>
      </c>
      <c r="E75" s="12" t="e">
        <f t="shared" si="57"/>
        <v>#VALUE!</v>
      </c>
      <c r="G75" s="9"/>
      <c r="H75" s="9"/>
      <c r="I75" s="9"/>
      <c r="J75" s="9"/>
      <c r="K75" t="str">
        <f t="shared" si="58"/>
        <v/>
      </c>
      <c r="L75" t="str">
        <f t="shared" si="59"/>
        <v/>
      </c>
      <c r="M75" t="str">
        <f t="shared" si="60"/>
        <v/>
      </c>
      <c r="N75" t="str">
        <f t="shared" si="61"/>
        <v/>
      </c>
    </row>
    <row r="76" spans="1:14" x14ac:dyDescent="0.3">
      <c r="A76" s="8" t="str">
        <f t="shared" si="62"/>
        <v>SC</v>
      </c>
      <c r="B76" s="8" t="str">
        <f t="shared" si="54"/>
        <v/>
      </c>
      <c r="C76" s="10" t="e">
        <f t="shared" si="55"/>
        <v>#VALUE!</v>
      </c>
      <c r="D76" s="11" t="e">
        <f t="shared" si="56"/>
        <v>#VALUE!</v>
      </c>
      <c r="E76" s="12" t="e">
        <f t="shared" si="57"/>
        <v>#VALUE!</v>
      </c>
      <c r="G76" s="9"/>
      <c r="H76" s="9"/>
      <c r="I76" s="9"/>
      <c r="J76" s="9"/>
      <c r="K76" t="str">
        <f t="shared" si="58"/>
        <v/>
      </c>
      <c r="L76" t="str">
        <f t="shared" si="59"/>
        <v/>
      </c>
      <c r="M76" t="str">
        <f t="shared" si="60"/>
        <v/>
      </c>
      <c r="N76" t="str">
        <f t="shared" si="61"/>
        <v/>
      </c>
    </row>
    <row r="77" spans="1:14" x14ac:dyDescent="0.3">
      <c r="A77" s="8" t="str">
        <f t="shared" si="62"/>
        <v>SC</v>
      </c>
      <c r="B77" s="8" t="str">
        <f t="shared" si="54"/>
        <v/>
      </c>
      <c r="C77" s="10" t="e">
        <f t="shared" si="55"/>
        <v>#VALUE!</v>
      </c>
      <c r="D77" s="11" t="e">
        <f t="shared" si="56"/>
        <v>#VALUE!</v>
      </c>
      <c r="E77" s="12" t="e">
        <f t="shared" si="57"/>
        <v>#VALUE!</v>
      </c>
      <c r="G77" s="9"/>
      <c r="H77" s="9"/>
      <c r="I77" s="9"/>
      <c r="J77" s="9"/>
      <c r="K77" t="str">
        <f t="shared" si="58"/>
        <v/>
      </c>
      <c r="L77" t="str">
        <f t="shared" si="59"/>
        <v/>
      </c>
      <c r="M77" t="str">
        <f t="shared" si="60"/>
        <v/>
      </c>
      <c r="N77" t="str">
        <f t="shared" si="61"/>
        <v/>
      </c>
    </row>
    <row r="78" spans="1:14" x14ac:dyDescent="0.3">
      <c r="A78" s="8" t="str">
        <f t="shared" si="62"/>
        <v>SC</v>
      </c>
      <c r="B78" s="8" t="str">
        <f t="shared" si="54"/>
        <v/>
      </c>
      <c r="C78" s="10" t="e">
        <f t="shared" si="55"/>
        <v>#VALUE!</v>
      </c>
      <c r="D78" s="11" t="e">
        <f t="shared" si="56"/>
        <v>#VALUE!</v>
      </c>
      <c r="E78" s="12" t="e">
        <f t="shared" si="57"/>
        <v>#VALUE!</v>
      </c>
      <c r="G78" s="9"/>
      <c r="H78" s="9"/>
      <c r="I78" s="9"/>
      <c r="J78" s="9"/>
      <c r="K78" t="str">
        <f t="shared" si="58"/>
        <v/>
      </c>
      <c r="L78" t="str">
        <f t="shared" si="59"/>
        <v/>
      </c>
      <c r="M78" t="str">
        <f t="shared" si="60"/>
        <v/>
      </c>
      <c r="N78" t="str">
        <f t="shared" si="61"/>
        <v/>
      </c>
    </row>
    <row r="79" spans="1:14" x14ac:dyDescent="0.3">
      <c r="A79" s="8" t="str">
        <f t="shared" si="62"/>
        <v>SC</v>
      </c>
      <c r="B79" s="8" t="str">
        <f t="shared" si="54"/>
        <v/>
      </c>
      <c r="C79" s="10" t="e">
        <f t="shared" si="55"/>
        <v>#VALUE!</v>
      </c>
      <c r="D79" s="11" t="e">
        <f t="shared" si="56"/>
        <v>#VALUE!</v>
      </c>
      <c r="E79" s="12" t="e">
        <f t="shared" si="57"/>
        <v>#VALUE!</v>
      </c>
      <c r="G79" s="9"/>
      <c r="H79" s="9"/>
      <c r="I79" s="9"/>
      <c r="J79" s="9"/>
      <c r="K79" t="str">
        <f t="shared" si="58"/>
        <v/>
      </c>
      <c r="L79" t="str">
        <f t="shared" si="59"/>
        <v/>
      </c>
      <c r="M79" t="str">
        <f t="shared" si="60"/>
        <v/>
      </c>
      <c r="N79" t="str">
        <f t="shared" si="61"/>
        <v/>
      </c>
    </row>
    <row r="80" spans="1:14" x14ac:dyDescent="0.3">
      <c r="A80" s="8" t="str">
        <f t="shared" si="62"/>
        <v>SC</v>
      </c>
      <c r="B80" s="8" t="str">
        <f t="shared" si="54"/>
        <v/>
      </c>
      <c r="C80" s="10" t="e">
        <f t="shared" si="55"/>
        <v>#VALUE!</v>
      </c>
      <c r="D80" s="11" t="e">
        <f t="shared" si="56"/>
        <v>#VALUE!</v>
      </c>
      <c r="E80" s="12" t="e">
        <f t="shared" si="57"/>
        <v>#VALUE!</v>
      </c>
      <c r="G80" s="9"/>
      <c r="H80" s="9"/>
      <c r="I80" s="9"/>
      <c r="J80" s="9"/>
      <c r="K80" t="str">
        <f t="shared" si="58"/>
        <v/>
      </c>
      <c r="L80" t="str">
        <f t="shared" si="59"/>
        <v/>
      </c>
      <c r="M80" t="str">
        <f t="shared" si="60"/>
        <v/>
      </c>
      <c r="N80" t="str">
        <f t="shared" si="61"/>
        <v/>
      </c>
    </row>
    <row r="81" spans="1:14" x14ac:dyDescent="0.3">
      <c r="A81" s="8" t="str">
        <f t="shared" si="62"/>
        <v>SC</v>
      </c>
      <c r="B81" s="8" t="str">
        <f t="shared" si="54"/>
        <v/>
      </c>
      <c r="C81" s="10" t="e">
        <f t="shared" si="55"/>
        <v>#VALUE!</v>
      </c>
      <c r="D81" s="11" t="e">
        <f t="shared" si="56"/>
        <v>#VALUE!</v>
      </c>
      <c r="E81" s="12" t="e">
        <f t="shared" si="57"/>
        <v>#VALUE!</v>
      </c>
      <c r="G81" s="9"/>
      <c r="H81" s="9"/>
      <c r="I81" s="9"/>
      <c r="J81" s="9"/>
      <c r="K81" t="str">
        <f t="shared" si="58"/>
        <v/>
      </c>
      <c r="L81" t="str">
        <f t="shared" si="59"/>
        <v/>
      </c>
      <c r="M81" t="str">
        <f t="shared" si="60"/>
        <v/>
      </c>
      <c r="N81" t="str">
        <f t="shared" si="61"/>
        <v/>
      </c>
    </row>
    <row r="82" spans="1:14" x14ac:dyDescent="0.3">
      <c r="G82" s="9"/>
      <c r="H82" s="9"/>
      <c r="I82" s="9"/>
      <c r="J82" s="9"/>
    </row>
    <row r="83" spans="1:14" x14ac:dyDescent="0.3">
      <c r="A83" s="8" t="s">
        <v>23</v>
      </c>
      <c r="B83" s="8" t="str">
        <f t="shared" ref="B83:B92" si="63">K83&amp;G83</f>
        <v/>
      </c>
      <c r="C83" s="10" t="e">
        <f t="shared" ref="C83:C92" si="64">IF(LEFT(H83,1)="(",-VALUE(MID(H83,3,LEN(H83)-11)),VALUE(LEFT(H83,LEN(H83)-7)))</f>
        <v>#VALUE!</v>
      </c>
      <c r="D83" s="11" t="e">
        <f t="shared" ref="D83:D92" si="65">VALUE(RIGHT(I83,LEN(I83)-4))</f>
        <v>#VALUE!</v>
      </c>
      <c r="E83" s="12" t="e">
        <f t="shared" ref="E83:E92" si="66">C83*D83</f>
        <v>#VALUE!</v>
      </c>
      <c r="G83" s="9"/>
      <c r="H83" s="9"/>
      <c r="I83" s="9"/>
      <c r="J83" s="9"/>
      <c r="K83" t="str">
        <f t="shared" ref="K83:K92" si="67">IF(G83&lt;&gt;"",A83,"")&amp;IF(RIGHT(G83,2)="JP","-JPY",IF(RIGHT(G83,2)="AU","-AUD",IF(RIGHT(G83,2)="US","-USD","")))</f>
        <v/>
      </c>
      <c r="L83" t="str">
        <f t="shared" ref="L83:L92" si="68">IF(H83&lt;&gt;"",TEXT(LEFT(G83,LEN(G83)-3),"0000"),"")</f>
        <v/>
      </c>
      <c r="M83" t="str">
        <f t="shared" ref="M83:M92" si="69">IF(G83&lt;&gt;"",C83,"")</f>
        <v/>
      </c>
      <c r="N83" t="str">
        <f t="shared" ref="N83:N92" si="70">IF(G83&lt;&gt;"",D83,"")</f>
        <v/>
      </c>
    </row>
    <row r="84" spans="1:14" x14ac:dyDescent="0.3">
      <c r="A84" s="8" t="str">
        <f t="shared" ref="A84:A92" si="71">A83</f>
        <v>MST1</v>
      </c>
      <c r="B84" s="8" t="str">
        <f t="shared" si="63"/>
        <v/>
      </c>
      <c r="C84" s="10" t="e">
        <f t="shared" si="64"/>
        <v>#VALUE!</v>
      </c>
      <c r="D84" s="11" t="e">
        <f t="shared" si="65"/>
        <v>#VALUE!</v>
      </c>
      <c r="E84" s="12" t="e">
        <f t="shared" si="66"/>
        <v>#VALUE!</v>
      </c>
      <c r="G84" s="9"/>
      <c r="H84" s="9"/>
      <c r="I84" s="9"/>
      <c r="J84" s="9"/>
      <c r="K84" t="str">
        <f t="shared" si="67"/>
        <v/>
      </c>
      <c r="L84" t="str">
        <f t="shared" si="68"/>
        <v/>
      </c>
      <c r="M84" t="str">
        <f t="shared" si="69"/>
        <v/>
      </c>
      <c r="N84" t="str">
        <f t="shared" si="70"/>
        <v/>
      </c>
    </row>
    <row r="85" spans="1:14" x14ac:dyDescent="0.3">
      <c r="A85" s="8" t="str">
        <f t="shared" si="71"/>
        <v>MST1</v>
      </c>
      <c r="B85" s="8" t="str">
        <f t="shared" si="63"/>
        <v/>
      </c>
      <c r="C85" s="10" t="e">
        <f t="shared" si="64"/>
        <v>#VALUE!</v>
      </c>
      <c r="D85" s="11" t="e">
        <f t="shared" si="65"/>
        <v>#VALUE!</v>
      </c>
      <c r="E85" s="12" t="e">
        <f t="shared" si="66"/>
        <v>#VALUE!</v>
      </c>
      <c r="G85" s="9"/>
      <c r="H85" s="9"/>
      <c r="I85" s="9"/>
      <c r="J85" s="9"/>
      <c r="K85" t="str">
        <f t="shared" si="67"/>
        <v/>
      </c>
      <c r="L85" t="str">
        <f t="shared" si="68"/>
        <v/>
      </c>
      <c r="M85" t="str">
        <f t="shared" si="69"/>
        <v/>
      </c>
      <c r="N85" t="str">
        <f t="shared" si="70"/>
        <v/>
      </c>
    </row>
    <row r="86" spans="1:14" x14ac:dyDescent="0.3">
      <c r="A86" s="8" t="str">
        <f t="shared" si="71"/>
        <v>MST1</v>
      </c>
      <c r="B86" s="8" t="str">
        <f t="shared" si="63"/>
        <v/>
      </c>
      <c r="C86" s="10" t="e">
        <f t="shared" si="64"/>
        <v>#VALUE!</v>
      </c>
      <c r="D86" s="11" t="e">
        <f t="shared" si="65"/>
        <v>#VALUE!</v>
      </c>
      <c r="E86" s="12" t="e">
        <f t="shared" si="66"/>
        <v>#VALUE!</v>
      </c>
      <c r="G86" s="9"/>
      <c r="H86" s="9"/>
      <c r="I86" s="9"/>
      <c r="J86" s="9"/>
      <c r="K86" t="str">
        <f t="shared" si="67"/>
        <v/>
      </c>
      <c r="L86" t="str">
        <f t="shared" si="68"/>
        <v/>
      </c>
      <c r="M86" t="str">
        <f t="shared" si="69"/>
        <v/>
      </c>
      <c r="N86" t="str">
        <f t="shared" si="70"/>
        <v/>
      </c>
    </row>
    <row r="87" spans="1:14" x14ac:dyDescent="0.3">
      <c r="A87" s="8" t="str">
        <f t="shared" si="71"/>
        <v>MST1</v>
      </c>
      <c r="B87" s="8" t="str">
        <f t="shared" si="63"/>
        <v/>
      </c>
      <c r="C87" s="10" t="e">
        <f t="shared" si="64"/>
        <v>#VALUE!</v>
      </c>
      <c r="D87" s="11" t="e">
        <f t="shared" si="65"/>
        <v>#VALUE!</v>
      </c>
      <c r="E87" s="12" t="e">
        <f t="shared" si="66"/>
        <v>#VALUE!</v>
      </c>
      <c r="G87" s="9"/>
      <c r="H87" s="13"/>
      <c r="I87" s="9"/>
      <c r="J87" s="9"/>
      <c r="K87" t="str">
        <f t="shared" si="67"/>
        <v/>
      </c>
      <c r="L87" t="str">
        <f t="shared" si="68"/>
        <v/>
      </c>
      <c r="M87" t="str">
        <f t="shared" si="69"/>
        <v/>
      </c>
      <c r="N87" t="str">
        <f t="shared" si="70"/>
        <v/>
      </c>
    </row>
    <row r="88" spans="1:14" x14ac:dyDescent="0.3">
      <c r="A88" s="8" t="str">
        <f t="shared" si="71"/>
        <v>MST1</v>
      </c>
      <c r="B88" s="8" t="str">
        <f t="shared" si="63"/>
        <v/>
      </c>
      <c r="C88" s="10" t="e">
        <f t="shared" si="64"/>
        <v>#VALUE!</v>
      </c>
      <c r="D88" s="11" t="e">
        <f t="shared" si="65"/>
        <v>#VALUE!</v>
      </c>
      <c r="E88" s="12" t="e">
        <f t="shared" si="66"/>
        <v>#VALUE!</v>
      </c>
      <c r="G88" s="9"/>
      <c r="H88" s="9"/>
      <c r="I88" s="9"/>
      <c r="J88" s="9"/>
      <c r="K88" t="str">
        <f t="shared" si="67"/>
        <v/>
      </c>
      <c r="L88" t="str">
        <f t="shared" si="68"/>
        <v/>
      </c>
      <c r="M88" t="str">
        <f t="shared" si="69"/>
        <v/>
      </c>
      <c r="N88" t="str">
        <f t="shared" si="70"/>
        <v/>
      </c>
    </row>
    <row r="89" spans="1:14" x14ac:dyDescent="0.3">
      <c r="A89" s="8" t="str">
        <f t="shared" si="71"/>
        <v>MST1</v>
      </c>
      <c r="B89" s="8" t="str">
        <f t="shared" si="63"/>
        <v/>
      </c>
      <c r="C89" s="10" t="e">
        <f t="shared" si="64"/>
        <v>#VALUE!</v>
      </c>
      <c r="D89" s="11" t="e">
        <f t="shared" si="65"/>
        <v>#VALUE!</v>
      </c>
      <c r="E89" s="12" t="e">
        <f t="shared" si="66"/>
        <v>#VALUE!</v>
      </c>
      <c r="G89" s="9"/>
      <c r="H89" s="9"/>
      <c r="I89" s="9"/>
      <c r="J89" s="9"/>
      <c r="K89" t="str">
        <f t="shared" si="67"/>
        <v/>
      </c>
      <c r="L89" t="str">
        <f t="shared" si="68"/>
        <v/>
      </c>
      <c r="M89" t="str">
        <f t="shared" si="69"/>
        <v/>
      </c>
      <c r="N89" t="str">
        <f t="shared" si="70"/>
        <v/>
      </c>
    </row>
    <row r="90" spans="1:14" x14ac:dyDescent="0.3">
      <c r="A90" s="8" t="str">
        <f t="shared" si="71"/>
        <v>MST1</v>
      </c>
      <c r="B90" s="8" t="str">
        <f t="shared" si="63"/>
        <v/>
      </c>
      <c r="C90" s="10" t="e">
        <f t="shared" si="64"/>
        <v>#VALUE!</v>
      </c>
      <c r="D90" s="11" t="e">
        <f t="shared" si="65"/>
        <v>#VALUE!</v>
      </c>
      <c r="E90" s="12" t="e">
        <f t="shared" si="66"/>
        <v>#VALUE!</v>
      </c>
      <c r="G90" s="9"/>
      <c r="H90" s="9"/>
      <c r="I90" s="9"/>
      <c r="J90" s="9"/>
      <c r="K90" t="str">
        <f t="shared" si="67"/>
        <v/>
      </c>
      <c r="L90" t="str">
        <f t="shared" si="68"/>
        <v/>
      </c>
      <c r="M90" t="str">
        <f t="shared" si="69"/>
        <v/>
      </c>
      <c r="N90" t="str">
        <f t="shared" si="70"/>
        <v/>
      </c>
    </row>
    <row r="91" spans="1:14" x14ac:dyDescent="0.3">
      <c r="A91" s="8" t="str">
        <f t="shared" si="71"/>
        <v>MST1</v>
      </c>
      <c r="B91" s="8" t="str">
        <f t="shared" si="63"/>
        <v/>
      </c>
      <c r="C91" s="10" t="e">
        <f t="shared" si="64"/>
        <v>#VALUE!</v>
      </c>
      <c r="D91" s="11" t="e">
        <f t="shared" si="65"/>
        <v>#VALUE!</v>
      </c>
      <c r="E91" s="12" t="e">
        <f t="shared" si="66"/>
        <v>#VALUE!</v>
      </c>
      <c r="G91" s="9"/>
      <c r="H91" s="9"/>
      <c r="I91" s="9"/>
      <c r="J91" s="9"/>
      <c r="K91" t="str">
        <f t="shared" si="67"/>
        <v/>
      </c>
      <c r="L91" t="str">
        <f t="shared" si="68"/>
        <v/>
      </c>
      <c r="M91" t="str">
        <f t="shared" si="69"/>
        <v/>
      </c>
      <c r="N91" t="str">
        <f t="shared" si="70"/>
        <v/>
      </c>
    </row>
    <row r="92" spans="1:14" x14ac:dyDescent="0.3">
      <c r="A92" s="8" t="str">
        <f t="shared" si="71"/>
        <v>MST1</v>
      </c>
      <c r="B92" s="8" t="str">
        <f t="shared" si="63"/>
        <v/>
      </c>
      <c r="C92" s="10" t="e">
        <f t="shared" si="64"/>
        <v>#VALUE!</v>
      </c>
      <c r="D92" s="11" t="e">
        <f t="shared" si="65"/>
        <v>#VALUE!</v>
      </c>
      <c r="E92" s="12" t="e">
        <f t="shared" si="66"/>
        <v>#VALUE!</v>
      </c>
      <c r="G92" s="9"/>
      <c r="H92" s="9"/>
      <c r="I92" s="9"/>
      <c r="J92" s="9"/>
      <c r="K92" t="str">
        <f t="shared" si="67"/>
        <v/>
      </c>
      <c r="L92" t="str">
        <f t="shared" si="68"/>
        <v/>
      </c>
      <c r="M92" t="str">
        <f t="shared" si="69"/>
        <v/>
      </c>
      <c r="N92" t="str">
        <f t="shared" si="70"/>
        <v/>
      </c>
    </row>
    <row r="93" spans="1:14" x14ac:dyDescent="0.3">
      <c r="G93" s="9"/>
      <c r="H93" s="9"/>
      <c r="I93" s="9"/>
      <c r="J93" s="9"/>
    </row>
    <row r="94" spans="1:14" x14ac:dyDescent="0.3">
      <c r="A94" s="8" t="s">
        <v>1</v>
      </c>
      <c r="B94" s="8" t="str">
        <f t="shared" ref="B94:B103" si="72">K94&amp;G94</f>
        <v/>
      </c>
      <c r="C94" s="10" t="e">
        <f t="shared" ref="C94:C103" si="73">IF(LEFT(H94,1)="(",-VALUE(MID(H94,3,LEN(H94)-11)),VALUE(LEFT(H94,LEN(H94)-7)))</f>
        <v>#VALUE!</v>
      </c>
      <c r="D94" s="11" t="e">
        <f t="shared" ref="D94:D103" si="74">VALUE(RIGHT(I94,LEN(I94)-4))</f>
        <v>#VALUE!</v>
      </c>
      <c r="E94" s="12" t="e">
        <f t="shared" ref="E94:E103" si="75">C94*D94</f>
        <v>#VALUE!</v>
      </c>
      <c r="G94" s="9"/>
      <c r="H94" s="9"/>
      <c r="I94" s="9"/>
      <c r="J94" s="9"/>
      <c r="K94" t="str">
        <f t="shared" ref="K94:K103" si="76">IF(G94&lt;&gt;"",A94,"")&amp;IF(RIGHT(G94,2)="JP","-JPY",IF(RIGHT(G94,2)="AU","-AUD",IF(RIGHT(G94,2)="US","-USD","")))</f>
        <v/>
      </c>
      <c r="L94" t="str">
        <f t="shared" ref="L94:L103" si="77">IF(H94&lt;&gt;"",TEXT(LEFT(G94,LEN(G94)-3),"0000"),"")</f>
        <v/>
      </c>
      <c r="M94" t="str">
        <f t="shared" ref="M94:M103" si="78">IF(G94&lt;&gt;"",C94,"")</f>
        <v/>
      </c>
      <c r="N94" t="str">
        <f t="shared" ref="N94:N103" si="79">IF(G94&lt;&gt;"",D94,"")</f>
        <v/>
      </c>
    </row>
    <row r="95" spans="1:14" x14ac:dyDescent="0.3">
      <c r="A95" s="8" t="str">
        <f t="shared" ref="A95:A103" si="80">A94</f>
        <v>MST2</v>
      </c>
      <c r="B95" s="8" t="str">
        <f t="shared" si="72"/>
        <v/>
      </c>
      <c r="C95" s="10" t="e">
        <f t="shared" si="73"/>
        <v>#VALUE!</v>
      </c>
      <c r="D95" s="11" t="e">
        <f t="shared" si="74"/>
        <v>#VALUE!</v>
      </c>
      <c r="E95" s="12" t="e">
        <f t="shared" si="75"/>
        <v>#VALUE!</v>
      </c>
      <c r="G95" s="9"/>
      <c r="H95" s="9"/>
      <c r="I95" s="9"/>
      <c r="J95" s="9"/>
      <c r="K95" t="str">
        <f t="shared" si="76"/>
        <v/>
      </c>
      <c r="L95" t="str">
        <f t="shared" si="77"/>
        <v/>
      </c>
      <c r="M95" t="str">
        <f t="shared" si="78"/>
        <v/>
      </c>
      <c r="N95" t="str">
        <f t="shared" si="79"/>
        <v/>
      </c>
    </row>
    <row r="96" spans="1:14" x14ac:dyDescent="0.3">
      <c r="A96" s="8" t="str">
        <f t="shared" si="80"/>
        <v>MST2</v>
      </c>
      <c r="B96" s="8" t="str">
        <f t="shared" si="72"/>
        <v/>
      </c>
      <c r="C96" s="10" t="e">
        <f t="shared" si="73"/>
        <v>#VALUE!</v>
      </c>
      <c r="D96" s="11" t="e">
        <f t="shared" si="74"/>
        <v>#VALUE!</v>
      </c>
      <c r="E96" s="12" t="e">
        <f t="shared" si="75"/>
        <v>#VALUE!</v>
      </c>
      <c r="G96" s="9"/>
      <c r="H96" s="9"/>
      <c r="I96" s="9"/>
      <c r="J96" s="9"/>
      <c r="K96" t="str">
        <f t="shared" si="76"/>
        <v/>
      </c>
      <c r="L96" t="str">
        <f t="shared" si="77"/>
        <v/>
      </c>
      <c r="M96" t="str">
        <f t="shared" si="78"/>
        <v/>
      </c>
      <c r="N96" t="str">
        <f t="shared" si="79"/>
        <v/>
      </c>
    </row>
    <row r="97" spans="1:14" x14ac:dyDescent="0.3">
      <c r="A97" s="8" t="str">
        <f t="shared" si="80"/>
        <v>MST2</v>
      </c>
      <c r="B97" s="8" t="str">
        <f t="shared" si="72"/>
        <v/>
      </c>
      <c r="C97" s="10" t="e">
        <f t="shared" si="73"/>
        <v>#VALUE!</v>
      </c>
      <c r="D97" s="11" t="e">
        <f t="shared" si="74"/>
        <v>#VALUE!</v>
      </c>
      <c r="E97" s="12" t="e">
        <f t="shared" si="75"/>
        <v>#VALUE!</v>
      </c>
      <c r="G97" s="9"/>
      <c r="H97" s="13"/>
      <c r="I97" s="9"/>
      <c r="J97" s="9"/>
      <c r="K97" t="str">
        <f t="shared" si="76"/>
        <v/>
      </c>
      <c r="L97" t="str">
        <f t="shared" si="77"/>
        <v/>
      </c>
      <c r="M97" t="str">
        <f t="shared" si="78"/>
        <v/>
      </c>
      <c r="N97" t="str">
        <f t="shared" si="79"/>
        <v/>
      </c>
    </row>
    <row r="98" spans="1:14" x14ac:dyDescent="0.3">
      <c r="A98" s="8" t="str">
        <f t="shared" si="80"/>
        <v>MST2</v>
      </c>
      <c r="B98" s="8" t="str">
        <f t="shared" si="72"/>
        <v/>
      </c>
      <c r="C98" s="10" t="e">
        <f t="shared" si="73"/>
        <v>#VALUE!</v>
      </c>
      <c r="D98" s="11" t="e">
        <f t="shared" si="74"/>
        <v>#VALUE!</v>
      </c>
      <c r="E98" s="12" t="e">
        <f t="shared" si="75"/>
        <v>#VALUE!</v>
      </c>
      <c r="G98" s="9"/>
      <c r="H98" s="9"/>
      <c r="I98" s="9"/>
      <c r="J98" s="9"/>
      <c r="K98" t="str">
        <f t="shared" si="76"/>
        <v/>
      </c>
      <c r="L98" t="str">
        <f t="shared" si="77"/>
        <v/>
      </c>
      <c r="M98" t="str">
        <f t="shared" si="78"/>
        <v/>
      </c>
      <c r="N98" t="str">
        <f t="shared" si="79"/>
        <v/>
      </c>
    </row>
    <row r="99" spans="1:14" x14ac:dyDescent="0.3">
      <c r="A99" s="8" t="str">
        <f t="shared" si="80"/>
        <v>MST2</v>
      </c>
      <c r="B99" s="8" t="str">
        <f t="shared" si="72"/>
        <v/>
      </c>
      <c r="C99" s="10" t="e">
        <f t="shared" si="73"/>
        <v>#VALUE!</v>
      </c>
      <c r="D99" s="11" t="e">
        <f t="shared" si="74"/>
        <v>#VALUE!</v>
      </c>
      <c r="E99" s="12" t="e">
        <f t="shared" si="75"/>
        <v>#VALUE!</v>
      </c>
      <c r="G99" s="9"/>
      <c r="H99" s="9"/>
      <c r="I99" s="9"/>
      <c r="J99" s="9"/>
      <c r="K99" t="str">
        <f t="shared" si="76"/>
        <v/>
      </c>
      <c r="L99" t="str">
        <f t="shared" si="77"/>
        <v/>
      </c>
      <c r="M99" t="str">
        <f t="shared" si="78"/>
        <v/>
      </c>
      <c r="N99" t="str">
        <f t="shared" si="79"/>
        <v/>
      </c>
    </row>
    <row r="100" spans="1:14" x14ac:dyDescent="0.3">
      <c r="A100" s="8" t="str">
        <f t="shared" si="80"/>
        <v>MST2</v>
      </c>
      <c r="B100" s="8" t="str">
        <f t="shared" si="72"/>
        <v/>
      </c>
      <c r="C100" s="10" t="e">
        <f t="shared" si="73"/>
        <v>#VALUE!</v>
      </c>
      <c r="D100" s="11" t="e">
        <f t="shared" si="74"/>
        <v>#VALUE!</v>
      </c>
      <c r="E100" s="12" t="e">
        <f t="shared" si="75"/>
        <v>#VALUE!</v>
      </c>
      <c r="G100" s="9"/>
      <c r="H100" s="9"/>
      <c r="I100" s="9"/>
      <c r="J100" s="9"/>
      <c r="K100" t="str">
        <f t="shared" si="76"/>
        <v/>
      </c>
      <c r="L100" t="str">
        <f t="shared" si="77"/>
        <v/>
      </c>
      <c r="M100" t="str">
        <f t="shared" si="78"/>
        <v/>
      </c>
      <c r="N100" t="str">
        <f t="shared" si="79"/>
        <v/>
      </c>
    </row>
    <row r="101" spans="1:14" x14ac:dyDescent="0.3">
      <c r="A101" s="8" t="str">
        <f t="shared" si="80"/>
        <v>MST2</v>
      </c>
      <c r="B101" s="8" t="str">
        <f t="shared" si="72"/>
        <v/>
      </c>
      <c r="C101" s="10" t="e">
        <f t="shared" si="73"/>
        <v>#VALUE!</v>
      </c>
      <c r="D101" s="11" t="e">
        <f t="shared" si="74"/>
        <v>#VALUE!</v>
      </c>
      <c r="E101" s="12" t="e">
        <f t="shared" si="75"/>
        <v>#VALUE!</v>
      </c>
      <c r="G101" s="9"/>
      <c r="H101" s="9"/>
      <c r="I101" s="9"/>
      <c r="J101" s="9"/>
      <c r="K101" t="str">
        <f t="shared" si="76"/>
        <v/>
      </c>
      <c r="L101" t="str">
        <f t="shared" si="77"/>
        <v/>
      </c>
      <c r="M101" t="str">
        <f t="shared" si="78"/>
        <v/>
      </c>
      <c r="N101" t="str">
        <f t="shared" si="79"/>
        <v/>
      </c>
    </row>
    <row r="102" spans="1:14" x14ac:dyDescent="0.3">
      <c r="A102" s="8" t="str">
        <f t="shared" si="80"/>
        <v>MST2</v>
      </c>
      <c r="B102" s="8" t="str">
        <f t="shared" si="72"/>
        <v/>
      </c>
      <c r="C102" s="10" t="e">
        <f t="shared" si="73"/>
        <v>#VALUE!</v>
      </c>
      <c r="D102" s="11" t="e">
        <f t="shared" si="74"/>
        <v>#VALUE!</v>
      </c>
      <c r="E102" s="12" t="e">
        <f t="shared" si="75"/>
        <v>#VALUE!</v>
      </c>
      <c r="G102" s="9"/>
      <c r="H102" s="9"/>
      <c r="I102" s="9"/>
      <c r="J102" s="9"/>
      <c r="K102" t="str">
        <f t="shared" si="76"/>
        <v/>
      </c>
      <c r="L102" t="str">
        <f t="shared" si="77"/>
        <v/>
      </c>
      <c r="M102" t="str">
        <f t="shared" si="78"/>
        <v/>
      </c>
      <c r="N102" t="str">
        <f t="shared" si="79"/>
        <v/>
      </c>
    </row>
    <row r="103" spans="1:14" x14ac:dyDescent="0.3">
      <c r="A103" s="8" t="str">
        <f t="shared" si="80"/>
        <v>MST2</v>
      </c>
      <c r="B103" s="8" t="str">
        <f t="shared" si="72"/>
        <v/>
      </c>
      <c r="C103" s="10" t="e">
        <f t="shared" si="73"/>
        <v>#VALUE!</v>
      </c>
      <c r="D103" s="11" t="e">
        <f t="shared" si="74"/>
        <v>#VALUE!</v>
      </c>
      <c r="E103" s="12" t="e">
        <f t="shared" si="75"/>
        <v>#VALUE!</v>
      </c>
      <c r="G103" s="9"/>
      <c r="H103" s="9"/>
      <c r="I103" s="9"/>
      <c r="J103" s="9"/>
      <c r="K103" t="str">
        <f t="shared" si="76"/>
        <v/>
      </c>
      <c r="L103" t="str">
        <f t="shared" si="77"/>
        <v/>
      </c>
      <c r="M103" t="str">
        <f t="shared" si="78"/>
        <v/>
      </c>
      <c r="N103" t="str">
        <f t="shared" si="79"/>
        <v/>
      </c>
    </row>
    <row r="104" spans="1:14" x14ac:dyDescent="0.3">
      <c r="G104" s="9"/>
      <c r="H104" s="9"/>
      <c r="I104" s="9"/>
      <c r="J104" s="9"/>
    </row>
    <row r="105" spans="1:14" x14ac:dyDescent="0.3">
      <c r="A105" s="8" t="s">
        <v>2</v>
      </c>
      <c r="B105" s="8" t="str">
        <f t="shared" ref="B105:B116" si="81">K105&amp;G105</f>
        <v/>
      </c>
      <c r="C105" s="10" t="e">
        <f t="shared" ref="C105:C116" si="82">IF(LEFT(H105,1)="(",-VALUE(MID(H105,3,LEN(H105)-11)),VALUE(LEFT(H105,LEN(H105)-7)))</f>
        <v>#VALUE!</v>
      </c>
      <c r="D105" s="11" t="e">
        <f t="shared" ref="D105:D116" si="83">VALUE(RIGHT(I105,LEN(I105)-4))</f>
        <v>#VALUE!</v>
      </c>
      <c r="E105" s="12" t="e">
        <f t="shared" ref="E105:E116" si="84">C105*D105</f>
        <v>#VALUE!</v>
      </c>
      <c r="G105" s="9"/>
      <c r="H105" s="13"/>
      <c r="I105" s="9"/>
      <c r="J105" s="9"/>
      <c r="K105" t="str">
        <f t="shared" ref="K105:K116" si="85">IF(G105&lt;&gt;"",A105,"")&amp;IF(RIGHT(G105,2)="JP","-JPY",IF(RIGHT(G105,2)="AU","-AUD",IF(RIGHT(G105,2)="US","-USD","")))</f>
        <v/>
      </c>
      <c r="L105" t="str">
        <f t="shared" ref="L105:L116" si="86">IF(H105&lt;&gt;"",TEXT(LEFT(G105,LEN(G105)-3),"0000"),"")</f>
        <v/>
      </c>
      <c r="M105" t="str">
        <f t="shared" ref="M105:M116" si="87">IF(G105&lt;&gt;"",C105,"")</f>
        <v/>
      </c>
      <c r="N105" t="str">
        <f t="shared" ref="N105:N116" si="88">IF(G105&lt;&gt;"",D105,"")</f>
        <v/>
      </c>
    </row>
    <row r="106" spans="1:14" x14ac:dyDescent="0.3">
      <c r="A106" s="8" t="str">
        <f t="shared" ref="A106:A113" si="89">A105</f>
        <v>MSPL</v>
      </c>
      <c r="B106" s="8" t="str">
        <f t="shared" si="81"/>
        <v/>
      </c>
      <c r="C106" s="10" t="e">
        <f t="shared" si="82"/>
        <v>#VALUE!</v>
      </c>
      <c r="D106" s="11" t="e">
        <f t="shared" si="83"/>
        <v>#VALUE!</v>
      </c>
      <c r="E106" s="12" t="e">
        <f t="shared" si="84"/>
        <v>#VALUE!</v>
      </c>
      <c r="G106" s="9"/>
      <c r="H106" s="9"/>
      <c r="I106" s="9"/>
      <c r="J106" s="9"/>
      <c r="K106" t="str">
        <f t="shared" si="85"/>
        <v/>
      </c>
      <c r="L106" t="str">
        <f t="shared" si="86"/>
        <v/>
      </c>
      <c r="M106" t="str">
        <f t="shared" si="87"/>
        <v/>
      </c>
      <c r="N106" t="str">
        <f t="shared" si="88"/>
        <v/>
      </c>
    </row>
    <row r="107" spans="1:14" x14ac:dyDescent="0.3">
      <c r="A107" s="8" t="str">
        <f t="shared" si="89"/>
        <v>MSPL</v>
      </c>
      <c r="B107" s="8" t="str">
        <f t="shared" si="81"/>
        <v/>
      </c>
      <c r="C107" s="10" t="e">
        <f t="shared" si="82"/>
        <v>#VALUE!</v>
      </c>
      <c r="D107" s="11" t="e">
        <f t="shared" si="83"/>
        <v>#VALUE!</v>
      </c>
      <c r="E107" s="12" t="e">
        <f t="shared" si="84"/>
        <v>#VALUE!</v>
      </c>
      <c r="G107" s="9"/>
      <c r="H107" s="9"/>
      <c r="I107" s="9"/>
      <c r="J107" s="9"/>
      <c r="K107" t="str">
        <f t="shared" si="85"/>
        <v/>
      </c>
      <c r="L107" t="str">
        <f t="shared" si="86"/>
        <v/>
      </c>
      <c r="M107" t="str">
        <f t="shared" si="87"/>
        <v/>
      </c>
      <c r="N107" t="str">
        <f t="shared" si="88"/>
        <v/>
      </c>
    </row>
    <row r="108" spans="1:14" x14ac:dyDescent="0.3">
      <c r="A108" s="8" t="str">
        <f t="shared" si="89"/>
        <v>MSPL</v>
      </c>
      <c r="B108" s="8" t="str">
        <f t="shared" si="81"/>
        <v/>
      </c>
      <c r="C108" s="10" t="e">
        <f t="shared" si="82"/>
        <v>#VALUE!</v>
      </c>
      <c r="D108" s="11" t="e">
        <f t="shared" si="83"/>
        <v>#VALUE!</v>
      </c>
      <c r="E108" s="12" t="e">
        <f t="shared" si="84"/>
        <v>#VALUE!</v>
      </c>
      <c r="G108" s="9"/>
      <c r="H108" s="9"/>
      <c r="I108" s="9"/>
      <c r="J108" s="9"/>
      <c r="K108" t="str">
        <f t="shared" si="85"/>
        <v/>
      </c>
      <c r="L108" t="str">
        <f t="shared" si="86"/>
        <v/>
      </c>
      <c r="M108" t="str">
        <f t="shared" si="87"/>
        <v/>
      </c>
      <c r="N108" t="str">
        <f t="shared" si="88"/>
        <v/>
      </c>
    </row>
    <row r="109" spans="1:14" x14ac:dyDescent="0.3">
      <c r="A109" s="8" t="str">
        <f t="shared" si="89"/>
        <v>MSPL</v>
      </c>
      <c r="B109" s="8" t="str">
        <f t="shared" si="81"/>
        <v/>
      </c>
      <c r="C109" s="10" t="e">
        <f t="shared" si="82"/>
        <v>#VALUE!</v>
      </c>
      <c r="D109" s="11" t="e">
        <f t="shared" si="83"/>
        <v>#VALUE!</v>
      </c>
      <c r="E109" s="12" t="e">
        <f t="shared" si="84"/>
        <v>#VALUE!</v>
      </c>
      <c r="G109" s="9"/>
      <c r="H109" s="9"/>
      <c r="I109" s="9"/>
      <c r="J109" s="9"/>
      <c r="K109" t="str">
        <f t="shared" si="85"/>
        <v/>
      </c>
      <c r="L109" t="str">
        <f t="shared" si="86"/>
        <v/>
      </c>
      <c r="M109" t="str">
        <f t="shared" si="87"/>
        <v/>
      </c>
      <c r="N109" t="str">
        <f t="shared" si="88"/>
        <v/>
      </c>
    </row>
    <row r="110" spans="1:14" x14ac:dyDescent="0.3">
      <c r="A110" s="8" t="str">
        <f t="shared" si="89"/>
        <v>MSPL</v>
      </c>
      <c r="B110" s="8" t="str">
        <f t="shared" si="81"/>
        <v/>
      </c>
      <c r="C110" s="10" t="e">
        <f t="shared" si="82"/>
        <v>#VALUE!</v>
      </c>
      <c r="D110" s="11" t="e">
        <f t="shared" si="83"/>
        <v>#VALUE!</v>
      </c>
      <c r="E110" s="12" t="e">
        <f t="shared" si="84"/>
        <v>#VALUE!</v>
      </c>
      <c r="G110" s="9"/>
      <c r="H110" s="9"/>
      <c r="I110" s="9"/>
      <c r="J110" s="9"/>
      <c r="K110" t="str">
        <f t="shared" si="85"/>
        <v/>
      </c>
      <c r="L110" t="str">
        <f t="shared" si="86"/>
        <v/>
      </c>
      <c r="M110" t="str">
        <f t="shared" si="87"/>
        <v/>
      </c>
      <c r="N110" t="str">
        <f t="shared" si="88"/>
        <v/>
      </c>
    </row>
    <row r="111" spans="1:14" x14ac:dyDescent="0.3">
      <c r="A111" s="8" t="str">
        <f t="shared" si="89"/>
        <v>MSPL</v>
      </c>
      <c r="B111" s="8" t="str">
        <f t="shared" si="81"/>
        <v/>
      </c>
      <c r="C111" s="10" t="e">
        <f t="shared" si="82"/>
        <v>#VALUE!</v>
      </c>
      <c r="D111" s="11" t="e">
        <f t="shared" si="83"/>
        <v>#VALUE!</v>
      </c>
      <c r="E111" s="12" t="e">
        <f t="shared" si="84"/>
        <v>#VALUE!</v>
      </c>
      <c r="G111" s="9"/>
      <c r="H111" s="9"/>
      <c r="I111" s="9"/>
      <c r="J111" s="9"/>
      <c r="K111" t="str">
        <f t="shared" si="85"/>
        <v/>
      </c>
      <c r="L111" t="str">
        <f t="shared" si="86"/>
        <v/>
      </c>
      <c r="M111" t="str">
        <f t="shared" si="87"/>
        <v/>
      </c>
      <c r="N111" t="str">
        <f t="shared" si="88"/>
        <v/>
      </c>
    </row>
    <row r="112" spans="1:14" x14ac:dyDescent="0.3">
      <c r="A112" s="8" t="str">
        <f t="shared" si="89"/>
        <v>MSPL</v>
      </c>
      <c r="B112" s="8" t="str">
        <f t="shared" si="81"/>
        <v/>
      </c>
      <c r="C112" s="10" t="e">
        <f t="shared" si="82"/>
        <v>#VALUE!</v>
      </c>
      <c r="D112" s="11" t="e">
        <f t="shared" si="83"/>
        <v>#VALUE!</v>
      </c>
      <c r="E112" s="12" t="e">
        <f t="shared" si="84"/>
        <v>#VALUE!</v>
      </c>
      <c r="G112" s="9"/>
      <c r="H112" s="9"/>
      <c r="I112" s="9"/>
      <c r="J112" s="9"/>
      <c r="K112" t="str">
        <f t="shared" si="85"/>
        <v/>
      </c>
      <c r="L112" t="str">
        <f t="shared" si="86"/>
        <v/>
      </c>
      <c r="M112" t="str">
        <f t="shared" si="87"/>
        <v/>
      </c>
      <c r="N112" t="str">
        <f t="shared" si="88"/>
        <v/>
      </c>
    </row>
    <row r="113" spans="1:14" x14ac:dyDescent="0.3">
      <c r="A113" s="8" t="str">
        <f t="shared" si="89"/>
        <v>MSPL</v>
      </c>
      <c r="B113" s="8" t="str">
        <f t="shared" si="81"/>
        <v/>
      </c>
      <c r="C113" s="10" t="e">
        <f t="shared" si="82"/>
        <v>#VALUE!</v>
      </c>
      <c r="D113" s="11" t="e">
        <f t="shared" si="83"/>
        <v>#VALUE!</v>
      </c>
      <c r="E113" s="12" t="e">
        <f t="shared" si="84"/>
        <v>#VALUE!</v>
      </c>
      <c r="G113" s="9"/>
      <c r="H113" s="13"/>
      <c r="I113" s="9"/>
      <c r="J113" s="9"/>
      <c r="K113" t="str">
        <f t="shared" si="85"/>
        <v/>
      </c>
      <c r="L113" t="str">
        <f t="shared" si="86"/>
        <v/>
      </c>
      <c r="M113" t="str">
        <f t="shared" si="87"/>
        <v/>
      </c>
      <c r="N113" t="str">
        <f t="shared" si="88"/>
        <v/>
      </c>
    </row>
    <row r="114" spans="1:14" x14ac:dyDescent="0.3">
      <c r="A114" s="8" t="str">
        <f>A112</f>
        <v>MSPL</v>
      </c>
      <c r="B114" s="8" t="str">
        <f t="shared" si="81"/>
        <v/>
      </c>
      <c r="C114" s="10" t="e">
        <f t="shared" si="82"/>
        <v>#VALUE!</v>
      </c>
      <c r="D114" s="11" t="e">
        <f t="shared" si="83"/>
        <v>#VALUE!</v>
      </c>
      <c r="E114" s="12" t="e">
        <f t="shared" si="84"/>
        <v>#VALUE!</v>
      </c>
      <c r="G114" s="9"/>
      <c r="H114" s="9"/>
      <c r="I114" s="9"/>
      <c r="J114" s="9"/>
      <c r="K114" t="str">
        <f t="shared" si="85"/>
        <v/>
      </c>
      <c r="L114" t="str">
        <f t="shared" si="86"/>
        <v/>
      </c>
      <c r="M114" t="str">
        <f t="shared" si="87"/>
        <v/>
      </c>
      <c r="N114" t="str">
        <f t="shared" si="88"/>
        <v/>
      </c>
    </row>
    <row r="115" spans="1:14" x14ac:dyDescent="0.3">
      <c r="A115" s="8" t="str">
        <f>A112</f>
        <v>MSPL</v>
      </c>
      <c r="B115" s="8" t="str">
        <f t="shared" si="81"/>
        <v/>
      </c>
      <c r="C115" s="10" t="e">
        <f t="shared" si="82"/>
        <v>#VALUE!</v>
      </c>
      <c r="D115" s="11" t="e">
        <f t="shared" si="83"/>
        <v>#VALUE!</v>
      </c>
      <c r="E115" s="12" t="e">
        <f t="shared" si="84"/>
        <v>#VALUE!</v>
      </c>
      <c r="G115" s="9"/>
      <c r="H115" s="9"/>
      <c r="I115" s="9"/>
      <c r="J115" s="9"/>
      <c r="K115" t="str">
        <f t="shared" si="85"/>
        <v/>
      </c>
      <c r="L115" t="str">
        <f t="shared" si="86"/>
        <v/>
      </c>
      <c r="M115" t="str">
        <f t="shared" si="87"/>
        <v/>
      </c>
      <c r="N115" t="str">
        <f t="shared" si="88"/>
        <v/>
      </c>
    </row>
    <row r="116" spans="1:14" x14ac:dyDescent="0.3">
      <c r="A116" s="8" t="str">
        <f>A113</f>
        <v>MSPL</v>
      </c>
      <c r="B116" s="8" t="str">
        <f t="shared" si="81"/>
        <v/>
      </c>
      <c r="C116" s="10" t="e">
        <f t="shared" si="82"/>
        <v>#VALUE!</v>
      </c>
      <c r="D116" s="11" t="e">
        <f t="shared" si="83"/>
        <v>#VALUE!</v>
      </c>
      <c r="E116" s="12" t="e">
        <f t="shared" si="84"/>
        <v>#VALUE!</v>
      </c>
      <c r="G116" s="9"/>
      <c r="H116" s="9"/>
      <c r="I116" s="9"/>
      <c r="J116" s="9"/>
      <c r="K116" t="str">
        <f t="shared" si="85"/>
        <v/>
      </c>
      <c r="L116" t="str">
        <f t="shared" si="86"/>
        <v/>
      </c>
      <c r="M116" t="str">
        <f t="shared" si="87"/>
        <v/>
      </c>
      <c r="N116" t="str">
        <f t="shared" si="88"/>
        <v/>
      </c>
    </row>
    <row r="117" spans="1:14" x14ac:dyDescent="0.3">
      <c r="G117" s="9"/>
      <c r="H117" s="9"/>
      <c r="I117" s="9"/>
      <c r="J117" s="9"/>
    </row>
    <row r="118" spans="1:14" x14ac:dyDescent="0.3">
      <c r="A118" s="8" t="s">
        <v>24</v>
      </c>
      <c r="B118" s="8" t="str">
        <f t="shared" ref="B118:B127" si="90">K118&amp;G118</f>
        <v/>
      </c>
      <c r="C118" s="10" t="e">
        <f t="shared" ref="C118:C127" si="91">IF(LEFT(H118,1)="(",-VALUE(MID(H118,3,LEN(H118)-11)),VALUE(LEFT(H118,LEN(H118)-7)))</f>
        <v>#VALUE!</v>
      </c>
      <c r="D118" s="11" t="e">
        <f t="shared" ref="D118:D127" si="92">VALUE(RIGHT(I118,LEN(I118)-4))</f>
        <v>#VALUE!</v>
      </c>
      <c r="E118" s="12" t="e">
        <f t="shared" ref="E118:E127" si="93">C118*D118</f>
        <v>#VALUE!</v>
      </c>
      <c r="G118" s="9"/>
      <c r="H118" s="9"/>
      <c r="I118" s="9"/>
      <c r="J118" s="9"/>
      <c r="K118" t="str">
        <f t="shared" ref="K118:K127" si="94">IF(G118&lt;&gt;"",A118,"")&amp;IF(RIGHT(G118,2)="JP","-JPY",IF(RIGHT(G118,2)="AU","-AUD",IF(RIGHT(G118,2)="US","-USD","")))</f>
        <v/>
      </c>
      <c r="L118" t="str">
        <f t="shared" ref="L118:L127" si="95">IF(H118&lt;&gt;"",TEXT(LEFT(G118,LEN(G118)-3),"0000"),"")</f>
        <v/>
      </c>
      <c r="M118" t="str">
        <f t="shared" ref="M118:M127" si="96">IF(G118&lt;&gt;"",C118,"")</f>
        <v/>
      </c>
      <c r="N118" t="str">
        <f t="shared" ref="N118:N127" si="97">IF(G118&lt;&gt;"",D118,"")</f>
        <v/>
      </c>
    </row>
    <row r="119" spans="1:14" x14ac:dyDescent="0.3">
      <c r="A119" s="8" t="str">
        <f t="shared" ref="A119:A127" si="98">A118</f>
        <v>SHK</v>
      </c>
      <c r="B119" s="8" t="str">
        <f t="shared" si="90"/>
        <v/>
      </c>
      <c r="C119" s="10" t="e">
        <f t="shared" si="91"/>
        <v>#VALUE!</v>
      </c>
      <c r="D119" s="11" t="e">
        <f t="shared" si="92"/>
        <v>#VALUE!</v>
      </c>
      <c r="E119" s="12" t="e">
        <f t="shared" si="93"/>
        <v>#VALUE!</v>
      </c>
      <c r="G119" s="9"/>
      <c r="H119" s="9"/>
      <c r="I119" s="9"/>
      <c r="J119" s="9"/>
      <c r="K119" t="str">
        <f t="shared" si="94"/>
        <v/>
      </c>
      <c r="L119" t="str">
        <f t="shared" si="95"/>
        <v/>
      </c>
      <c r="M119" t="str">
        <f t="shared" si="96"/>
        <v/>
      </c>
      <c r="N119" t="str">
        <f t="shared" si="97"/>
        <v/>
      </c>
    </row>
    <row r="120" spans="1:14" x14ac:dyDescent="0.3">
      <c r="A120" s="8" t="str">
        <f t="shared" si="98"/>
        <v>SHK</v>
      </c>
      <c r="B120" s="8" t="str">
        <f t="shared" si="90"/>
        <v/>
      </c>
      <c r="C120" s="10" t="e">
        <f t="shared" si="91"/>
        <v>#VALUE!</v>
      </c>
      <c r="D120" s="11" t="e">
        <f t="shared" si="92"/>
        <v>#VALUE!</v>
      </c>
      <c r="E120" s="12" t="e">
        <f t="shared" si="93"/>
        <v>#VALUE!</v>
      </c>
      <c r="G120" s="9"/>
      <c r="H120" s="9"/>
      <c r="I120" s="9"/>
      <c r="J120" s="9"/>
      <c r="K120" t="str">
        <f t="shared" si="94"/>
        <v/>
      </c>
      <c r="L120" t="str">
        <f t="shared" si="95"/>
        <v/>
      </c>
      <c r="M120" t="str">
        <f t="shared" si="96"/>
        <v/>
      </c>
      <c r="N120" t="str">
        <f t="shared" si="97"/>
        <v/>
      </c>
    </row>
    <row r="121" spans="1:14" x14ac:dyDescent="0.3">
      <c r="A121" s="8" t="str">
        <f t="shared" si="98"/>
        <v>SHK</v>
      </c>
      <c r="B121" s="8" t="str">
        <f t="shared" si="90"/>
        <v/>
      </c>
      <c r="C121" s="10" t="e">
        <f t="shared" si="91"/>
        <v>#VALUE!</v>
      </c>
      <c r="D121" s="11" t="e">
        <f t="shared" si="92"/>
        <v>#VALUE!</v>
      </c>
      <c r="E121" s="12" t="e">
        <f t="shared" si="93"/>
        <v>#VALUE!</v>
      </c>
      <c r="G121" s="9"/>
      <c r="H121" s="9"/>
      <c r="I121" s="9"/>
      <c r="J121" s="9"/>
      <c r="K121" t="str">
        <f t="shared" si="94"/>
        <v/>
      </c>
      <c r="L121" t="str">
        <f t="shared" si="95"/>
        <v/>
      </c>
      <c r="M121" t="str">
        <f t="shared" si="96"/>
        <v/>
      </c>
      <c r="N121" t="str">
        <f t="shared" si="97"/>
        <v/>
      </c>
    </row>
    <row r="122" spans="1:14" x14ac:dyDescent="0.3">
      <c r="A122" s="8" t="str">
        <f t="shared" si="98"/>
        <v>SHK</v>
      </c>
      <c r="B122" s="8" t="str">
        <f t="shared" si="90"/>
        <v/>
      </c>
      <c r="C122" s="10" t="e">
        <f t="shared" si="91"/>
        <v>#VALUE!</v>
      </c>
      <c r="D122" s="11" t="e">
        <f t="shared" si="92"/>
        <v>#VALUE!</v>
      </c>
      <c r="E122" s="12" t="e">
        <f t="shared" si="93"/>
        <v>#VALUE!</v>
      </c>
      <c r="G122" s="9"/>
      <c r="H122" s="9"/>
      <c r="I122" s="9"/>
      <c r="J122" s="9"/>
      <c r="K122" t="str">
        <f t="shared" si="94"/>
        <v/>
      </c>
      <c r="L122" t="str">
        <f t="shared" si="95"/>
        <v/>
      </c>
      <c r="M122" t="str">
        <f t="shared" si="96"/>
        <v/>
      </c>
      <c r="N122" t="str">
        <f t="shared" si="97"/>
        <v/>
      </c>
    </row>
    <row r="123" spans="1:14" x14ac:dyDescent="0.3">
      <c r="A123" s="8" t="str">
        <f t="shared" si="98"/>
        <v>SHK</v>
      </c>
      <c r="B123" s="8" t="str">
        <f t="shared" si="90"/>
        <v/>
      </c>
      <c r="C123" s="10" t="e">
        <f t="shared" si="91"/>
        <v>#VALUE!</v>
      </c>
      <c r="D123" s="11" t="e">
        <f t="shared" si="92"/>
        <v>#VALUE!</v>
      </c>
      <c r="E123" s="12" t="e">
        <f t="shared" si="93"/>
        <v>#VALUE!</v>
      </c>
      <c r="G123" s="9"/>
      <c r="H123" s="9"/>
      <c r="I123" s="9"/>
      <c r="J123" s="9"/>
      <c r="K123" t="str">
        <f t="shared" si="94"/>
        <v/>
      </c>
      <c r="L123" t="str">
        <f t="shared" si="95"/>
        <v/>
      </c>
      <c r="M123" t="str">
        <f t="shared" si="96"/>
        <v/>
      </c>
      <c r="N123" t="str">
        <f t="shared" si="97"/>
        <v/>
      </c>
    </row>
    <row r="124" spans="1:14" x14ac:dyDescent="0.3">
      <c r="A124" s="8" t="str">
        <f t="shared" si="98"/>
        <v>SHK</v>
      </c>
      <c r="B124" s="8" t="str">
        <f t="shared" si="90"/>
        <v/>
      </c>
      <c r="C124" s="10" t="e">
        <f t="shared" si="91"/>
        <v>#VALUE!</v>
      </c>
      <c r="D124" s="11" t="e">
        <f t="shared" si="92"/>
        <v>#VALUE!</v>
      </c>
      <c r="E124" s="12" t="e">
        <f t="shared" si="93"/>
        <v>#VALUE!</v>
      </c>
      <c r="G124" s="9"/>
      <c r="H124" s="9"/>
      <c r="I124" s="9"/>
      <c r="J124" s="9"/>
      <c r="K124" t="str">
        <f t="shared" si="94"/>
        <v/>
      </c>
      <c r="L124" t="str">
        <f t="shared" si="95"/>
        <v/>
      </c>
      <c r="M124" t="str">
        <f t="shared" si="96"/>
        <v/>
      </c>
      <c r="N124" t="str">
        <f t="shared" si="97"/>
        <v/>
      </c>
    </row>
    <row r="125" spans="1:14" x14ac:dyDescent="0.3">
      <c r="A125" s="8" t="str">
        <f t="shared" si="98"/>
        <v>SHK</v>
      </c>
      <c r="B125" s="8" t="str">
        <f t="shared" si="90"/>
        <v/>
      </c>
      <c r="C125" s="10" t="e">
        <f t="shared" si="91"/>
        <v>#VALUE!</v>
      </c>
      <c r="D125" s="11" t="e">
        <f t="shared" si="92"/>
        <v>#VALUE!</v>
      </c>
      <c r="E125" s="12" t="e">
        <f t="shared" si="93"/>
        <v>#VALUE!</v>
      </c>
      <c r="G125" s="9"/>
      <c r="H125" s="9"/>
      <c r="I125" s="9"/>
      <c r="J125" s="9"/>
      <c r="K125" t="str">
        <f t="shared" si="94"/>
        <v/>
      </c>
      <c r="L125" t="str">
        <f t="shared" si="95"/>
        <v/>
      </c>
      <c r="M125" t="str">
        <f t="shared" si="96"/>
        <v/>
      </c>
      <c r="N125" t="str">
        <f t="shared" si="97"/>
        <v/>
      </c>
    </row>
    <row r="126" spans="1:14" x14ac:dyDescent="0.3">
      <c r="A126" s="8" t="str">
        <f t="shared" si="98"/>
        <v>SHK</v>
      </c>
      <c r="B126" s="8" t="str">
        <f t="shared" si="90"/>
        <v/>
      </c>
      <c r="C126" s="10" t="e">
        <f t="shared" si="91"/>
        <v>#VALUE!</v>
      </c>
      <c r="D126" s="11" t="e">
        <f t="shared" si="92"/>
        <v>#VALUE!</v>
      </c>
      <c r="E126" s="12" t="e">
        <f t="shared" si="93"/>
        <v>#VALUE!</v>
      </c>
      <c r="G126" s="9"/>
      <c r="H126" s="9"/>
      <c r="I126" s="9"/>
      <c r="J126" s="9"/>
      <c r="K126" t="str">
        <f t="shared" si="94"/>
        <v/>
      </c>
      <c r="L126" t="str">
        <f t="shared" si="95"/>
        <v/>
      </c>
      <c r="M126" t="str">
        <f t="shared" si="96"/>
        <v/>
      </c>
      <c r="N126" t="str">
        <f t="shared" si="97"/>
        <v/>
      </c>
    </row>
    <row r="127" spans="1:14" x14ac:dyDescent="0.3">
      <c r="A127" s="8" t="str">
        <f t="shared" si="98"/>
        <v>SHK</v>
      </c>
      <c r="B127" s="8" t="str">
        <f t="shared" si="90"/>
        <v/>
      </c>
      <c r="C127" s="10" t="e">
        <f t="shared" si="91"/>
        <v>#VALUE!</v>
      </c>
      <c r="D127" s="11" t="e">
        <f t="shared" si="92"/>
        <v>#VALUE!</v>
      </c>
      <c r="E127" s="12" t="e">
        <f t="shared" si="93"/>
        <v>#VALUE!</v>
      </c>
      <c r="G127" s="9"/>
      <c r="H127" s="9"/>
      <c r="I127" s="9"/>
      <c r="J127" s="9"/>
      <c r="K127" t="str">
        <f t="shared" si="94"/>
        <v/>
      </c>
      <c r="L127" t="str">
        <f t="shared" si="95"/>
        <v/>
      </c>
      <c r="M127" t="str">
        <f t="shared" si="96"/>
        <v/>
      </c>
      <c r="N127" t="str">
        <f t="shared" si="97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3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27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33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34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35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6" t="s">
        <v>25</v>
      </c>
      <c r="K1" s="14"/>
      <c r="L1" s="14"/>
      <c r="M1" s="14"/>
      <c r="N1" s="14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8" t="s">
        <v>28</v>
      </c>
      <c r="K1" s="17"/>
      <c r="L1" s="17"/>
      <c r="M1" s="17"/>
      <c r="N1" s="17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0" t="s">
        <v>29</v>
      </c>
      <c r="K1" s="19"/>
      <c r="L1" s="19"/>
      <c r="M1" s="19"/>
      <c r="N1" s="19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2" t="s">
        <v>30</v>
      </c>
      <c r="K1" s="21"/>
      <c r="L1" s="21"/>
      <c r="M1" s="21"/>
      <c r="N1" s="21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N3"/>
  <sheetViews>
    <sheetView zoomScaleNormal="100" workbookViewId="0">
      <selection activeCell="J2" sqref="J2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4" t="s">
        <v>44</v>
      </c>
      <c r="K1" s="23"/>
      <c r="L1" s="23"/>
      <c r="M1" s="23"/>
      <c r="N1" s="23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6B75-395D-45F5-98E0-60F5445F33AD}">
  <dimension ref="C1:N3"/>
  <sheetViews>
    <sheetView zoomScaleNormal="100" workbookViewId="0">
      <selection activeCell="J2" sqref="J2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4" t="s">
        <v>45</v>
      </c>
      <c r="K1" s="23"/>
      <c r="L1" s="23"/>
      <c r="M1" s="23"/>
      <c r="N1" s="23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10" customWidth="1"/>
    <col min="13" max="13" width="8" customWidth="1"/>
    <col min="14" max="14" width="9" customWidth="1"/>
  </cols>
  <sheetData>
    <row r="1" spans="3:14" ht="23.4" x14ac:dyDescent="0.3">
      <c r="J1" s="4" t="s">
        <v>32</v>
      </c>
      <c r="K1" s="5"/>
      <c r="L1" s="5"/>
      <c r="M1" s="5"/>
      <c r="N1" s="5"/>
    </row>
    <row r="3" spans="3:14" ht="18" x14ac:dyDescent="0.3">
      <c r="C3" s="3" t="s">
        <v>4</v>
      </c>
      <c r="D3" s="27" t="s">
        <v>31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4" t="s">
        <v>6</v>
      </c>
      <c r="K1" s="5"/>
      <c r="L1" s="5"/>
      <c r="M1" s="5"/>
      <c r="N1" s="5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6" t="s">
        <v>7</v>
      </c>
      <c r="K1" s="7"/>
      <c r="L1" s="7"/>
      <c r="M1" s="7"/>
      <c r="N1" s="7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36F1-8C70-440B-B4FB-BDC4D5AC4742}">
  <dimension ref="C1:N3"/>
  <sheetViews>
    <sheetView zoomScaleNormal="100" workbookViewId="0">
      <selection activeCell="J18" sqref="J18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5" t="s">
        <v>46</v>
      </c>
      <c r="K1" s="26"/>
      <c r="L1" s="26"/>
      <c r="M1" s="26"/>
      <c r="N1" s="26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5546875" customWidth="1"/>
    <col min="13" max="13" width="8" customWidth="1"/>
    <col min="14" max="14" width="9" customWidth="1"/>
  </cols>
  <sheetData>
    <row r="1" spans="3:14" ht="23.4" x14ac:dyDescent="0.3">
      <c r="J1" s="16" t="s">
        <v>36</v>
      </c>
      <c r="K1" s="14"/>
      <c r="L1" s="14"/>
      <c r="M1" s="14"/>
      <c r="N1" s="14"/>
    </row>
    <row r="3" spans="3:14" ht="18" x14ac:dyDescent="0.3">
      <c r="C3" s="15" t="s">
        <v>4</v>
      </c>
      <c r="D3" s="28" t="s">
        <v>5</v>
      </c>
      <c r="E3" s="28"/>
      <c r="F3" s="28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6" t="s">
        <v>37</v>
      </c>
      <c r="K1" s="7"/>
      <c r="L1" s="7"/>
      <c r="M1" s="7"/>
      <c r="N1" s="7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6" t="s">
        <v>38</v>
      </c>
      <c r="K1" s="7"/>
      <c r="L1" s="7"/>
      <c r="M1" s="7"/>
      <c r="N1" s="7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39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" t="s">
        <v>40</v>
      </c>
      <c r="K1" s="2"/>
      <c r="L1" s="2"/>
      <c r="M1" s="2"/>
      <c r="N1" s="2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5546875" customWidth="1"/>
    <col min="13" max="13" width="8" customWidth="1"/>
    <col min="14" max="14" width="9" customWidth="1"/>
  </cols>
  <sheetData>
    <row r="1" spans="3:14" ht="23.4" x14ac:dyDescent="0.3">
      <c r="J1" s="16" t="s">
        <v>41</v>
      </c>
      <c r="K1" s="14"/>
      <c r="L1" s="14"/>
      <c r="M1" s="14"/>
      <c r="N1" s="14"/>
    </row>
    <row r="3" spans="3:14" ht="18" x14ac:dyDescent="0.3">
      <c r="C3" s="15" t="s">
        <v>4</v>
      </c>
      <c r="D3" s="28" t="s">
        <v>5</v>
      </c>
      <c r="E3" s="28"/>
      <c r="F3" s="28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3AA2-F6A5-4D3F-AE2C-0D923B755557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18" t="s">
        <v>42</v>
      </c>
      <c r="K1" s="17"/>
      <c r="L1" s="17"/>
      <c r="M1" s="17"/>
      <c r="N1" s="17"/>
    </row>
    <row r="3" spans="3:14" ht="18" x14ac:dyDescent="0.3">
      <c r="C3" s="3" t="s">
        <v>4</v>
      </c>
      <c r="D3" s="27" t="s">
        <v>26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1:N3"/>
  <sheetViews>
    <sheetView zoomScaleNormal="100" workbookViewId="0">
      <selection activeCell="D3" sqref="D3:F3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10" customWidth="1"/>
    <col min="13" max="13" width="8" customWidth="1"/>
    <col min="14" max="14" width="9" customWidth="1"/>
  </cols>
  <sheetData>
    <row r="1" spans="3:14" ht="23.4" x14ac:dyDescent="0.3">
      <c r="J1" s="4" t="s">
        <v>43</v>
      </c>
      <c r="K1" s="5"/>
      <c r="L1" s="5"/>
      <c r="M1" s="5"/>
      <c r="N1" s="5"/>
    </row>
    <row r="3" spans="3:14" ht="18" x14ac:dyDescent="0.3">
      <c r="C3" s="3" t="s">
        <v>4</v>
      </c>
      <c r="D3" s="27" t="s">
        <v>31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9736-1672-4D0D-8A1E-D687BF28B6BA}">
  <dimension ref="C1:N3"/>
  <sheetViews>
    <sheetView zoomScaleNormal="100" workbookViewId="0">
      <selection activeCell="J18" sqref="J18"/>
    </sheetView>
  </sheetViews>
  <sheetFormatPr defaultRowHeight="14.4" x14ac:dyDescent="0.3"/>
  <cols>
    <col min="1" max="1" width="10.6640625" customWidth="1"/>
    <col min="2" max="2" width="7" customWidth="1"/>
    <col min="3" max="3" width="8" customWidth="1"/>
    <col min="4" max="7" width="9" customWidth="1"/>
    <col min="8" max="8" width="13.44140625" customWidth="1"/>
    <col min="9" max="9" width="8" customWidth="1"/>
    <col min="10" max="10" width="15" customWidth="1"/>
    <col min="11" max="11" width="12" customWidth="1"/>
    <col min="12" max="12" width="9.88671875" customWidth="1"/>
    <col min="13" max="13" width="8" customWidth="1"/>
    <col min="14" max="14" width="9" customWidth="1"/>
  </cols>
  <sheetData>
    <row r="1" spans="3:14" ht="23.4" x14ac:dyDescent="0.3">
      <c r="J1" s="25" t="s">
        <v>46</v>
      </c>
      <c r="K1" s="26"/>
      <c r="L1" s="26"/>
      <c r="M1" s="26"/>
      <c r="N1" s="26"/>
    </row>
    <row r="3" spans="3:14" ht="18" x14ac:dyDescent="0.3">
      <c r="C3" s="3" t="s">
        <v>4</v>
      </c>
      <c r="D3" s="27" t="s">
        <v>5</v>
      </c>
      <c r="E3" s="27"/>
      <c r="F3" s="27"/>
    </row>
  </sheetData>
  <mergeCells count="1">
    <mergeCell ref="D3:F3"/>
  </mergeCells>
  <pageMargins left="0.25" right="0.25" top="0.75" bottom="0.7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24</vt:i4>
      </vt:variant>
    </vt:vector>
  </HeadingPairs>
  <TitlesOfParts>
    <vt:vector size="50" baseType="lpstr">
      <vt:lpstr>Beginning</vt:lpstr>
      <vt:lpstr>Sheet</vt:lpstr>
      <vt:lpstr>CB1-HKD</vt:lpstr>
      <vt:lpstr>CB2-HKD</vt:lpstr>
      <vt:lpstr>CB3-HKD</vt:lpstr>
      <vt:lpstr>CBBH-HKD</vt:lpstr>
      <vt:lpstr>CBBH2-HKD</vt:lpstr>
      <vt:lpstr>BOS-HKD</vt:lpstr>
      <vt:lpstr>DBPe-HKD</vt:lpstr>
      <vt:lpstr>DBPL-HKD</vt:lpstr>
      <vt:lpstr>SC-HKD</vt:lpstr>
      <vt:lpstr>SHK-HKD</vt:lpstr>
      <vt:lpstr>SHK2-HKD</vt:lpstr>
      <vt:lpstr>MST1-HKD</vt:lpstr>
      <vt:lpstr>MST2-HKD</vt:lpstr>
      <vt:lpstr>MSPL-HKD</vt:lpstr>
      <vt:lpstr>NSG-HKD</vt:lpstr>
      <vt:lpstr>BOS-JPY</vt:lpstr>
      <vt:lpstr>MSPL-JPY</vt:lpstr>
      <vt:lpstr>MSPL-AUD</vt:lpstr>
      <vt:lpstr>CB1-USD</vt:lpstr>
      <vt:lpstr>CBBH-USD</vt:lpstr>
      <vt:lpstr>BOS-USD</vt:lpstr>
      <vt:lpstr>DBPe-SGD</vt:lpstr>
      <vt:lpstr>MST1-SGD</vt:lpstr>
      <vt:lpstr>NSG-SGD</vt:lpstr>
      <vt:lpstr>'BOS-HKD'!Print_Area</vt:lpstr>
      <vt:lpstr>'BOS-JPY'!Print_Area</vt:lpstr>
      <vt:lpstr>'BOS-USD'!Print_Area</vt:lpstr>
      <vt:lpstr>'CB1-HKD'!Print_Area</vt:lpstr>
      <vt:lpstr>'CB1-USD'!Print_Area</vt:lpstr>
      <vt:lpstr>'CB2-HKD'!Print_Area</vt:lpstr>
      <vt:lpstr>'CB3-HKD'!Print_Area</vt:lpstr>
      <vt:lpstr>'CBBH2-HKD'!Print_Area</vt:lpstr>
      <vt:lpstr>'CBBH-HKD'!Print_Area</vt:lpstr>
      <vt:lpstr>'CBBH-USD'!Print_Area</vt:lpstr>
      <vt:lpstr>'DBPe-HKD'!Print_Area</vt:lpstr>
      <vt:lpstr>'DBPe-SGD'!Print_Area</vt:lpstr>
      <vt:lpstr>'DBPL-HKD'!Print_Area</vt:lpstr>
      <vt:lpstr>'MSPL-AUD'!Print_Area</vt:lpstr>
      <vt:lpstr>'MSPL-HKD'!Print_Area</vt:lpstr>
      <vt:lpstr>'MSPL-JPY'!Print_Area</vt:lpstr>
      <vt:lpstr>'MST1-HKD'!Print_Area</vt:lpstr>
      <vt:lpstr>'MST1-SGD'!Print_Area</vt:lpstr>
      <vt:lpstr>'MST2-HKD'!Print_Area</vt:lpstr>
      <vt:lpstr>'NSG-HKD'!Print_Area</vt:lpstr>
      <vt:lpstr>'NSG-SGD'!Print_Area</vt:lpstr>
      <vt:lpstr>'SC-HKD'!Print_Area</vt:lpstr>
      <vt:lpstr>'SHK2-HKD'!Print_Area</vt:lpstr>
      <vt:lpstr>'SHK-HKD'!Print_Area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Cruz</cp:lastModifiedBy>
  <cp:lastPrinted>2022-07-22T08:09:01Z</cp:lastPrinted>
  <dcterms:created xsi:type="dcterms:W3CDTF">2020-07-30T14:43:32Z</dcterms:created>
  <dcterms:modified xsi:type="dcterms:W3CDTF">2025-09-26T09:57:54Z</dcterms:modified>
</cp:coreProperties>
</file>