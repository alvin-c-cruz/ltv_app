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lvin Stocks\Dropbox\server\instance\excel_templates\"/>
    </mc:Choice>
  </mc:AlternateContent>
  <xr:revisionPtr revIDLastSave="0" documentId="13_ncr:1_{456F1E02-3F82-422C-9D04-96B9B7D0E477}" xr6:coauthVersionLast="47" xr6:coauthVersionMax="47" xr10:uidLastSave="{00000000-0000-0000-0000-000000000000}"/>
  <bookViews>
    <workbookView xWindow="-120" yWindow="-120" windowWidth="20730" windowHeight="11160" tabRatio="952" firstSheet="2" activeTab="4" xr2:uid="{00000000-000D-0000-FFFF-FFFF00000000}"/>
  </bookViews>
  <sheets>
    <sheet name="SpotOnly" sheetId="1" state="hidden" r:id="rId1"/>
    <sheet name="AQDQSpot" sheetId="2" state="hidden" r:id="rId2"/>
    <sheet name="Sheet1" sheetId="3" r:id="rId3"/>
    <sheet name="Top Sheet" sheetId="4" state="hidden" r:id="rId4"/>
    <sheet name="Marissa Page" sheetId="94" r:id="rId5"/>
    <sheet name="SUMMARY" sheetId="5" r:id="rId6"/>
    <sheet name="SUM-HK" sheetId="6" r:id="rId7"/>
    <sheet name="SUM-JP" sheetId="7" r:id="rId8"/>
    <sheet name="SUM-AU" sheetId="8" r:id="rId9"/>
    <sheet name="SUM-US" sheetId="9" r:id="rId10"/>
    <sheet name="SUM-SG" sheetId="27" r:id="rId11"/>
    <sheet name="CB1-HKD" sheetId="28" r:id="rId12"/>
    <sheet name="CB2-HKD" sheetId="29" r:id="rId13"/>
    <sheet name="CB3-HKD" sheetId="32" r:id="rId14"/>
    <sheet name="CBBH-HKD" sheetId="30" r:id="rId15"/>
    <sheet name="CBBH2-HKD" sheetId="31" r:id="rId16"/>
    <sheet name="CBSG-HKD" sheetId="95" r:id="rId17"/>
    <sheet name="BOS-HKD" sheetId="33" r:id="rId18"/>
    <sheet name="DBPe-HKD" sheetId="34" r:id="rId19"/>
    <sheet name="DBPL-HKD" sheetId="35" r:id="rId20"/>
    <sheet name="SC-HKD" sheetId="36" r:id="rId21"/>
    <sheet name="SHK-HKD" sheetId="37" r:id="rId22"/>
    <sheet name="MST1-HKD" sheetId="38" r:id="rId23"/>
    <sheet name="MST2-HKD" sheetId="39" r:id="rId24"/>
    <sheet name="MSPL-HKD" sheetId="40" r:id="rId25"/>
    <sheet name="CB1-JPY" sheetId="41" r:id="rId26"/>
    <sheet name="CB2-JPY" sheetId="42" r:id="rId27"/>
    <sheet name="CB3-JPY" sheetId="43" r:id="rId28"/>
    <sheet name="CBBH-JPY" sheetId="44" r:id="rId29"/>
    <sheet name="CBBH2-JPY" sheetId="45" r:id="rId30"/>
    <sheet name="BOS-JPY" sheetId="46" r:id="rId31"/>
    <sheet name="DBPe-JPY" sheetId="47" r:id="rId32"/>
    <sheet name="DBPL-JPY" sheetId="48" r:id="rId33"/>
    <sheet name="SC-JPY" sheetId="49" r:id="rId34"/>
    <sheet name="SHK-JPY" sheetId="50" r:id="rId35"/>
    <sheet name="MST1-JPY" sheetId="51" r:id="rId36"/>
    <sheet name="MST2-JPY" sheetId="52" r:id="rId37"/>
    <sheet name="MSPL-JPY" sheetId="53" r:id="rId38"/>
    <sheet name="CB1-AUD" sheetId="54" r:id="rId39"/>
    <sheet name="CB2-AUD" sheetId="55" r:id="rId40"/>
    <sheet name="CB3-AUD" sheetId="56" r:id="rId41"/>
    <sheet name="CBBH-AUD" sheetId="57" r:id="rId42"/>
    <sheet name="CBBH2-AUD" sheetId="58" r:id="rId43"/>
    <sheet name="BOS-AUD" sheetId="59" r:id="rId44"/>
    <sheet name="DBPe-AUD" sheetId="60" r:id="rId45"/>
    <sheet name="DBPL-AUD" sheetId="61" r:id="rId46"/>
    <sheet name="SC-AUD" sheetId="62" r:id="rId47"/>
    <sheet name="SHK-AUD" sheetId="63" r:id="rId48"/>
    <sheet name="MST1-AUD" sheetId="64" r:id="rId49"/>
    <sheet name="MST2-AUD" sheetId="65" r:id="rId50"/>
    <sheet name="MSPL-AUD" sheetId="66" r:id="rId51"/>
    <sheet name="CB1-USD" sheetId="67" r:id="rId52"/>
    <sheet name="CB2-USD" sheetId="68" r:id="rId53"/>
    <sheet name="CB3-USD" sheetId="69" r:id="rId54"/>
    <sheet name="CBBH-USD" sheetId="70" r:id="rId55"/>
    <sheet name="CBBH2-USD" sheetId="71" r:id="rId56"/>
    <sheet name="BOS-USD" sheetId="72" r:id="rId57"/>
    <sheet name="DBPe-USD" sheetId="73" r:id="rId58"/>
    <sheet name="DBPL-USD" sheetId="74" r:id="rId59"/>
    <sheet name="SC-USD" sheetId="75" r:id="rId60"/>
    <sheet name="SHK-USD" sheetId="76" r:id="rId61"/>
    <sheet name="MST1-USD" sheetId="77" r:id="rId62"/>
    <sheet name="MST2-USD" sheetId="78" r:id="rId63"/>
    <sheet name="MSPL-USD" sheetId="79" r:id="rId64"/>
    <sheet name="CB1-SGD" sheetId="80" r:id="rId65"/>
    <sheet name="CB2-SGD" sheetId="81" r:id="rId66"/>
    <sheet name="CB3-SGD" sheetId="82" r:id="rId67"/>
    <sheet name="CBBH-SGD" sheetId="83" r:id="rId68"/>
    <sheet name="CBBH2-SGD" sheetId="84" r:id="rId69"/>
    <sheet name="BOS-SGD" sheetId="85" r:id="rId70"/>
    <sheet name="DBPe-SGD" sheetId="86" r:id="rId71"/>
    <sheet name="DBPL-SGD" sheetId="87" r:id="rId72"/>
    <sheet name="SC-SGD" sheetId="88" r:id="rId73"/>
    <sheet name="SHK-SGD" sheetId="89" r:id="rId74"/>
    <sheet name="MST1-SGD" sheetId="90" r:id="rId75"/>
    <sheet name="MST2-SGD" sheetId="91" r:id="rId76"/>
    <sheet name="MSPL-SGD" sheetId="92" r:id="rId77"/>
  </sheets>
  <externalReferences>
    <externalReference r:id="rId78"/>
    <externalReference r:id="rId79"/>
    <externalReference r:id="rId80"/>
  </externalReferences>
  <definedNames>
    <definedName name="aud_per_usd" localSheetId="43">[1]Sheet1!$C$6</definedName>
    <definedName name="aud_per_usd" localSheetId="17">[1]Sheet1!$C$6</definedName>
    <definedName name="aud_per_usd" localSheetId="30">[1]Sheet1!$C$6</definedName>
    <definedName name="aud_per_usd" localSheetId="69">[1]Sheet1!$C$6</definedName>
    <definedName name="aud_per_usd" localSheetId="56">[1]Sheet1!$C$6</definedName>
    <definedName name="aud_per_usd" localSheetId="38">[1]Sheet1!$C$6</definedName>
    <definedName name="aud_per_usd" localSheetId="11">[1]Sheet1!$C$6</definedName>
    <definedName name="aud_per_usd" localSheetId="25">[1]Sheet1!$C$6</definedName>
    <definedName name="aud_per_usd" localSheetId="64">[1]Sheet1!$C$6</definedName>
    <definedName name="aud_per_usd" localSheetId="51">[1]Sheet1!$C$6</definedName>
    <definedName name="aud_per_usd" localSheetId="39">[1]Sheet1!$C$6</definedName>
    <definedName name="aud_per_usd" localSheetId="12">[1]Sheet1!$C$6</definedName>
    <definedName name="aud_per_usd" localSheetId="26">[1]Sheet1!$C$6</definedName>
    <definedName name="aud_per_usd" localSheetId="65">[1]Sheet1!$C$6</definedName>
    <definedName name="aud_per_usd" localSheetId="52">[1]Sheet1!$C$6</definedName>
    <definedName name="aud_per_usd" localSheetId="40">[1]Sheet1!$C$6</definedName>
    <definedName name="aud_per_usd" localSheetId="13">[1]Sheet1!$C$6</definedName>
    <definedName name="aud_per_usd" localSheetId="27">[1]Sheet1!$C$6</definedName>
    <definedName name="aud_per_usd" localSheetId="66">[1]Sheet1!$C$6</definedName>
    <definedName name="aud_per_usd" localSheetId="53">[1]Sheet1!$C$6</definedName>
    <definedName name="aud_per_usd" localSheetId="42">[1]Sheet1!$C$6</definedName>
    <definedName name="aud_per_usd" localSheetId="15">[1]Sheet1!$C$6</definedName>
    <definedName name="aud_per_usd" localSheetId="29">[1]Sheet1!$C$6</definedName>
    <definedName name="aud_per_usd" localSheetId="68">[1]Sheet1!$C$6</definedName>
    <definedName name="aud_per_usd" localSheetId="55">[1]Sheet1!$C$6</definedName>
    <definedName name="aud_per_usd" localSheetId="41">[1]Sheet1!$C$6</definedName>
    <definedName name="aud_per_usd" localSheetId="14">[1]Sheet1!$C$6</definedName>
    <definedName name="aud_per_usd" localSheetId="28">[1]Sheet1!$C$6</definedName>
    <definedName name="aud_per_usd" localSheetId="67">[1]Sheet1!$C$6</definedName>
    <definedName name="aud_per_usd" localSheetId="54">[1]Sheet1!$C$6</definedName>
    <definedName name="aud_per_usd" localSheetId="16">[1]Sheet1!$C$6</definedName>
    <definedName name="aud_per_usd" localSheetId="44">[1]Sheet1!$C$6</definedName>
    <definedName name="aud_per_usd" localSheetId="18">[1]Sheet1!$C$6</definedName>
    <definedName name="aud_per_usd" localSheetId="31">[1]Sheet1!$C$6</definedName>
    <definedName name="aud_per_usd" localSheetId="70">[1]Sheet1!$C$6</definedName>
    <definedName name="aud_per_usd" localSheetId="57">[1]Sheet1!$C$6</definedName>
    <definedName name="aud_per_usd" localSheetId="45">[1]Sheet1!$C$6</definedName>
    <definedName name="aud_per_usd" localSheetId="19">[1]Sheet1!$C$6</definedName>
    <definedName name="aud_per_usd" localSheetId="32">[1]Sheet1!$C$6</definedName>
    <definedName name="aud_per_usd" localSheetId="71">[1]Sheet1!$C$6</definedName>
    <definedName name="aud_per_usd" localSheetId="58">[1]Sheet1!$C$6</definedName>
    <definedName name="aud_per_usd" localSheetId="50">[1]Sheet1!$C$6</definedName>
    <definedName name="aud_per_usd" localSheetId="24">[1]Sheet1!$C$6</definedName>
    <definedName name="aud_per_usd" localSheetId="37">[1]Sheet1!$C$6</definedName>
    <definedName name="aud_per_usd" localSheetId="76">[1]Sheet1!$C$6</definedName>
    <definedName name="aud_per_usd" localSheetId="63">[1]Sheet1!$C$6</definedName>
    <definedName name="aud_per_usd" localSheetId="48">[1]Sheet1!$C$6</definedName>
    <definedName name="aud_per_usd" localSheetId="22">[1]Sheet1!$C$6</definedName>
    <definedName name="aud_per_usd" localSheetId="35">[1]Sheet1!$C$6</definedName>
    <definedName name="aud_per_usd" localSheetId="74">[1]Sheet1!$C$6</definedName>
    <definedName name="aud_per_usd" localSheetId="61">[1]Sheet1!$C$6</definedName>
    <definedName name="aud_per_usd" localSheetId="49">[1]Sheet1!$C$6</definedName>
    <definedName name="aud_per_usd" localSheetId="23">[1]Sheet1!$C$6</definedName>
    <definedName name="aud_per_usd" localSheetId="36">[1]Sheet1!$C$6</definedName>
    <definedName name="aud_per_usd" localSheetId="75">[1]Sheet1!$C$6</definedName>
    <definedName name="aud_per_usd" localSheetId="62">[1]Sheet1!$C$6</definedName>
    <definedName name="aud_per_usd" localSheetId="46">[1]Sheet1!$C$6</definedName>
    <definedName name="aud_per_usd" localSheetId="20">[1]Sheet1!$C$6</definedName>
    <definedName name="aud_per_usd" localSheetId="33">[1]Sheet1!$C$6</definedName>
    <definedName name="aud_per_usd" localSheetId="72">[1]Sheet1!$C$6</definedName>
    <definedName name="aud_per_usd" localSheetId="59">[1]Sheet1!$C$6</definedName>
    <definedName name="aud_per_usd" localSheetId="47">[1]Sheet1!$C$6</definedName>
    <definedName name="aud_per_usd" localSheetId="21">[1]Sheet1!$C$6</definedName>
    <definedName name="aud_per_usd" localSheetId="34">[1]Sheet1!$C$6</definedName>
    <definedName name="aud_per_usd" localSheetId="73">[1]Sheet1!$C$6</definedName>
    <definedName name="aud_per_usd" localSheetId="60">[1]Sheet1!$C$6</definedName>
    <definedName name="aud_per_usd">Sheet1!$C$6</definedName>
    <definedName name="hkd_per_usd" localSheetId="1">[2]Sheet1!$C$2</definedName>
    <definedName name="hkd_per_usd" localSheetId="43">[1]Sheet1!$C$2</definedName>
    <definedName name="hkd_per_usd" localSheetId="17">[1]Sheet1!$C$2</definedName>
    <definedName name="hkd_per_usd" localSheetId="30">[1]Sheet1!$C$2</definedName>
    <definedName name="hkd_per_usd" localSheetId="69">[1]Sheet1!$C$2</definedName>
    <definedName name="hkd_per_usd" localSheetId="56">[1]Sheet1!$C$2</definedName>
    <definedName name="hkd_per_usd" localSheetId="38">[1]Sheet1!$C$2</definedName>
    <definedName name="hkd_per_usd" localSheetId="11">[1]Sheet1!$C$2</definedName>
    <definedName name="hkd_per_usd" localSheetId="25">[1]Sheet1!$C$2</definedName>
    <definedName name="hkd_per_usd" localSheetId="64">[1]Sheet1!$C$2</definedName>
    <definedName name="hkd_per_usd" localSheetId="51">[1]Sheet1!$C$2</definedName>
    <definedName name="hkd_per_usd" localSheetId="39">[1]Sheet1!$C$2</definedName>
    <definedName name="hkd_per_usd" localSheetId="12">[1]Sheet1!$C$2</definedName>
    <definedName name="hkd_per_usd" localSheetId="26">[1]Sheet1!$C$2</definedName>
    <definedName name="hkd_per_usd" localSheetId="65">[1]Sheet1!$C$2</definedName>
    <definedName name="hkd_per_usd" localSheetId="52">[1]Sheet1!$C$2</definedName>
    <definedName name="hkd_per_usd" localSheetId="40">[1]Sheet1!$C$2</definedName>
    <definedName name="hkd_per_usd" localSheetId="13">[1]Sheet1!$C$2</definedName>
    <definedName name="hkd_per_usd" localSheetId="27">[1]Sheet1!$C$2</definedName>
    <definedName name="hkd_per_usd" localSheetId="66">[1]Sheet1!$C$2</definedName>
    <definedName name="hkd_per_usd" localSheetId="53">[1]Sheet1!$C$2</definedName>
    <definedName name="hkd_per_usd" localSheetId="42">[1]Sheet1!$C$2</definedName>
    <definedName name="hkd_per_usd" localSheetId="15">[1]Sheet1!$C$2</definedName>
    <definedName name="hkd_per_usd" localSheetId="29">[1]Sheet1!$C$2</definedName>
    <definedName name="hkd_per_usd" localSheetId="68">[1]Sheet1!$C$2</definedName>
    <definedName name="hkd_per_usd" localSheetId="55">[1]Sheet1!$C$2</definedName>
    <definedName name="hkd_per_usd" localSheetId="41">[1]Sheet1!$C$2</definedName>
    <definedName name="hkd_per_usd" localSheetId="14">[1]Sheet1!$C$2</definedName>
    <definedName name="hkd_per_usd" localSheetId="28">[1]Sheet1!$C$2</definedName>
    <definedName name="hkd_per_usd" localSheetId="67">[1]Sheet1!$C$2</definedName>
    <definedName name="hkd_per_usd" localSheetId="54">[1]Sheet1!$C$2</definedName>
    <definedName name="hkd_per_usd" localSheetId="16">[1]Sheet1!$C$2</definedName>
    <definedName name="hkd_per_usd" localSheetId="44">[1]Sheet1!$C$2</definedName>
    <definedName name="hkd_per_usd" localSheetId="18">[1]Sheet1!$C$2</definedName>
    <definedName name="hkd_per_usd" localSheetId="31">[1]Sheet1!$C$2</definedName>
    <definedName name="hkd_per_usd" localSheetId="70">[1]Sheet1!$C$2</definedName>
    <definedName name="hkd_per_usd" localSheetId="57">[1]Sheet1!$C$2</definedName>
    <definedName name="hkd_per_usd" localSheetId="45">[1]Sheet1!$C$2</definedName>
    <definedName name="hkd_per_usd" localSheetId="19">[1]Sheet1!$C$2</definedName>
    <definedName name="hkd_per_usd" localSheetId="32">[1]Sheet1!$C$2</definedName>
    <definedName name="hkd_per_usd" localSheetId="71">[1]Sheet1!$C$2</definedName>
    <definedName name="hkd_per_usd" localSheetId="58">[1]Sheet1!$C$2</definedName>
    <definedName name="hkd_per_usd" localSheetId="50">[1]Sheet1!$C$2</definedName>
    <definedName name="hkd_per_usd" localSheetId="24">[1]Sheet1!$C$2</definedName>
    <definedName name="hkd_per_usd" localSheetId="37">[1]Sheet1!$C$2</definedName>
    <definedName name="hkd_per_usd" localSheetId="76">[1]Sheet1!$C$2</definedName>
    <definedName name="hkd_per_usd" localSheetId="63">[1]Sheet1!$C$2</definedName>
    <definedName name="hkd_per_usd" localSheetId="48">[1]Sheet1!$C$2</definedName>
    <definedName name="hkd_per_usd" localSheetId="22">[1]Sheet1!$C$2</definedName>
    <definedName name="hkd_per_usd" localSheetId="35">[1]Sheet1!$C$2</definedName>
    <definedName name="hkd_per_usd" localSheetId="74">[1]Sheet1!$C$2</definedName>
    <definedName name="hkd_per_usd" localSheetId="61">[1]Sheet1!$C$2</definedName>
    <definedName name="hkd_per_usd" localSheetId="49">[1]Sheet1!$C$2</definedName>
    <definedName name="hkd_per_usd" localSheetId="23">[1]Sheet1!$C$2</definedName>
    <definedName name="hkd_per_usd" localSheetId="36">[1]Sheet1!$C$2</definedName>
    <definedName name="hkd_per_usd" localSheetId="75">[1]Sheet1!$C$2</definedName>
    <definedName name="hkd_per_usd" localSheetId="62">[1]Sheet1!$C$2</definedName>
    <definedName name="hkd_per_usd" localSheetId="46">[1]Sheet1!$C$2</definedName>
    <definedName name="hkd_per_usd" localSheetId="20">[1]Sheet1!$C$2</definedName>
    <definedName name="hkd_per_usd" localSheetId="33">[1]Sheet1!$C$2</definedName>
    <definedName name="hkd_per_usd" localSheetId="72">[1]Sheet1!$C$2</definedName>
    <definedName name="hkd_per_usd" localSheetId="59">[1]Sheet1!$C$2</definedName>
    <definedName name="hkd_per_usd" localSheetId="47">[1]Sheet1!$C$2</definedName>
    <definedName name="hkd_per_usd" localSheetId="21">[1]Sheet1!$C$2</definedName>
    <definedName name="hkd_per_usd" localSheetId="34">[1]Sheet1!$C$2</definedName>
    <definedName name="hkd_per_usd" localSheetId="73">[1]Sheet1!$C$2</definedName>
    <definedName name="hkd_per_usd" localSheetId="60">[1]Sheet1!$C$2</definedName>
    <definedName name="hkd_per_usd" localSheetId="0">[3]Sheet1!$C$2</definedName>
    <definedName name="hkd_per_usd">Sheet1!$C$2</definedName>
    <definedName name="jpy_per_usd">Sheet1!$C$4</definedName>
    <definedName name="_xlnm.Print_Area" localSheetId="1">AQDQSpot!$A$1:$X$38</definedName>
    <definedName name="_xlnm.Print_Area" localSheetId="4">'Marissa Page'!$A$1:$Q$40</definedName>
    <definedName name="_xlnm.Print_Area" localSheetId="0">SpotOnly!$A$1:$L$38</definedName>
    <definedName name="_xlnm.Print_Area" localSheetId="8">'SUM-AU'!$A$1:$J$12</definedName>
    <definedName name="_xlnm.Print_Area" localSheetId="6">'SUM-HK'!$A$1:$J$35</definedName>
    <definedName name="_xlnm.Print_Area" localSheetId="7">'SUM-JP'!$A$1:$J$12</definedName>
    <definedName name="_xlnm.Print_Area" localSheetId="5">SUMMARY!$A$1:$F$43</definedName>
    <definedName name="_xlnm.Print_Area" localSheetId="10">'SUM-SG'!$A$1:$J$16</definedName>
    <definedName name="_xlnm.Print_Area" localSheetId="9">'SUM-US'!$A$1:$J$27</definedName>
    <definedName name="_xlnm.Print_Area" localSheetId="3">'Top Sheet'!$A$1:$O$39</definedName>
    <definedName name="sgd_per_usd">Sheet1!$C$8</definedName>
  </definedNames>
  <calcPr calcId="191029"/>
</workbook>
</file>

<file path=xl/calcChain.xml><?xml version="1.0" encoding="utf-8"?>
<calcChain xmlns="http://schemas.openxmlformats.org/spreadsheetml/2006/main">
  <c r="O26" i="94" l="1"/>
  <c r="O27" i="94" s="1"/>
  <c r="Q37" i="94"/>
  <c r="Q22" i="94"/>
  <c r="Q20" i="94"/>
  <c r="Q19" i="94"/>
  <c r="Q14" i="94"/>
  <c r="Q13" i="94"/>
  <c r="Q12" i="94"/>
  <c r="N37" i="94"/>
  <c r="N22" i="94"/>
  <c r="N14" i="94"/>
  <c r="A3" i="94"/>
  <c r="Q26" i="94" l="1"/>
  <c r="Q27" i="94" s="1"/>
  <c r="L7" i="5" l="1"/>
  <c r="K7" i="5"/>
  <c r="J7" i="5"/>
  <c r="H7" i="5"/>
  <c r="C17" i="9"/>
  <c r="F30" i="6"/>
  <c r="C18" i="5"/>
  <c r="F31" i="5"/>
  <c r="F33" i="5"/>
  <c r="B10" i="5"/>
  <c r="B31" i="5"/>
  <c r="E18" i="5"/>
  <c r="B16" i="9"/>
  <c r="D10" i="5"/>
  <c r="B25" i="6"/>
  <c r="D33" i="5"/>
  <c r="F23" i="9"/>
  <c r="B17" i="6"/>
  <c r="A3" i="27"/>
  <c r="B32" i="5"/>
  <c r="D19" i="5"/>
  <c r="G17" i="6"/>
  <c r="D18" i="5"/>
  <c r="E27" i="5"/>
  <c r="A3" i="6"/>
  <c r="B12" i="27"/>
  <c r="B19" i="5"/>
  <c r="G8" i="27"/>
  <c r="D31" i="5"/>
  <c r="C10" i="5"/>
  <c r="B14" i="5"/>
  <c r="B8" i="27"/>
  <c r="C12" i="6"/>
  <c r="E32" i="5"/>
  <c r="F12" i="27"/>
  <c r="C23" i="5"/>
  <c r="F18" i="5"/>
  <c r="G25" i="6"/>
  <c r="B31" i="6"/>
  <c r="E19" i="5"/>
  <c r="B8" i="9"/>
  <c r="E23" i="5"/>
  <c r="G12" i="27"/>
  <c r="G8" i="8"/>
  <c r="D32" i="5"/>
  <c r="G31" i="6"/>
  <c r="C19" i="5"/>
  <c r="E33" i="5"/>
  <c r="G16" i="9"/>
  <c r="B8" i="8"/>
  <c r="F10" i="5"/>
  <c r="F32" i="5"/>
  <c r="C8" i="27"/>
  <c r="C32" i="5"/>
  <c r="D27" i="5"/>
  <c r="F23" i="5"/>
  <c r="E14" i="5"/>
  <c r="C33" i="5"/>
  <c r="B33" i="5"/>
  <c r="D14" i="5"/>
  <c r="C14" i="5"/>
  <c r="E10" i="5"/>
  <c r="B23" i="5"/>
  <c r="G8" i="9"/>
  <c r="E31" i="5"/>
  <c r="F19" i="5"/>
  <c r="C27" i="5"/>
  <c r="F14" i="5"/>
  <c r="C12" i="27"/>
  <c r="B18" i="5"/>
  <c r="F27" i="5"/>
  <c r="F16" i="6"/>
  <c r="F8" i="6"/>
  <c r="F8" i="27"/>
  <c r="C31" i="5"/>
  <c r="D23" i="5"/>
  <c r="B27" i="5"/>
  <c r="L8" i="94" l="1"/>
  <c r="O8" i="94" s="1"/>
  <c r="L21" i="94"/>
  <c r="N21" i="94" s="1"/>
  <c r="O21" i="94" s="1"/>
  <c r="L12" i="94"/>
  <c r="N12" i="94" s="1"/>
  <c r="L36" i="94"/>
  <c r="N36" i="94" s="1"/>
  <c r="O36" i="94" s="1"/>
  <c r="L20" i="94"/>
  <c r="N20" i="94" s="1"/>
  <c r="L13" i="94"/>
  <c r="N13" i="94" s="1"/>
  <c r="L18" i="94"/>
  <c r="N18" i="94" s="1"/>
  <c r="L34" i="94"/>
  <c r="O34" i="94" s="1"/>
  <c r="L30" i="94"/>
  <c r="O30" i="94" s="1"/>
  <c r="L11" i="94"/>
  <c r="N11" i="94" s="1"/>
  <c r="L19" i="94"/>
  <c r="N19" i="94" s="1"/>
  <c r="L35" i="94"/>
  <c r="O35" i="94" s="1"/>
  <c r="H8" i="27"/>
  <c r="H9" i="27" s="1"/>
  <c r="F9" i="27"/>
  <c r="D8" i="27"/>
  <c r="B9" i="27"/>
  <c r="G9" i="27"/>
  <c r="C9" i="27"/>
  <c r="F11" i="5"/>
  <c r="F20" i="5"/>
  <c r="F28" i="5"/>
  <c r="F15" i="5"/>
  <c r="F24" i="5"/>
  <c r="O9" i="94" l="1"/>
  <c r="O11" i="94"/>
  <c r="O38" i="94"/>
  <c r="O18" i="94"/>
  <c r="O31" i="94"/>
  <c r="D9" i="27"/>
  <c r="J8" i="27"/>
  <c r="J9" i="27" s="1"/>
  <c r="D12" i="27"/>
  <c r="B13" i="27"/>
  <c r="B15" i="27" s="1"/>
  <c r="G13" i="27"/>
  <c r="G15" i="27" s="1"/>
  <c r="H12" i="27"/>
  <c r="F13" i="27"/>
  <c r="F15" i="27" s="1"/>
  <c r="C13" i="27"/>
  <c r="C15" i="27" s="1"/>
  <c r="C13" i="6"/>
  <c r="B26" i="6"/>
  <c r="G26" i="6"/>
  <c r="B9" i="8"/>
  <c r="B11" i="8" s="1"/>
  <c r="G9" i="8"/>
  <c r="G11" i="8" s="1"/>
  <c r="B9" i="9"/>
  <c r="G9" i="9"/>
  <c r="O15" i="94" l="1"/>
  <c r="O23" i="94"/>
  <c r="H13" i="27"/>
  <c r="H15" i="27" s="1"/>
  <c r="J12" i="27"/>
  <c r="D13" i="27"/>
  <c r="D15" i="27" s="1"/>
  <c r="O40" i="94" l="1"/>
  <c r="D15" i="5"/>
  <c r="J14" i="5"/>
  <c r="E34" i="5"/>
  <c r="K31" i="5"/>
  <c r="B28" i="5"/>
  <c r="H27" i="5"/>
  <c r="J19" i="5"/>
  <c r="H31" i="5"/>
  <c r="B11" i="5"/>
  <c r="K32" i="5"/>
  <c r="H19" i="5"/>
  <c r="H32" i="5"/>
  <c r="E11" i="5"/>
  <c r="I10" i="5"/>
  <c r="Q10" i="5"/>
  <c r="K33" i="5"/>
  <c r="J18" i="5"/>
  <c r="D20" i="5"/>
  <c r="D34" i="5"/>
  <c r="J31" i="5"/>
  <c r="K19" i="5"/>
  <c r="Q32" i="5"/>
  <c r="I32" i="5"/>
  <c r="J27" i="5"/>
  <c r="D28" i="5"/>
  <c r="E20" i="5"/>
  <c r="K18" i="5"/>
  <c r="D11" i="5"/>
  <c r="K23" i="5"/>
  <c r="E24" i="5"/>
  <c r="H10" i="5"/>
  <c r="J33" i="5"/>
  <c r="J32" i="5"/>
  <c r="J23" i="5"/>
  <c r="D24" i="5"/>
  <c r="K27" i="5"/>
  <c r="E28" i="5"/>
  <c r="J10" i="5"/>
  <c r="B20" i="5"/>
  <c r="H18" i="5"/>
  <c r="B15" i="5"/>
  <c r="H14" i="5"/>
  <c r="K10" i="5"/>
  <c r="H23" i="5"/>
  <c r="B24" i="5"/>
  <c r="F34" i="5"/>
  <c r="F36" i="5" s="1"/>
  <c r="C42" i="5" s="1"/>
  <c r="E42" i="5" s="1"/>
  <c r="J13" i="27"/>
  <c r="J15" i="27" s="1"/>
  <c r="H33" i="5"/>
  <c r="B34" i="5"/>
  <c r="K14" i="5"/>
  <c r="E15" i="5"/>
  <c r="Q18" i="5"/>
  <c r="I18" i="5"/>
  <c r="D36" i="5" l="1"/>
  <c r="C39" i="5" s="1"/>
  <c r="E39" i="5" s="1"/>
  <c r="B36" i="5"/>
  <c r="C40" i="5" s="1"/>
  <c r="E40" i="5" s="1"/>
  <c r="E36" i="5"/>
  <c r="C41" i="5" s="1"/>
  <c r="E41" i="5" s="1"/>
  <c r="Q23" i="5"/>
  <c r="I23" i="5"/>
  <c r="C24" i="5"/>
  <c r="I14" i="5"/>
  <c r="C15" i="5"/>
  <c r="Q14" i="5"/>
  <c r="C11" i="5"/>
  <c r="I31" i="5"/>
  <c r="Q31" i="5"/>
  <c r="C34" i="5"/>
  <c r="Q33" i="5"/>
  <c r="I33" i="5"/>
  <c r="L18" i="5" l="1"/>
  <c r="M18" i="5" s="1"/>
  <c r="L27" i="5"/>
  <c r="L14" i="5"/>
  <c r="M14" i="5" s="1"/>
  <c r="L32" i="5"/>
  <c r="M32" i="5" s="1"/>
  <c r="L33" i="5"/>
  <c r="M33" i="5" s="1"/>
  <c r="L10" i="5"/>
  <c r="L23" i="5"/>
  <c r="M23" i="5" s="1"/>
  <c r="L19" i="5"/>
  <c r="L31" i="5"/>
  <c r="M31" i="5" s="1"/>
  <c r="M21" i="4" l="1"/>
  <c r="M35" i="4"/>
  <c r="M34" i="4"/>
  <c r="M36" i="4"/>
  <c r="M10" i="4"/>
  <c r="M17" i="4"/>
  <c r="M18" i="4" s="1"/>
  <c r="M9" i="4"/>
  <c r="M26" i="4"/>
  <c r="M27" i="4" s="1"/>
  <c r="M10" i="5"/>
  <c r="C28" i="5"/>
  <c r="Q27" i="5"/>
  <c r="I27" i="5"/>
  <c r="M37" i="4" l="1"/>
  <c r="M13" i="4"/>
  <c r="M11" i="4"/>
  <c r="M12" i="4"/>
  <c r="M27" i="5"/>
  <c r="F12" i="9"/>
  <c r="B18" i="9"/>
  <c r="G8" i="6"/>
  <c r="Q28" i="2"/>
  <c r="D19" i="2"/>
  <c r="B10" i="2"/>
  <c r="B19" i="2"/>
  <c r="L24" i="1"/>
  <c r="F20" i="1"/>
  <c r="N15" i="2"/>
  <c r="G21" i="6"/>
  <c r="C21" i="6"/>
  <c r="N33" i="2"/>
  <c r="C31" i="6"/>
  <c r="D24" i="1"/>
  <c r="D11" i="2"/>
  <c r="F22" i="9"/>
  <c r="G29" i="6"/>
  <c r="G34" i="2"/>
  <c r="L34" i="1"/>
  <c r="D28" i="2"/>
  <c r="H24" i="1"/>
  <c r="F28" i="1"/>
  <c r="G23" i="9"/>
  <c r="X11" i="2"/>
  <c r="E34" i="2"/>
  <c r="L34" i="2"/>
  <c r="C16" i="9"/>
  <c r="B34" i="1"/>
  <c r="L15" i="2"/>
  <c r="H15" i="1"/>
  <c r="O15" i="2"/>
  <c r="X9" i="2"/>
  <c r="F19" i="1"/>
  <c r="X10" i="2"/>
  <c r="X24" i="2"/>
  <c r="O28" i="2"/>
  <c r="L28" i="1"/>
  <c r="D10" i="1"/>
  <c r="F25" i="6"/>
  <c r="Q20" i="2"/>
  <c r="B28" i="1"/>
  <c r="B23" i="9"/>
  <c r="G16" i="6"/>
  <c r="L33" i="1"/>
  <c r="D15" i="1"/>
  <c r="A3" i="2"/>
  <c r="E10" i="2"/>
  <c r="D9" i="1"/>
  <c r="N19" i="2"/>
  <c r="D19" i="1"/>
  <c r="B33" i="1"/>
  <c r="Q10" i="2"/>
  <c r="H33" i="1"/>
  <c r="E19" i="2"/>
  <c r="O11" i="2"/>
  <c r="C18" i="9"/>
  <c r="F21" i="6"/>
  <c r="H20" i="1"/>
  <c r="G15" i="2"/>
  <c r="N28" i="2"/>
  <c r="B11" i="1"/>
  <c r="F12" i="6"/>
  <c r="F32" i="1"/>
  <c r="E28" i="2"/>
  <c r="O34" i="2"/>
  <c r="E33" i="2"/>
  <c r="L10" i="1"/>
  <c r="F29" i="6"/>
  <c r="B15" i="1"/>
  <c r="F34" i="1"/>
  <c r="G8" i="7"/>
  <c r="A3" i="4"/>
  <c r="B33" i="2"/>
  <c r="F15" i="1"/>
  <c r="F16" i="9"/>
  <c r="H34" i="1"/>
  <c r="L9" i="1"/>
  <c r="E11" i="2"/>
  <c r="D24" i="2"/>
  <c r="D9" i="2"/>
  <c r="O19" i="2"/>
  <c r="F10" i="1"/>
  <c r="H10" i="1"/>
  <c r="G11" i="2"/>
  <c r="Q34" i="2"/>
  <c r="F17" i="9"/>
  <c r="B15" i="2"/>
  <c r="E9" i="2"/>
  <c r="B12" i="9"/>
  <c r="B16" i="6"/>
  <c r="G19" i="2"/>
  <c r="A3" i="9"/>
  <c r="B12" i="6"/>
  <c r="F17" i="6"/>
  <c r="Q32" i="2"/>
  <c r="L11" i="1"/>
  <c r="X33" i="2"/>
  <c r="D28" i="1"/>
  <c r="L15" i="1"/>
  <c r="H11" i="1"/>
  <c r="O9" i="2"/>
  <c r="B32" i="1"/>
  <c r="L20" i="2"/>
  <c r="L33" i="2"/>
  <c r="G20" i="2"/>
  <c r="B30" i="6"/>
  <c r="L32" i="1"/>
  <c r="L9" i="2"/>
  <c r="G18" i="9"/>
  <c r="B32" i="2"/>
  <c r="G22" i="9"/>
  <c r="B20" i="1"/>
  <c r="N34" i="2"/>
  <c r="E24" i="2"/>
  <c r="C8" i="9"/>
  <c r="B9" i="2"/>
  <c r="L11" i="2"/>
  <c r="G9" i="2"/>
  <c r="F8" i="8"/>
  <c r="A3" i="1"/>
  <c r="C17" i="6"/>
  <c r="G10" i="2"/>
  <c r="B11" i="2"/>
  <c r="B17" i="9"/>
  <c r="L19" i="1"/>
  <c r="H19" i="1"/>
  <c r="B8" i="7"/>
  <c r="L24" i="2"/>
  <c r="Q11" i="2"/>
  <c r="Q15" i="2"/>
  <c r="Q33" i="2"/>
  <c r="F33" i="1"/>
  <c r="C8" i="7"/>
  <c r="C23" i="9"/>
  <c r="N32" i="2"/>
  <c r="D20" i="2"/>
  <c r="C8" i="8"/>
  <c r="O24" i="2"/>
  <c r="F18" i="9"/>
  <c r="H28" i="1"/>
  <c r="B24" i="1"/>
  <c r="G32" i="2"/>
  <c r="X15" i="2"/>
  <c r="B20" i="2"/>
  <c r="D34" i="1"/>
  <c r="X34" i="2"/>
  <c r="F9" i="1"/>
  <c r="A3" i="7"/>
  <c r="B24" i="2"/>
  <c r="D32" i="1"/>
  <c r="B28" i="2"/>
  <c r="L19" i="2"/>
  <c r="B9" i="1"/>
  <c r="Q9" i="2"/>
  <c r="B19" i="1"/>
  <c r="D10" i="2"/>
  <c r="F8" i="9"/>
  <c r="H9" i="1"/>
  <c r="H32" i="1"/>
  <c r="C16" i="6"/>
  <c r="B22" i="9"/>
  <c r="X28" i="2"/>
  <c r="F8" i="7"/>
  <c r="D33" i="1"/>
  <c r="X19" i="2"/>
  <c r="G17" i="9"/>
  <c r="N9" i="2"/>
  <c r="C8" i="6"/>
  <c r="L10" i="2"/>
  <c r="B34" i="2"/>
  <c r="C12" i="9"/>
  <c r="A3" i="8"/>
  <c r="L32" i="2"/>
  <c r="G12" i="9"/>
  <c r="E15" i="2"/>
  <c r="O20" i="2"/>
  <c r="F31" i="6"/>
  <c r="G24" i="2"/>
  <c r="X32" i="2"/>
  <c r="D33" i="2"/>
  <c r="C30" i="6"/>
  <c r="L28" i="2"/>
  <c r="D34" i="2"/>
  <c r="N10" i="2"/>
  <c r="O33" i="2"/>
  <c r="B10" i="1"/>
  <c r="E20" i="2"/>
  <c r="D11" i="1"/>
  <c r="D15" i="2"/>
  <c r="B29" i="6"/>
  <c r="L20" i="1"/>
  <c r="G30" i="6"/>
  <c r="B8" i="6"/>
  <c r="Q19" i="2"/>
  <c r="C22" i="9"/>
  <c r="X20" i="2"/>
  <c r="C25" i="6"/>
  <c r="N24" i="2"/>
  <c r="B21" i="6"/>
  <c r="F11" i="1"/>
  <c r="Q24" i="2"/>
  <c r="O10" i="2"/>
  <c r="F24" i="1"/>
  <c r="N11" i="2"/>
  <c r="G12" i="6"/>
  <c r="G33" i="2"/>
  <c r="D32" i="2"/>
  <c r="C29" i="6"/>
  <c r="G28" i="2"/>
  <c r="D20" i="1"/>
  <c r="O32" i="2"/>
  <c r="E32" i="2"/>
  <c r="N20" i="2"/>
  <c r="J33" i="1" l="1"/>
  <c r="G19" i="1"/>
  <c r="H21" i="1"/>
  <c r="C19" i="2"/>
  <c r="D21" i="2"/>
  <c r="J19" i="2"/>
  <c r="R24" i="2"/>
  <c r="R25" i="2" s="1"/>
  <c r="L25" i="2"/>
  <c r="C33" i="2"/>
  <c r="J33" i="2"/>
  <c r="F35" i="1"/>
  <c r="B35" i="1"/>
  <c r="J32" i="1"/>
  <c r="R33" i="2"/>
  <c r="R9" i="2"/>
  <c r="L12" i="2"/>
  <c r="C11" i="2"/>
  <c r="J11" i="2"/>
  <c r="F9" i="6"/>
  <c r="L12" i="1"/>
  <c r="G33" i="1"/>
  <c r="C20" i="2"/>
  <c r="J20" i="2"/>
  <c r="D8" i="6"/>
  <c r="L21" i="2"/>
  <c r="R19" i="2"/>
  <c r="J11" i="1"/>
  <c r="C26" i="6"/>
  <c r="D25" i="6"/>
  <c r="D26" i="6" s="1"/>
  <c r="M24" i="2"/>
  <c r="T24" i="2"/>
  <c r="T25" i="2" s="1"/>
  <c r="N25" i="2"/>
  <c r="L35" i="1"/>
  <c r="E12" i="2"/>
  <c r="C10" i="1"/>
  <c r="K10" i="1"/>
  <c r="F21" i="1"/>
  <c r="G21" i="1" s="1"/>
  <c r="R28" i="2"/>
  <c r="R29" i="2" s="1"/>
  <c r="L29" i="2"/>
  <c r="R10" i="2"/>
  <c r="C9" i="6"/>
  <c r="J20" i="1"/>
  <c r="X25" i="2"/>
  <c r="C33" i="1"/>
  <c r="K33" i="1"/>
  <c r="G32" i="6"/>
  <c r="P24" i="2"/>
  <c r="Q25" i="2"/>
  <c r="R20" i="2"/>
  <c r="H28" i="2"/>
  <c r="H29" i="2" s="1"/>
  <c r="V28" i="2"/>
  <c r="V29" i="2" s="1"/>
  <c r="B29" i="2"/>
  <c r="B18" i="6"/>
  <c r="D16" i="6"/>
  <c r="G9" i="6"/>
  <c r="F15" i="2"/>
  <c r="G16" i="2"/>
  <c r="D12" i="9"/>
  <c r="D13" i="9" s="1"/>
  <c r="B13" i="9"/>
  <c r="H23" i="9"/>
  <c r="G35" i="2"/>
  <c r="F32" i="2"/>
  <c r="M15" i="2"/>
  <c r="T15" i="2"/>
  <c r="T16" i="2" s="1"/>
  <c r="N16" i="2"/>
  <c r="B12" i="1"/>
  <c r="J9" i="1"/>
  <c r="C9" i="9"/>
  <c r="D8" i="9"/>
  <c r="D9" i="9" s="1"/>
  <c r="O25" i="2"/>
  <c r="P32" i="2"/>
  <c r="Q35" i="2"/>
  <c r="J10" i="2"/>
  <c r="C10" i="2"/>
  <c r="T9" i="2"/>
  <c r="N12" i="2"/>
  <c r="M12" i="2" s="1"/>
  <c r="M9" i="2"/>
  <c r="C34" i="2"/>
  <c r="J34" i="2"/>
  <c r="G24" i="9"/>
  <c r="T10" i="2"/>
  <c r="M10" i="2"/>
  <c r="H8" i="7"/>
  <c r="H9" i="7" s="1"/>
  <c r="H11" i="7" s="1"/>
  <c r="F9" i="7"/>
  <c r="F11" i="7" s="1"/>
  <c r="C15" i="1"/>
  <c r="K15" i="1"/>
  <c r="K16" i="1" s="1"/>
  <c r="D16" i="1"/>
  <c r="K11" i="1"/>
  <c r="C11" i="1"/>
  <c r="H21" i="6"/>
  <c r="H22" i="6" s="1"/>
  <c r="F22" i="6"/>
  <c r="C24" i="9"/>
  <c r="D16" i="9"/>
  <c r="C19" i="9"/>
  <c r="F11" i="2"/>
  <c r="D23" i="9"/>
  <c r="J23" i="9" s="1"/>
  <c r="D8" i="7"/>
  <c r="D9" i="7" s="1"/>
  <c r="D11" i="7" s="1"/>
  <c r="B9" i="7"/>
  <c r="B11" i="7" s="1"/>
  <c r="C18" i="6"/>
  <c r="H33" i="2"/>
  <c r="V33" i="2"/>
  <c r="X12" i="2"/>
  <c r="H12" i="6"/>
  <c r="H13" i="6" s="1"/>
  <c r="F13" i="6"/>
  <c r="R34" i="2"/>
  <c r="H8" i="9"/>
  <c r="H9" i="9" s="1"/>
  <c r="F9" i="9"/>
  <c r="F20" i="2"/>
  <c r="B29" i="1"/>
  <c r="J28" i="1"/>
  <c r="J29" i="1" s="1"/>
  <c r="K34" i="1"/>
  <c r="C34" i="1"/>
  <c r="X21" i="2"/>
  <c r="C22" i="6"/>
  <c r="J28" i="2"/>
  <c r="J29" i="2" s="1"/>
  <c r="C28" i="2"/>
  <c r="D29" i="2"/>
  <c r="V10" i="2"/>
  <c r="H10" i="2"/>
  <c r="C9" i="8"/>
  <c r="C11" i="8" s="1"/>
  <c r="D8" i="8"/>
  <c r="D9" i="8" s="1"/>
  <c r="D11" i="8" s="1"/>
  <c r="F28" i="2"/>
  <c r="G29" i="2"/>
  <c r="M33" i="2"/>
  <c r="T33" i="2"/>
  <c r="J10" i="1"/>
  <c r="H20" i="2"/>
  <c r="V20" i="2"/>
  <c r="C32" i="6"/>
  <c r="M28" i="2"/>
  <c r="N29" i="2"/>
  <c r="T28" i="2"/>
  <c r="T29" i="2" s="1"/>
  <c r="Q12" i="2"/>
  <c r="P9" i="2"/>
  <c r="H29" i="6"/>
  <c r="F32" i="6"/>
  <c r="E35" i="2"/>
  <c r="L29" i="1"/>
  <c r="F34" i="2"/>
  <c r="M20" i="2"/>
  <c r="T20" i="2"/>
  <c r="D35" i="1"/>
  <c r="C32" i="1"/>
  <c r="K32" i="1"/>
  <c r="P15" i="2"/>
  <c r="Q16" i="2"/>
  <c r="D17" i="6"/>
  <c r="O12" i="2"/>
  <c r="P34" i="2"/>
  <c r="X16" i="2"/>
  <c r="G10" i="1"/>
  <c r="P20" i="2"/>
  <c r="V9" i="2"/>
  <c r="H9" i="2"/>
  <c r="B12" i="2"/>
  <c r="F9" i="8"/>
  <c r="F11" i="8" s="1"/>
  <c r="H8" i="8"/>
  <c r="H9" i="8" s="1"/>
  <c r="H11" i="8" s="1"/>
  <c r="J34" i="1"/>
  <c r="B16" i="1"/>
  <c r="J15" i="1"/>
  <c r="J16" i="1" s="1"/>
  <c r="O21" i="2"/>
  <c r="F29" i="1"/>
  <c r="E21" i="2"/>
  <c r="E25" i="2"/>
  <c r="L35" i="2"/>
  <c r="R32" i="2"/>
  <c r="D21" i="1"/>
  <c r="C19" i="1"/>
  <c r="K19" i="1"/>
  <c r="O16" i="2"/>
  <c r="P10" i="2"/>
  <c r="G13" i="6"/>
  <c r="R15" i="2"/>
  <c r="R16" i="2" s="1"/>
  <c r="L16" i="2"/>
  <c r="B22" i="6"/>
  <c r="D21" i="6"/>
  <c r="D22" i="6" s="1"/>
  <c r="T11" i="2"/>
  <c r="M11" i="2"/>
  <c r="P19" i="2"/>
  <c r="Q21" i="2"/>
  <c r="E16" i="2"/>
  <c r="L21" i="1"/>
  <c r="O35" i="2"/>
  <c r="N35" i="2"/>
  <c r="M32" i="2"/>
  <c r="T32" i="2"/>
  <c r="S32" i="2" s="1"/>
  <c r="V11" i="2"/>
  <c r="H11" i="2"/>
  <c r="H22" i="9"/>
  <c r="F24" i="9"/>
  <c r="V24" i="2"/>
  <c r="V25" i="2" s="1"/>
  <c r="B25" i="2"/>
  <c r="H24" i="2"/>
  <c r="H25" i="2" s="1"/>
  <c r="P11" i="2"/>
  <c r="B24" i="9"/>
  <c r="D22" i="9"/>
  <c r="F19" i="9"/>
  <c r="H16" i="9"/>
  <c r="D16" i="2"/>
  <c r="J15" i="2"/>
  <c r="J16" i="2" s="1"/>
  <c r="C15" i="2"/>
  <c r="D18" i="9"/>
  <c r="F10" i="2"/>
  <c r="R11" i="2"/>
  <c r="G18" i="6"/>
  <c r="H16" i="6"/>
  <c r="J24" i="1"/>
  <c r="J25" i="1" s="1"/>
  <c r="B25" i="1"/>
  <c r="G13" i="9"/>
  <c r="F16" i="1"/>
  <c r="V32" i="2"/>
  <c r="H32" i="2"/>
  <c r="B35" i="2"/>
  <c r="H25" i="1"/>
  <c r="G24" i="1"/>
  <c r="G25" i="2"/>
  <c r="F25" i="2" s="1"/>
  <c r="F24" i="2"/>
  <c r="G19" i="9"/>
  <c r="G22" i="6"/>
  <c r="X35" i="2"/>
  <c r="H17" i="6"/>
  <c r="F18" i="6"/>
  <c r="F12" i="1"/>
  <c r="H8" i="6"/>
  <c r="D31" i="6"/>
  <c r="H17" i="9"/>
  <c r="H31" i="6"/>
  <c r="V15" i="2"/>
  <c r="V16" i="2" s="1"/>
  <c r="B16" i="2"/>
  <c r="H15" i="2"/>
  <c r="H16" i="2" s="1"/>
  <c r="D35" i="2"/>
  <c r="J32" i="2"/>
  <c r="C32" i="2"/>
  <c r="O29" i="2"/>
  <c r="C9" i="7"/>
  <c r="C11" i="7" s="1"/>
  <c r="D17" i="9"/>
  <c r="B19" i="9"/>
  <c r="X29" i="2"/>
  <c r="L25" i="1"/>
  <c r="G32" i="1"/>
  <c r="H35" i="1"/>
  <c r="G35" i="1" s="1"/>
  <c r="H18" i="9"/>
  <c r="J19" i="1"/>
  <c r="B21" i="1"/>
  <c r="E29" i="2"/>
  <c r="H19" i="2"/>
  <c r="V19" i="2"/>
  <c r="B21" i="2"/>
  <c r="N21" i="2"/>
  <c r="M21" i="2" s="1"/>
  <c r="T19" i="2"/>
  <c r="M19" i="2"/>
  <c r="D12" i="6"/>
  <c r="D13" i="6" s="1"/>
  <c r="B13" i="6"/>
  <c r="P28" i="2"/>
  <c r="Q29" i="2"/>
  <c r="F26" i="6"/>
  <c r="H25" i="6"/>
  <c r="H26" i="6" s="1"/>
  <c r="G20" i="1"/>
  <c r="C20" i="1"/>
  <c r="K20" i="1"/>
  <c r="H30" i="6"/>
  <c r="D29" i="1"/>
  <c r="C28" i="1"/>
  <c r="K28" i="1"/>
  <c r="K29" i="1" s="1"/>
  <c r="C13" i="9"/>
  <c r="G9" i="1"/>
  <c r="H12" i="1"/>
  <c r="G12" i="1" s="1"/>
  <c r="C24" i="1"/>
  <c r="D25" i="1"/>
  <c r="K24" i="1"/>
  <c r="K25" i="1" s="1"/>
  <c r="G34" i="1"/>
  <c r="D30" i="6"/>
  <c r="F19" i="2"/>
  <c r="G21" i="2"/>
  <c r="D12" i="2"/>
  <c r="C12" i="2" s="1"/>
  <c r="J9" i="2"/>
  <c r="C9" i="2"/>
  <c r="H34" i="2"/>
  <c r="V34" i="2"/>
  <c r="P33" i="2"/>
  <c r="G15" i="1"/>
  <c r="H16" i="1"/>
  <c r="G12" i="2"/>
  <c r="F9" i="2"/>
  <c r="C24" i="2"/>
  <c r="D25" i="2"/>
  <c r="J24" i="2"/>
  <c r="J25" i="2" s="1"/>
  <c r="B9" i="6"/>
  <c r="G9" i="7"/>
  <c r="G11" i="7" s="1"/>
  <c r="F13" i="9"/>
  <c r="H12" i="9"/>
  <c r="H13" i="9" s="1"/>
  <c r="F33" i="2"/>
  <c r="L16" i="1"/>
  <c r="F25" i="1"/>
  <c r="D29" i="6"/>
  <c r="B32" i="6"/>
  <c r="G28" i="1"/>
  <c r="H29" i="1"/>
  <c r="G11" i="1"/>
  <c r="M34" i="2"/>
  <c r="T34" i="2"/>
  <c r="D12" i="1"/>
  <c r="C12" i="1" s="1"/>
  <c r="C9" i="1"/>
  <c r="K9" i="1"/>
  <c r="M14" i="4"/>
  <c r="M30" i="4"/>
  <c r="M31" i="4" s="1"/>
  <c r="I19" i="5"/>
  <c r="M19" i="5" s="1"/>
  <c r="Q19" i="5"/>
  <c r="C20" i="5"/>
  <c r="C36" i="5" s="1"/>
  <c r="C38" i="5" s="1"/>
  <c r="E38" i="5" s="1"/>
  <c r="E43" i="5" s="1"/>
  <c r="J21" i="1" l="1"/>
  <c r="W34" i="2"/>
  <c r="P12" i="2"/>
  <c r="C16" i="2"/>
  <c r="J31" i="6"/>
  <c r="C29" i="2"/>
  <c r="S10" i="2"/>
  <c r="S25" i="2"/>
  <c r="J25" i="6"/>
  <c r="J26" i="6" s="1"/>
  <c r="C35" i="2"/>
  <c r="W19" i="2"/>
  <c r="H24" i="9"/>
  <c r="D18" i="6"/>
  <c r="I29" i="2"/>
  <c r="T21" i="2"/>
  <c r="I25" i="2"/>
  <c r="S11" i="2"/>
  <c r="J12" i="1"/>
  <c r="R21" i="2"/>
  <c r="C35" i="1"/>
  <c r="G29" i="1"/>
  <c r="G25" i="1"/>
  <c r="F26" i="9"/>
  <c r="F12" i="2"/>
  <c r="I9" i="2"/>
  <c r="J30" i="6"/>
  <c r="J22" i="9"/>
  <c r="J24" i="9" s="1"/>
  <c r="P21" i="2"/>
  <c r="S19" i="2"/>
  <c r="J17" i="9"/>
  <c r="W32" i="2"/>
  <c r="K35" i="1"/>
  <c r="C34" i="6"/>
  <c r="I15" i="2"/>
  <c r="J18" i="9"/>
  <c r="H19" i="9"/>
  <c r="P16" i="2"/>
  <c r="C25" i="1"/>
  <c r="E37" i="2"/>
  <c r="S33" i="2"/>
  <c r="J12" i="9"/>
  <c r="J13" i="9" s="1"/>
  <c r="H18" i="6"/>
  <c r="G26" i="9"/>
  <c r="S16" i="2"/>
  <c r="S20" i="2"/>
  <c r="X37" i="2"/>
  <c r="O37" i="2"/>
  <c r="C26" i="9"/>
  <c r="K12" i="1"/>
  <c r="M25" i="2"/>
  <c r="L37" i="1"/>
  <c r="I19" i="2"/>
  <c r="R12" i="2"/>
  <c r="D24" i="9"/>
  <c r="G16" i="1"/>
  <c r="P29" i="2"/>
  <c r="V21" i="2"/>
  <c r="V35" i="2"/>
  <c r="P35" i="2"/>
  <c r="J17" i="6"/>
  <c r="D9" i="6"/>
  <c r="S29" i="2"/>
  <c r="W33" i="2"/>
  <c r="R35" i="2"/>
  <c r="J16" i="9"/>
  <c r="I10" i="2"/>
  <c r="F16" i="2"/>
  <c r="J16" i="6"/>
  <c r="L37" i="2"/>
  <c r="W20" i="2"/>
  <c r="J35" i="1"/>
  <c r="J37" i="1" s="1"/>
  <c r="I24" i="2"/>
  <c r="H35" i="2"/>
  <c r="W15" i="2"/>
  <c r="W16" i="2" s="1"/>
  <c r="T12" i="2"/>
  <c r="S28" i="2"/>
  <c r="S34" i="2"/>
  <c r="W28" i="2"/>
  <c r="W29" i="2" s="1"/>
  <c r="J8" i="6"/>
  <c r="F35" i="2"/>
  <c r="D37" i="2"/>
  <c r="F37" i="1"/>
  <c r="B37" i="1"/>
  <c r="N37" i="2"/>
  <c r="J21" i="6"/>
  <c r="J22" i="6" s="1"/>
  <c r="I32" i="2"/>
  <c r="W24" i="2"/>
  <c r="W25" i="2" s="1"/>
  <c r="G37" i="2"/>
  <c r="C21" i="1"/>
  <c r="B37" i="2"/>
  <c r="J12" i="2"/>
  <c r="H9" i="6"/>
  <c r="J8" i="7"/>
  <c r="J9" i="7" s="1"/>
  <c r="J11" i="7" s="1"/>
  <c r="T35" i="2"/>
  <c r="C16" i="1"/>
  <c r="I20" i="2"/>
  <c r="J8" i="8"/>
  <c r="J9" i="8" s="1"/>
  <c r="J11" i="8" s="1"/>
  <c r="D32" i="6"/>
  <c r="B34" i="6"/>
  <c r="H32" i="6"/>
  <c r="K21" i="1"/>
  <c r="M35" i="2"/>
  <c r="F29" i="2"/>
  <c r="H12" i="2"/>
  <c r="F34" i="6"/>
  <c r="D37" i="1"/>
  <c r="I34" i="2"/>
  <c r="W9" i="2"/>
  <c r="G34" i="6"/>
  <c r="P25" i="2"/>
  <c r="I11" i="2"/>
  <c r="Q37" i="2"/>
  <c r="W10" i="2"/>
  <c r="J35" i="2"/>
  <c r="S9" i="2"/>
  <c r="S24" i="2"/>
  <c r="W11" i="2"/>
  <c r="M16" i="2"/>
  <c r="C29" i="1"/>
  <c r="H37" i="1"/>
  <c r="S15" i="2"/>
  <c r="J29" i="6"/>
  <c r="I28" i="2"/>
  <c r="J12" i="6"/>
  <c r="J13" i="6" s="1"/>
  <c r="J8" i="9"/>
  <c r="J9" i="9" s="1"/>
  <c r="D19" i="9"/>
  <c r="V12" i="2"/>
  <c r="H21" i="2"/>
  <c r="B26" i="9"/>
  <c r="I16" i="2"/>
  <c r="C25" i="2"/>
  <c r="I33" i="2"/>
  <c r="J21" i="2"/>
  <c r="F21" i="2"/>
  <c r="M29" i="2"/>
  <c r="C21" i="2"/>
  <c r="M22" i="4"/>
  <c r="M36" i="5"/>
  <c r="S21" i="2" l="1"/>
  <c r="J19" i="9"/>
  <c r="W21" i="2"/>
  <c r="G37" i="1"/>
  <c r="P37" i="2"/>
  <c r="H26" i="9"/>
  <c r="J32" i="6"/>
  <c r="F37" i="2"/>
  <c r="S35" i="2"/>
  <c r="D34" i="6"/>
  <c r="D26" i="9"/>
  <c r="W35" i="2"/>
  <c r="R37" i="2"/>
  <c r="S12" i="2"/>
  <c r="V37" i="2"/>
  <c r="K37" i="1"/>
  <c r="J18" i="6"/>
  <c r="J37" i="2"/>
  <c r="J9" i="6"/>
  <c r="T37" i="2"/>
  <c r="I12" i="2"/>
  <c r="M37" i="2"/>
  <c r="I35" i="2"/>
  <c r="H37" i="2"/>
  <c r="H34" i="6"/>
  <c r="C37" i="1"/>
  <c r="W12" i="2"/>
  <c r="C37" i="2"/>
  <c r="I21" i="2"/>
  <c r="J26" i="9"/>
  <c r="M23" i="4"/>
  <c r="M39" i="4" s="1"/>
  <c r="J34" i="6" l="1"/>
  <c r="S37" i="2"/>
  <c r="W37" i="2"/>
  <c r="I37" i="2"/>
  <c r="O35" i="4" l="1"/>
  <c r="O12" i="4"/>
  <c r="O10" i="4"/>
  <c r="O13" i="4"/>
  <c r="O11" i="4"/>
  <c r="O22" i="4"/>
  <c r="O36" i="4"/>
  <c r="O26" i="4"/>
  <c r="O27" i="4" s="1"/>
  <c r="O17" i="4"/>
  <c r="O18" i="4" s="1"/>
  <c r="O21" i="4"/>
  <c r="O30" i="4"/>
  <c r="O31" i="4" s="1"/>
  <c r="O34" i="4"/>
  <c r="O9" i="4"/>
  <c r="O23" i="4" l="1"/>
  <c r="O37" i="4"/>
  <c r="O14" i="4"/>
  <c r="O39" i="4" l="1"/>
  <c r="Q8" i="94" l="1"/>
  <c r="Q9" i="94" s="1"/>
  <c r="Q35" i="94" l="1"/>
  <c r="Q34" i="94" l="1"/>
  <c r="Q21" i="94" l="1"/>
  <c r="Q30" i="94" l="1"/>
  <c r="Q31" i="94" s="1"/>
  <c r="Q11" i="94"/>
  <c r="Q15" i="94" s="1"/>
  <c r="Q18" i="94"/>
  <c r="Q23" i="94" s="1"/>
  <c r="Q36" i="94"/>
  <c r="Q38" i="94" s="1"/>
  <c r="Q40" i="94" l="1"/>
</calcChain>
</file>

<file path=xl/sharedStrings.xml><?xml version="1.0" encoding="utf-8"?>
<sst xmlns="http://schemas.openxmlformats.org/spreadsheetml/2006/main" count="434" uniqueCount="150">
  <si>
    <t>SUMMARY</t>
  </si>
  <si>
    <t>Hong Kong Stock Exchange</t>
  </si>
  <si>
    <t>Great Wall Motor (2333)</t>
  </si>
  <si>
    <t>Buy and Sell Spot</t>
  </si>
  <si>
    <t>Account</t>
  </si>
  <si>
    <t>BUY Spot Shares</t>
  </si>
  <si>
    <t>AVERAGE Spot</t>
  </si>
  <si>
    <t>BUY Spot HKD</t>
  </si>
  <si>
    <t>SELL Spot Shares</t>
  </si>
  <si>
    <t>SELL Spot HKD</t>
  </si>
  <si>
    <t>Net Buy (Sell)Shares</t>
  </si>
  <si>
    <t>Net HKD</t>
  </si>
  <si>
    <t>Gain / Loss</t>
  </si>
  <si>
    <t>Citibank</t>
  </si>
  <si>
    <t>Account 1</t>
  </si>
  <si>
    <t>CB1-HKD</t>
  </si>
  <si>
    <t>Account 2</t>
  </si>
  <si>
    <t>CB2-HKD</t>
  </si>
  <si>
    <t>BH</t>
  </si>
  <si>
    <t>CBBH-HKD</t>
  </si>
  <si>
    <t>SUB-Total</t>
  </si>
  <si>
    <t>Bank of Singapore</t>
  </si>
  <si>
    <t>BOS</t>
  </si>
  <si>
    <t>BOS-HKD</t>
  </si>
  <si>
    <t>Deutsche Bank</t>
  </si>
  <si>
    <t>Personal</t>
  </si>
  <si>
    <t>DBPe-HKD</t>
  </si>
  <si>
    <t>PL</t>
  </si>
  <si>
    <t>DBPL-HKD</t>
  </si>
  <si>
    <t>Standard Chartered</t>
  </si>
  <si>
    <t>Stocks</t>
  </si>
  <si>
    <t>SC-HKD</t>
  </si>
  <si>
    <t>SHK Private</t>
  </si>
  <si>
    <t>SHKIS</t>
  </si>
  <si>
    <t>SHK-HKD</t>
  </si>
  <si>
    <t>Morgan Stanley</t>
  </si>
  <si>
    <t>T1</t>
  </si>
  <si>
    <t>MST1-HKD</t>
  </si>
  <si>
    <t>T2</t>
  </si>
  <si>
    <t>MST2-HKD</t>
  </si>
  <si>
    <t>MSPL-HKD</t>
  </si>
  <si>
    <t>Total</t>
  </si>
  <si>
    <t>Shares</t>
  </si>
  <si>
    <t>HKD</t>
  </si>
  <si>
    <t>SPOT</t>
  </si>
  <si>
    <t>Accu, Decu and Spot</t>
  </si>
  <si>
    <t>BUY Accu Shares</t>
  </si>
  <si>
    <t>AVERAGE Accu</t>
  </si>
  <si>
    <t>BUY Accu HKD</t>
  </si>
  <si>
    <t>Total BUY Shares</t>
  </si>
  <si>
    <t>Total AVERAGE Buy</t>
  </si>
  <si>
    <t>SELL Decu Shares</t>
  </si>
  <si>
    <t>AVERAGE Decu</t>
  </si>
  <si>
    <t>SELL Decu HKD</t>
  </si>
  <si>
    <t>Total Sell Shares</t>
  </si>
  <si>
    <t>Total AVERAGE Sell</t>
  </si>
  <si>
    <t>ACCU</t>
  </si>
  <si>
    <t>TOTAL BUY</t>
  </si>
  <si>
    <t>DECU</t>
  </si>
  <si>
    <t>TOTAL SELL</t>
  </si>
  <si>
    <t>hkd_per_usd</t>
  </si>
  <si>
    <t>jpy_per_usd</t>
  </si>
  <si>
    <t>aud_per_usd</t>
  </si>
  <si>
    <t>sgd_per_usd</t>
  </si>
  <si>
    <t>Avg. Price vs Selling Price</t>
  </si>
  <si>
    <t>Summary of Gain Loss</t>
  </si>
  <si>
    <t>Bank / Account</t>
  </si>
  <si>
    <t>January</t>
  </si>
  <si>
    <t>February</t>
  </si>
  <si>
    <t>CB1</t>
  </si>
  <si>
    <t>CB2</t>
  </si>
  <si>
    <t>Account 3</t>
  </si>
  <si>
    <t>CB3</t>
  </si>
  <si>
    <t>Berry Hill No. 1</t>
  </si>
  <si>
    <t>CBBH</t>
  </si>
  <si>
    <t>Berry Hill No. 2</t>
  </si>
  <si>
    <t>CBBH2</t>
  </si>
  <si>
    <t>DBPe</t>
  </si>
  <si>
    <t>DBPL</t>
  </si>
  <si>
    <t>SC</t>
  </si>
  <si>
    <t>SHK</t>
  </si>
  <si>
    <t>MST1</t>
  </si>
  <si>
    <t>MST2</t>
  </si>
  <si>
    <t>MSPL</t>
  </si>
  <si>
    <t>As of November 6, 2020</t>
  </si>
  <si>
    <t>Gain Loss</t>
  </si>
  <si>
    <t>Australian Securities Exchange</t>
  </si>
  <si>
    <t>Tokyo Stock Exchange</t>
  </si>
  <si>
    <t>New York Stock Exchange</t>
  </si>
  <si>
    <t>AUD</t>
  </si>
  <si>
    <t>JPY</t>
  </si>
  <si>
    <t>USD</t>
  </si>
  <si>
    <t>TOTAL</t>
  </si>
  <si>
    <t>BUY Accu</t>
  </si>
  <si>
    <t>BUY Spot</t>
  </si>
  <si>
    <t>SELL Decu</t>
  </si>
  <si>
    <t>SELL Spot</t>
  </si>
  <si>
    <t>Buy Total</t>
  </si>
  <si>
    <t>Sell Total</t>
  </si>
  <si>
    <t>MSPL-AUD</t>
  </si>
  <si>
    <t>BOS-USD</t>
  </si>
  <si>
    <t>Standard</t>
  </si>
  <si>
    <t>SC-USD</t>
  </si>
  <si>
    <t>MST1-USD</t>
  </si>
  <si>
    <t>MST2-USD</t>
  </si>
  <si>
    <t>MSPL-USD</t>
  </si>
  <si>
    <t>Singapore Exchange</t>
  </si>
  <si>
    <t>SGD</t>
  </si>
  <si>
    <t>BOS-JPY</t>
  </si>
  <si>
    <t>March</t>
  </si>
  <si>
    <t>April</t>
  </si>
  <si>
    <t>Net</t>
  </si>
  <si>
    <t>May</t>
  </si>
  <si>
    <t>June</t>
  </si>
  <si>
    <t>DBPe-USD</t>
  </si>
  <si>
    <t>DBPL-USD</t>
  </si>
  <si>
    <t>BOS-SGD</t>
  </si>
  <si>
    <t>DBPe-SGD</t>
  </si>
  <si>
    <t>July</t>
  </si>
  <si>
    <t>August</t>
  </si>
  <si>
    <t>GRAND TOTAL</t>
  </si>
  <si>
    <t>SUB TOTAL</t>
  </si>
  <si>
    <t>MORGAN STANLEY</t>
  </si>
  <si>
    <t>STANDARD CHARTERED</t>
  </si>
  <si>
    <t>DUETSCHE BANK</t>
  </si>
  <si>
    <t>BANK OF SINGAPORE</t>
  </si>
  <si>
    <t>EX RATE</t>
  </si>
  <si>
    <t>CITIBANK</t>
  </si>
  <si>
    <t>TOTAL - HKD</t>
  </si>
  <si>
    <t>JANUARY</t>
  </si>
  <si>
    <t>BANK / ACCOUNT</t>
  </si>
  <si>
    <t>SUMMARY OF GAIN / LOSS</t>
  </si>
  <si>
    <t>AVERAGE PRICE VS SELLING PRICE</t>
  </si>
  <si>
    <t>PERSONAL</t>
  </si>
  <si>
    <t>PERFECT LEGEND</t>
  </si>
  <si>
    <t>STOCKS</t>
  </si>
  <si>
    <t>TITAN 1</t>
  </si>
  <si>
    <t>TITAN 2</t>
  </si>
  <si>
    <t>September</t>
  </si>
  <si>
    <t>Sun Hung Kai</t>
  </si>
  <si>
    <t>October</t>
  </si>
  <si>
    <t>November</t>
  </si>
  <si>
    <t>December</t>
  </si>
  <si>
    <t>Singapore Account 1</t>
  </si>
  <si>
    <t>CBSG</t>
  </si>
  <si>
    <t>Singapore Account No. 1</t>
  </si>
  <si>
    <t>CBSG-HKD</t>
  </si>
  <si>
    <t>SINGAPORE A/C No. 1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</si>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</sst>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_(* #,##0.00_);_(* \(#,##0.00\);_(* &quot;-&quot;??_);_(@_)"/>
    <numFmt numFmtId="165" formatCode="#,##0.00;\(\ #,##0.00\ \)"/>
    <numFmt numFmtId="166" formatCode="[$HKD]\ #,##0.00;\(\ [$HKD]\ #,##0.00\ \)"/>
    <numFmt numFmtId="167" formatCode="[$HKD]\ #,##0.00_);\([$HKD]\ #,##0.00\)"/>
    <numFmt numFmtId="168" formatCode="[$JPY]\ #,##0.00;\(\ [$JPY]\ #,##0.00\ \)"/>
    <numFmt numFmtId="169" formatCode="[$AUD]\ #,##0.00;\(\ [$AUD]\ #,##0.00\ \)"/>
    <numFmt numFmtId="170" formatCode="[$USD]\ #,##0.00;\(\ [$USD]\ #,##0.00\ \)"/>
    <numFmt numFmtId="171" formatCode="_([$HKD]\ * #,##0.00_);_([$HKD]\ * \(#,##0.00\);_([$HKD]\ * &quot;-&quot;??_);_(@_)"/>
    <numFmt numFmtId="172" formatCode="0.0000"/>
    <numFmt numFmtId="173" formatCode="#,##0.0000"/>
    <numFmt numFmtId="174" formatCode="[$SGD]\ #,##0.00_);\([$SGD]\ #,##0.00\)"/>
    <numFmt numFmtId="175" formatCode="0.00%;\(\ 0.00%\ \)"/>
    <numFmt numFmtId="176" formatCode="d\-mmm\-yyyy"/>
    <numFmt numFmtId="177" formatCode="[$USD]\ #,##0.00_);\([$USD]\ #,##0.00\)"/>
    <numFmt numFmtId="178" formatCode="[$HKD]\ #,##0.00"/>
    <numFmt numFmtId="179" formatCode="[$USD]\ #,##0.00;[Red]\([$USD]\ #,##0.00\)"/>
    <numFmt numFmtId="180" formatCode="[$JPY]\ #,##0.00;[Red]\([$JPY]\ #,##0.00\)"/>
    <numFmt numFmtId="181" formatCode="[$SGD]\ #,##0.00;[Red]\([$SGD]\ #,##0.00\)"/>
    <numFmt numFmtId="182" formatCode="[$HKD]\ #,##0.00;[Red]\([$HKD]\ #,##0.00\)"/>
    <numFmt numFmtId="183" formatCode="#,##0.00_ ;[Red]\(#,##0.00\)"/>
    <numFmt numFmtId="184" formatCode="[$HKD]\ #,##0.00;\ \([$HKD]\ 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1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6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/>
    <xf numFmtId="0" fontId="4" fillId="0" borderId="0"/>
    <xf numFmtId="171" fontId="4" fillId="0" borderId="0"/>
    <xf numFmtId="164" fontId="4" fillId="0" borderId="0"/>
    <xf numFmtId="166" fontId="4" fillId="0" borderId="0"/>
    <xf numFmtId="43" fontId="1" fillId="0" borderId="0" applyFont="0" applyFill="0" applyBorder="0" applyAlignment="0" applyProtection="0"/>
  </cellStyleXfs>
  <cellXfs count="226">
    <xf numFmtId="0" fontId="0" fillId="0" borderId="0" xfId="0"/>
    <xf numFmtId="0" fontId="2" fillId="2" borderId="1" xfId="0" applyFont="1" applyFill="1" applyBorder="1"/>
    <xf numFmtId="164" fontId="2" fillId="0" borderId="1" xfId="1" applyFont="1" applyBorder="1"/>
    <xf numFmtId="0" fontId="3" fillId="0" borderId="0" xfId="2" applyFont="1"/>
    <xf numFmtId="0" fontId="4" fillId="0" borderId="0" xfId="2"/>
    <xf numFmtId="0" fontId="3" fillId="0" borderId="3" xfId="2" applyFont="1" applyBorder="1" applyAlignment="1">
      <alignment horizontal="center" vertical="center"/>
    </xf>
    <xf numFmtId="0" fontId="3" fillId="3" borderId="0" xfId="2" applyFont="1" applyFill="1"/>
    <xf numFmtId="0" fontId="5" fillId="0" borderId="3" xfId="2" applyFont="1" applyBorder="1"/>
    <xf numFmtId="0" fontId="3" fillId="0" borderId="3" xfId="2" applyFont="1" applyBorder="1"/>
    <xf numFmtId="0" fontId="6" fillId="0" borderId="0" xfId="2" applyFont="1" applyAlignment="1">
      <alignment horizontal="center"/>
    </xf>
    <xf numFmtId="0" fontId="6" fillId="0" borderId="0" xfId="2" applyFont="1"/>
    <xf numFmtId="0" fontId="6" fillId="0" borderId="3" xfId="2" applyFont="1" applyBorder="1" applyAlignment="1">
      <alignment horizontal="center" vertical="center"/>
    </xf>
    <xf numFmtId="0" fontId="6" fillId="3" borderId="0" xfId="2" applyFont="1" applyFill="1"/>
    <xf numFmtId="0" fontId="7" fillId="0" borderId="3" xfId="2" applyFont="1" applyBorder="1"/>
    <xf numFmtId="0" fontId="6" fillId="0" borderId="3" xfId="2" applyFont="1" applyBorder="1"/>
    <xf numFmtId="16" fontId="6" fillId="0" borderId="2" xfId="3" applyNumberFormat="1" applyFont="1" applyBorder="1" applyAlignment="1">
      <alignment horizontal="center"/>
    </xf>
    <xf numFmtId="164" fontId="4" fillId="0" borderId="0" xfId="4"/>
    <xf numFmtId="0" fontId="6" fillId="0" borderId="2" xfId="2" applyFont="1" applyBorder="1"/>
    <xf numFmtId="0" fontId="6" fillId="4" borderId="0" xfId="2" applyFont="1" applyFill="1"/>
    <xf numFmtId="0" fontId="4" fillId="0" borderId="2" xfId="2" applyBorder="1" applyAlignment="1">
      <alignment horizontal="left" indent="2"/>
    </xf>
    <xf numFmtId="0" fontId="7" fillId="0" borderId="3" xfId="2" applyFont="1" applyBorder="1" applyAlignment="1">
      <alignment horizontal="left" indent="2"/>
    </xf>
    <xf numFmtId="2" fontId="4" fillId="0" borderId="0" xfId="2" applyNumberFormat="1"/>
    <xf numFmtId="37" fontId="4" fillId="0" borderId="0" xfId="5" applyNumberFormat="1" applyAlignment="1">
      <alignment horizontal="center"/>
    </xf>
    <xf numFmtId="37" fontId="4" fillId="0" borderId="0" xfId="5" applyNumberFormat="1"/>
    <xf numFmtId="37" fontId="3" fillId="6" borderId="3" xfId="5" applyNumberFormat="1" applyFont="1" applyFill="1" applyBorder="1" applyAlignment="1">
      <alignment horizontal="center" vertical="center"/>
    </xf>
    <xf numFmtId="37" fontId="3" fillId="7" borderId="3" xfId="5" applyNumberFormat="1" applyFont="1" applyFill="1" applyBorder="1" applyAlignment="1">
      <alignment horizontal="center" vertical="center"/>
    </xf>
    <xf numFmtId="37" fontId="3" fillId="0" borderId="2" xfId="5" applyNumberFormat="1" applyFont="1" applyBorder="1" applyAlignment="1">
      <alignment horizontal="center" vertical="center"/>
    </xf>
    <xf numFmtId="37" fontId="5" fillId="0" borderId="3" xfId="5" applyNumberFormat="1" applyFont="1" applyBorder="1" applyAlignment="1">
      <alignment horizontal="center"/>
    </xf>
    <xf numFmtId="173" fontId="5" fillId="0" borderId="3" xfId="5" applyNumberFormat="1" applyFont="1" applyBorder="1" applyAlignment="1">
      <alignment horizontal="center"/>
    </xf>
    <xf numFmtId="37" fontId="3" fillId="0" borderId="3" xfId="5" applyNumberFormat="1" applyFont="1" applyBorder="1" applyAlignment="1">
      <alignment horizontal="center"/>
    </xf>
    <xf numFmtId="173" fontId="3" fillId="0" borderId="3" xfId="5" applyNumberFormat="1" applyFont="1" applyBorder="1" applyAlignment="1">
      <alignment horizontal="center"/>
    </xf>
    <xf numFmtId="37" fontId="3" fillId="0" borderId="0" xfId="5" applyNumberFormat="1" applyFont="1"/>
    <xf numFmtId="3" fontId="5" fillId="0" borderId="3" xfId="5" applyNumberFormat="1" applyFont="1" applyBorder="1" applyAlignment="1">
      <alignment horizontal="center"/>
    </xf>
    <xf numFmtId="16" fontId="3" fillId="0" borderId="2" xfId="3" applyNumberFormat="1" applyFont="1" applyBorder="1" applyAlignment="1">
      <alignment horizontal="center"/>
    </xf>
    <xf numFmtId="0" fontId="5" fillId="0" borderId="3" xfId="2" applyFont="1" applyBorder="1" applyAlignment="1">
      <alignment horizontal="left" indent="2"/>
    </xf>
    <xf numFmtId="37" fontId="3" fillId="0" borderId="0" xfId="5" applyNumberFormat="1" applyFont="1" applyAlignment="1">
      <alignment horizontal="center"/>
    </xf>
    <xf numFmtId="0" fontId="6" fillId="0" borderId="2" xfId="2" applyFont="1" applyBorder="1" applyAlignment="1">
      <alignment horizontal="center"/>
    </xf>
    <xf numFmtId="0" fontId="2" fillId="2" borderId="2" xfId="0" applyFont="1" applyFill="1" applyBorder="1"/>
    <xf numFmtId="164" fontId="2" fillId="0" borderId="2" xfId="1" applyFont="1" applyBorder="1"/>
    <xf numFmtId="166" fontId="4" fillId="0" borderId="0" xfId="5"/>
    <xf numFmtId="166" fontId="3" fillId="0" borderId="0" xfId="5" applyFont="1"/>
    <xf numFmtId="166" fontId="3" fillId="0" borderId="3" xfId="5" applyFont="1" applyBorder="1" applyAlignment="1">
      <alignment horizontal="center" vertical="center"/>
    </xf>
    <xf numFmtId="166" fontId="3" fillId="6" borderId="3" xfId="5" applyFont="1" applyFill="1" applyBorder="1" applyAlignment="1">
      <alignment horizontal="center" vertical="center"/>
    </xf>
    <xf numFmtId="166" fontId="3" fillId="7" borderId="3" xfId="5" applyFont="1" applyFill="1" applyBorder="1" applyAlignment="1">
      <alignment horizontal="center" vertical="center"/>
    </xf>
    <xf numFmtId="166" fontId="3" fillId="0" borderId="6" xfId="5" applyFont="1" applyBorder="1" applyAlignment="1">
      <alignment horizontal="center" vertical="center"/>
    </xf>
    <xf numFmtId="166" fontId="3" fillId="0" borderId="2" xfId="5" applyFont="1" applyBorder="1" applyAlignment="1">
      <alignment horizontal="center" vertical="center"/>
    </xf>
    <xf numFmtId="166" fontId="3" fillId="3" borderId="0" xfId="5" applyFont="1" applyFill="1"/>
    <xf numFmtId="166" fontId="5" fillId="0" borderId="3" xfId="5" applyFont="1" applyBorder="1"/>
    <xf numFmtId="166" fontId="0" fillId="0" borderId="0" xfId="5" applyFont="1"/>
    <xf numFmtId="166" fontId="3" fillId="0" borderId="3" xfId="5" applyFont="1" applyBorder="1"/>
    <xf numFmtId="171" fontId="4" fillId="0" borderId="0" xfId="3"/>
    <xf numFmtId="171" fontId="8" fillId="0" borderId="0" xfId="3" applyFont="1"/>
    <xf numFmtId="171" fontId="9" fillId="0" borderId="0" xfId="3" applyFont="1"/>
    <xf numFmtId="171" fontId="10" fillId="0" borderId="0" xfId="3" applyFont="1"/>
    <xf numFmtId="171" fontId="6" fillId="0" borderId="2" xfId="3" applyFont="1" applyBorder="1"/>
    <xf numFmtId="171" fontId="6" fillId="0" borderId="2" xfId="3" applyFont="1" applyBorder="1" applyAlignment="1">
      <alignment horizontal="center"/>
    </xf>
    <xf numFmtId="171" fontId="6" fillId="0" borderId="0" xfId="3" applyFont="1"/>
    <xf numFmtId="165" fontId="6" fillId="0" borderId="0" xfId="3" applyNumberFormat="1" applyFont="1" applyAlignment="1">
      <alignment horizontal="center"/>
    </xf>
    <xf numFmtId="171" fontId="6" fillId="4" borderId="0" xfId="3" applyFont="1" applyFill="1"/>
    <xf numFmtId="171" fontId="4" fillId="0" borderId="2" xfId="3" applyBorder="1" applyAlignment="1">
      <alignment horizontal="left" indent="1"/>
    </xf>
    <xf numFmtId="165" fontId="4" fillId="0" borderId="2" xfId="3" applyNumberFormat="1" applyBorder="1"/>
    <xf numFmtId="165" fontId="0" fillId="0" borderId="2" xfId="3" applyNumberFormat="1" applyFont="1" applyBorder="1"/>
    <xf numFmtId="171" fontId="6" fillId="5" borderId="2" xfId="3" applyFont="1" applyFill="1" applyBorder="1"/>
    <xf numFmtId="165" fontId="4" fillId="0" borderId="2" xfId="2" applyNumberFormat="1" applyBorder="1"/>
    <xf numFmtId="165" fontId="6" fillId="0" borderId="2" xfId="2" applyNumberFormat="1" applyFont="1" applyBorder="1"/>
    <xf numFmtId="169" fontId="6" fillId="0" borderId="2" xfId="2" applyNumberFormat="1" applyFont="1" applyBorder="1"/>
    <xf numFmtId="166" fontId="6" fillId="0" borderId="2" xfId="2" applyNumberFormat="1" applyFont="1" applyBorder="1"/>
    <xf numFmtId="168" fontId="6" fillId="0" borderId="2" xfId="2" applyNumberFormat="1" applyFont="1" applyBorder="1"/>
    <xf numFmtId="170" fontId="6" fillId="0" borderId="2" xfId="2" applyNumberFormat="1" applyFont="1" applyBorder="1"/>
    <xf numFmtId="167" fontId="4" fillId="0" borderId="0" xfId="2" applyNumberFormat="1"/>
    <xf numFmtId="165" fontId="5" fillId="0" borderId="3" xfId="2" applyNumberFormat="1" applyFont="1" applyBorder="1"/>
    <xf numFmtId="166" fontId="5" fillId="0" borderId="3" xfId="2" applyNumberFormat="1" applyFont="1" applyBorder="1"/>
    <xf numFmtId="165" fontId="3" fillId="0" borderId="3" xfId="2" applyNumberFormat="1" applyFont="1" applyBorder="1"/>
    <xf numFmtId="166" fontId="3" fillId="0" borderId="3" xfId="2" applyNumberFormat="1" applyFont="1" applyBorder="1"/>
    <xf numFmtId="165" fontId="7" fillId="0" borderId="3" xfId="2" applyNumberFormat="1" applyFont="1" applyBorder="1"/>
    <xf numFmtId="168" fontId="7" fillId="0" borderId="3" xfId="2" applyNumberFormat="1" applyFont="1" applyBorder="1"/>
    <xf numFmtId="165" fontId="6" fillId="0" borderId="3" xfId="2" applyNumberFormat="1" applyFont="1" applyBorder="1"/>
    <xf numFmtId="168" fontId="6" fillId="0" borderId="3" xfId="2" applyNumberFormat="1" applyFont="1" applyBorder="1"/>
    <xf numFmtId="169" fontId="7" fillId="0" borderId="3" xfId="2" applyNumberFormat="1" applyFont="1" applyBorder="1"/>
    <xf numFmtId="169" fontId="6" fillId="0" borderId="3" xfId="2" applyNumberFormat="1" applyFont="1" applyBorder="1"/>
    <xf numFmtId="170" fontId="7" fillId="0" borderId="3" xfId="2" applyNumberFormat="1" applyFont="1" applyBorder="1"/>
    <xf numFmtId="170" fontId="6" fillId="0" borderId="3" xfId="2" applyNumberFormat="1" applyFont="1" applyBorder="1"/>
    <xf numFmtId="174" fontId="7" fillId="0" borderId="3" xfId="2" applyNumberFormat="1" applyFont="1" applyBorder="1"/>
    <xf numFmtId="174" fontId="6" fillId="0" borderId="3" xfId="2" applyNumberFormat="1" applyFont="1" applyBorder="1"/>
    <xf numFmtId="0" fontId="3" fillId="0" borderId="2" xfId="2" applyFont="1" applyBorder="1" applyAlignment="1">
      <alignment horizontal="center"/>
    </xf>
    <xf numFmtId="174" fontId="6" fillId="0" borderId="2" xfId="2" applyNumberFormat="1" applyFont="1" applyBorder="1"/>
    <xf numFmtId="172" fontId="4" fillId="0" borderId="0" xfId="2" applyNumberFormat="1"/>
    <xf numFmtId="0" fontId="12" fillId="0" borderId="0" xfId="0" applyFont="1" applyAlignment="1">
      <alignment horizontal="left" vertical="center"/>
    </xf>
    <xf numFmtId="3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7" fontId="11" fillId="0" borderId="0" xfId="0" applyNumberFormat="1" applyFont="1" applyAlignment="1">
      <alignment horizontal="right" vertical="center"/>
    </xf>
    <xf numFmtId="173" fontId="11" fillId="0" borderId="0" xfId="0" applyNumberFormat="1" applyFont="1" applyAlignment="1">
      <alignment horizontal="center" vertical="center"/>
    </xf>
    <xf numFmtId="167" fontId="11" fillId="0" borderId="0" xfId="0" applyNumberFormat="1" applyFont="1" applyAlignment="1">
      <alignment horizontal="right" vertical="center"/>
    </xf>
    <xf numFmtId="37" fontId="5" fillId="0" borderId="0" xfId="0" applyNumberFormat="1" applyFont="1" applyAlignment="1">
      <alignment horizontal="right" vertical="center"/>
    </xf>
    <xf numFmtId="173" fontId="5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77" fontId="11" fillId="0" borderId="0" xfId="0" applyNumberFormat="1" applyFont="1" applyAlignment="1">
      <alignment horizontal="right" vertical="center"/>
    </xf>
    <xf numFmtId="39" fontId="1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3" fillId="0" borderId="2" xfId="2" applyNumberFormat="1" applyFont="1" applyBorder="1" applyAlignment="1">
      <alignment horizontal="center"/>
    </xf>
    <xf numFmtId="16" fontId="3" fillId="0" borderId="9" xfId="3" applyNumberFormat="1" applyFont="1" applyBorder="1" applyAlignment="1">
      <alignment horizontal="center"/>
    </xf>
    <xf numFmtId="165" fontId="4" fillId="0" borderId="9" xfId="3" applyNumberFormat="1" applyBorder="1"/>
    <xf numFmtId="171" fontId="6" fillId="0" borderId="9" xfId="3" applyFont="1" applyBorder="1"/>
    <xf numFmtId="164" fontId="14" fillId="0" borderId="0" xfId="0" applyNumberFormat="1" applyFont="1"/>
    <xf numFmtId="164" fontId="14" fillId="0" borderId="0" xfId="6" applyNumberFormat="1" applyFont="1"/>
    <xf numFmtId="164" fontId="15" fillId="0" borderId="0" xfId="0" applyNumberFormat="1" applyFont="1"/>
    <xf numFmtId="164" fontId="15" fillId="0" borderId="5" xfId="6" applyNumberFormat="1" applyFont="1" applyBorder="1"/>
    <xf numFmtId="164" fontId="15" fillId="0" borderId="4" xfId="6" applyNumberFormat="1" applyFont="1" applyBorder="1"/>
    <xf numFmtId="164" fontId="15" fillId="0" borderId="4" xfId="0" applyNumberFormat="1" applyFont="1" applyBorder="1"/>
    <xf numFmtId="164" fontId="14" fillId="0" borderId="12" xfId="6" applyNumberFormat="1" applyFont="1" applyBorder="1"/>
    <xf numFmtId="164" fontId="14" fillId="0" borderId="9" xfId="6" applyNumberFormat="1" applyFont="1" applyBorder="1"/>
    <xf numFmtId="164" fontId="14" fillId="0" borderId="16" xfId="6" applyNumberFormat="1" applyFont="1" applyBorder="1"/>
    <xf numFmtId="178" fontId="14" fillId="0" borderId="9" xfId="6" applyNumberFormat="1" applyFont="1" applyBorder="1"/>
    <xf numFmtId="164" fontId="14" fillId="0" borderId="5" xfId="6" applyNumberFormat="1" applyFont="1" applyBorder="1"/>
    <xf numFmtId="164" fontId="15" fillId="0" borderId="12" xfId="6" applyNumberFormat="1" applyFont="1" applyBorder="1"/>
    <xf numFmtId="164" fontId="15" fillId="0" borderId="13" xfId="6" applyNumberFormat="1" applyFont="1" applyBorder="1"/>
    <xf numFmtId="164" fontId="15" fillId="0" borderId="13" xfId="0" applyNumberFormat="1" applyFont="1" applyBorder="1"/>
    <xf numFmtId="164" fontId="14" fillId="0" borderId="4" xfId="6" applyNumberFormat="1" applyFont="1" applyBorder="1"/>
    <xf numFmtId="164" fontId="14" fillId="0" borderId="8" xfId="6" applyNumberFormat="1" applyFont="1" applyBorder="1"/>
    <xf numFmtId="164" fontId="14" fillId="0" borderId="0" xfId="6" applyNumberFormat="1" applyFont="1" applyBorder="1"/>
    <xf numFmtId="164" fontId="14" fillId="0" borderId="14" xfId="6" applyNumberFormat="1" applyFont="1" applyBorder="1"/>
    <xf numFmtId="164" fontId="15" fillId="0" borderId="9" xfId="0" applyNumberFormat="1" applyFont="1" applyBorder="1"/>
    <xf numFmtId="164" fontId="15" fillId="0" borderId="0" xfId="6" applyNumberFormat="1" applyFont="1" applyAlignment="1">
      <alignment horizontal="center"/>
    </xf>
    <xf numFmtId="164" fontId="15" fillId="4" borderId="0" xfId="0" applyNumberFormat="1" applyFont="1" applyFill="1"/>
    <xf numFmtId="164" fontId="14" fillId="0" borderId="0" xfId="6" applyNumberFormat="1" applyFont="1" applyBorder="1" applyAlignment="1">
      <alignment horizontal="center"/>
    </xf>
    <xf numFmtId="179" fontId="14" fillId="0" borderId="9" xfId="6" applyNumberFormat="1" applyFont="1" applyBorder="1"/>
    <xf numFmtId="180" fontId="14" fillId="0" borderId="9" xfId="6" applyNumberFormat="1" applyFont="1" applyBorder="1"/>
    <xf numFmtId="181" fontId="14" fillId="0" borderId="8" xfId="6" applyNumberFormat="1" applyFont="1" applyBorder="1"/>
    <xf numFmtId="181" fontId="14" fillId="0" borderId="9" xfId="6" applyNumberFormat="1" applyFont="1" applyBorder="1"/>
    <xf numFmtId="182" fontId="14" fillId="0" borderId="9" xfId="6" applyNumberFormat="1" applyFont="1" applyBorder="1"/>
    <xf numFmtId="182" fontId="14" fillId="0" borderId="4" xfId="6" applyNumberFormat="1" applyFont="1" applyBorder="1"/>
    <xf numFmtId="183" fontId="15" fillId="0" borderId="10" xfId="6" applyNumberFormat="1" applyFont="1" applyBorder="1" applyAlignment="1">
      <alignment horizontal="right"/>
    </xf>
    <xf numFmtId="183" fontId="14" fillId="0" borderId="10" xfId="6" applyNumberFormat="1" applyFont="1" applyBorder="1" applyAlignment="1">
      <alignment horizontal="right"/>
    </xf>
    <xf numFmtId="183" fontId="15" fillId="0" borderId="11" xfId="6" applyNumberFormat="1" applyFont="1" applyBorder="1" applyAlignment="1">
      <alignment horizontal="right"/>
    </xf>
    <xf numFmtId="164" fontId="14" fillId="0" borderId="9" xfId="0" applyNumberFormat="1" applyFont="1" applyBorder="1" applyAlignment="1">
      <alignment horizontal="left" indent="2"/>
    </xf>
    <xf numFmtId="164" fontId="14" fillId="0" borderId="4" xfId="0" applyNumberFormat="1" applyFont="1" applyBorder="1" applyAlignment="1">
      <alignment horizontal="left" indent="2"/>
    </xf>
    <xf numFmtId="164" fontId="14" fillId="0" borderId="0" xfId="6" applyNumberFormat="1" applyFont="1" applyAlignment="1">
      <alignment horizontal="right"/>
    </xf>
    <xf numFmtId="164" fontId="14" fillId="0" borderId="0" xfId="6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183" fontId="14" fillId="0" borderId="9" xfId="0" applyNumberFormat="1" applyFont="1" applyBorder="1" applyAlignment="1">
      <alignment horizontal="right"/>
    </xf>
    <xf numFmtId="183" fontId="15" fillId="0" borderId="9" xfId="0" applyNumberFormat="1" applyFont="1" applyBorder="1" applyAlignment="1">
      <alignment horizontal="right"/>
    </xf>
    <xf numFmtId="183" fontId="15" fillId="0" borderId="9" xfId="6" applyNumberFormat="1" applyFont="1" applyBorder="1" applyAlignment="1">
      <alignment horizontal="right"/>
    </xf>
    <xf numFmtId="183" fontId="15" fillId="0" borderId="8" xfId="6" applyNumberFormat="1" applyFont="1" applyBorder="1" applyAlignment="1">
      <alignment horizontal="right"/>
    </xf>
    <xf numFmtId="164" fontId="15" fillId="0" borderId="19" xfId="0" applyNumberFormat="1" applyFont="1" applyBorder="1" applyAlignment="1">
      <alignment horizontal="center"/>
    </xf>
    <xf numFmtId="164" fontId="16" fillId="0" borderId="0" xfId="6" applyNumberFormat="1" applyFont="1"/>
    <xf numFmtId="164" fontId="1" fillId="0" borderId="9" xfId="1" applyBorder="1"/>
    <xf numFmtId="165" fontId="3" fillId="0" borderId="0" xfId="3" applyNumberFormat="1" applyFont="1" applyAlignment="1">
      <alignment horizontal="center"/>
    </xf>
    <xf numFmtId="171" fontId="3" fillId="0" borderId="9" xfId="3" applyFont="1" applyBorder="1"/>
    <xf numFmtId="0" fontId="3" fillId="0" borderId="4" xfId="2" applyFont="1" applyBorder="1" applyAlignment="1">
      <alignment horizontal="right"/>
    </xf>
    <xf numFmtId="164" fontId="3" fillId="0" borderId="5" xfId="4" applyFont="1" applyBorder="1"/>
    <xf numFmtId="0" fontId="3" fillId="0" borderId="5" xfId="2" applyFont="1" applyBorder="1"/>
    <xf numFmtId="171" fontId="3" fillId="5" borderId="2" xfId="4" applyNumberFormat="1" applyFont="1" applyFill="1" applyBorder="1"/>
    <xf numFmtId="0" fontId="3" fillId="4" borderId="0" xfId="2" applyFont="1" applyFill="1"/>
    <xf numFmtId="171" fontId="3" fillId="4" borderId="0" xfId="3" applyFont="1" applyFill="1"/>
    <xf numFmtId="184" fontId="17" fillId="0" borderId="9" xfId="6" applyNumberFormat="1" applyFont="1" applyBorder="1"/>
    <xf numFmtId="0" fontId="11" fillId="0" borderId="2" xfId="2" applyFont="1" applyBorder="1" applyAlignment="1">
      <alignment horizontal="right"/>
    </xf>
    <xf numFmtId="164" fontId="14" fillId="0" borderId="2" xfId="4" applyFont="1" applyBorder="1"/>
    <xf numFmtId="0" fontId="11" fillId="0" borderId="2" xfId="2" applyFont="1" applyBorder="1"/>
    <xf numFmtId="171" fontId="14" fillId="0" borderId="2" xfId="4" applyNumberFormat="1" applyFont="1" applyBorder="1"/>
    <xf numFmtId="172" fontId="11" fillId="0" borderId="2" xfId="2" applyNumberFormat="1" applyFont="1" applyBorder="1"/>
    <xf numFmtId="43" fontId="14" fillId="0" borderId="0" xfId="6" applyFont="1"/>
    <xf numFmtId="43" fontId="14" fillId="0" borderId="0" xfId="6" applyFont="1" applyAlignment="1">
      <alignment horizontal="right"/>
    </xf>
    <xf numFmtId="43" fontId="14" fillId="0" borderId="0" xfId="0" applyNumberFormat="1" applyFont="1"/>
    <xf numFmtId="43" fontId="14" fillId="0" borderId="0" xfId="6" applyFont="1" applyAlignment="1">
      <alignment horizontal="center"/>
    </xf>
    <xf numFmtId="43" fontId="16" fillId="0" borderId="0" xfId="6" applyFont="1"/>
    <xf numFmtId="43" fontId="15" fillId="0" borderId="0" xfId="6" applyFont="1" applyAlignment="1">
      <alignment horizontal="center"/>
    </xf>
    <xf numFmtId="43" fontId="14" fillId="0" borderId="9" xfId="6" applyFont="1" applyBorder="1"/>
    <xf numFmtId="43" fontId="14" fillId="0" borderId="5" xfId="6" applyFont="1" applyBorder="1"/>
    <xf numFmtId="43" fontId="15" fillId="0" borderId="4" xfId="6" applyFont="1" applyBorder="1"/>
    <xf numFmtId="43" fontId="15" fillId="0" borderId="5" xfId="6" applyFont="1" applyBorder="1"/>
    <xf numFmtId="43" fontId="14" fillId="0" borderId="14" xfId="6" applyFont="1" applyBorder="1"/>
    <xf numFmtId="43" fontId="14" fillId="0" borderId="16" xfId="6" applyFont="1" applyBorder="1"/>
    <xf numFmtId="43" fontId="14" fillId="0" borderId="8" xfId="6" applyFont="1" applyBorder="1"/>
    <xf numFmtId="43" fontId="14" fillId="0" borderId="12" xfId="6" applyFont="1" applyBorder="1"/>
    <xf numFmtId="43" fontId="15" fillId="0" borderId="13" xfId="6" applyFont="1" applyBorder="1"/>
    <xf numFmtId="43" fontId="15" fillId="0" borderId="12" xfId="6" applyFont="1" applyBorder="1"/>
    <xf numFmtId="43" fontId="15" fillId="0" borderId="0" xfId="0" applyNumberFormat="1" applyFont="1"/>
    <xf numFmtId="43" fontId="14" fillId="0" borderId="4" xfId="6" applyFont="1" applyBorder="1"/>
    <xf numFmtId="37" fontId="3" fillId="0" borderId="0" xfId="5" applyNumberFormat="1" applyFont="1" applyAlignment="1">
      <alignment horizontal="center"/>
    </xf>
    <xf numFmtId="37" fontId="4" fillId="0" borderId="0" xfId="5" applyNumberFormat="1"/>
    <xf numFmtId="166" fontId="4" fillId="0" borderId="0" xfId="5"/>
    <xf numFmtId="37" fontId="4" fillId="0" borderId="0" xfId="5" applyNumberFormat="1" applyAlignment="1">
      <alignment horizontal="center"/>
    </xf>
    <xf numFmtId="183" fontId="14" fillId="0" borderId="14" xfId="0" applyNumberFormat="1" applyFont="1" applyBorder="1" applyAlignment="1">
      <alignment horizontal="right" vertical="center"/>
    </xf>
    <xf numFmtId="183" fontId="14" fillId="0" borderId="8" xfId="0" applyNumberFormat="1" applyFont="1" applyBorder="1" applyAlignment="1">
      <alignment horizontal="right" vertical="center"/>
    </xf>
    <xf numFmtId="164" fontId="14" fillId="0" borderId="17" xfId="0" applyNumberFormat="1" applyFont="1" applyBorder="1" applyAlignment="1">
      <alignment horizontal="left" vertical="center" indent="2"/>
    </xf>
    <xf numFmtId="164" fontId="14" fillId="0" borderId="13" xfId="0" applyNumberFormat="1" applyFont="1" applyBorder="1" applyAlignment="1">
      <alignment horizontal="left" vertical="center" indent="2"/>
    </xf>
    <xf numFmtId="164" fontId="14" fillId="0" borderId="14" xfId="0" applyNumberFormat="1" applyFont="1" applyBorder="1" applyAlignment="1">
      <alignment horizontal="left" vertical="center" wrapText="1" indent="2"/>
    </xf>
    <xf numFmtId="164" fontId="14" fillId="0" borderId="8" xfId="0" applyNumberFormat="1" applyFont="1" applyBorder="1" applyAlignment="1">
      <alignment horizontal="left" vertical="center" wrapText="1" indent="2"/>
    </xf>
    <xf numFmtId="183" fontId="14" fillId="0" borderId="14" xfId="6" applyNumberFormat="1" applyFont="1" applyBorder="1" applyAlignment="1">
      <alignment horizontal="right" vertical="center"/>
    </xf>
    <xf numFmtId="183" fontId="14" fillId="0" borderId="8" xfId="6" applyNumberFormat="1" applyFont="1" applyBorder="1" applyAlignment="1">
      <alignment horizontal="right" vertical="center"/>
    </xf>
    <xf numFmtId="164" fontId="14" fillId="0" borderId="14" xfId="6" applyNumberFormat="1" applyFont="1" applyBorder="1" applyAlignment="1">
      <alignment horizontal="center" vertical="center"/>
    </xf>
    <xf numFmtId="164" fontId="14" fillId="0" borderId="8" xfId="6" applyNumberFormat="1" applyFont="1" applyBorder="1" applyAlignment="1">
      <alignment horizontal="center" vertical="center"/>
    </xf>
    <xf numFmtId="183" fontId="14" fillId="0" borderId="15" xfId="6" applyNumberFormat="1" applyFont="1" applyBorder="1" applyAlignment="1">
      <alignment horizontal="right" vertical="center"/>
    </xf>
    <xf numFmtId="183" fontId="14" fillId="0" borderId="11" xfId="6" applyNumberFormat="1" applyFont="1" applyBorder="1" applyAlignment="1">
      <alignment horizontal="right" vertical="center"/>
    </xf>
    <xf numFmtId="182" fontId="14" fillId="0" borderId="14" xfId="6" applyNumberFormat="1" applyFont="1" applyBorder="1" applyAlignment="1">
      <alignment horizontal="right" vertical="center"/>
    </xf>
    <xf numFmtId="182" fontId="14" fillId="0" borderId="8" xfId="6" applyNumberFormat="1" applyFont="1" applyBorder="1" applyAlignment="1">
      <alignment horizontal="right" vertical="center"/>
    </xf>
    <xf numFmtId="183" fontId="14" fillId="0" borderId="9" xfId="6" applyNumberFormat="1" applyFont="1" applyBorder="1" applyAlignment="1">
      <alignment horizontal="right" vertical="center"/>
    </xf>
    <xf numFmtId="0" fontId="0" fillId="0" borderId="8" xfId="0" applyBorder="1"/>
    <xf numFmtId="182" fontId="14" fillId="0" borderId="9" xfId="6" applyNumberFormat="1" applyFont="1" applyBorder="1" applyAlignment="1">
      <alignment horizontal="right" vertical="center"/>
    </xf>
    <xf numFmtId="43" fontId="14" fillId="0" borderId="9" xfId="6" applyFont="1" applyBorder="1" applyAlignment="1">
      <alignment horizontal="center" vertical="center"/>
    </xf>
    <xf numFmtId="183" fontId="14" fillId="0" borderId="10" xfId="6" applyNumberFormat="1" applyFont="1" applyBorder="1" applyAlignment="1">
      <alignment horizontal="right" vertical="center"/>
    </xf>
    <xf numFmtId="0" fontId="0" fillId="0" borderId="11" xfId="0" applyBorder="1"/>
    <xf numFmtId="164" fontId="15" fillId="0" borderId="22" xfId="6" applyNumberFormat="1" applyFont="1" applyBorder="1" applyAlignment="1">
      <alignment horizontal="center"/>
    </xf>
    <xf numFmtId="164" fontId="15" fillId="0" borderId="21" xfId="6" applyNumberFormat="1" applyFont="1" applyBorder="1" applyAlignment="1">
      <alignment horizontal="center"/>
    </xf>
    <xf numFmtId="164" fontId="15" fillId="0" borderId="20" xfId="6" applyNumberFormat="1" applyFont="1" applyBorder="1" applyAlignment="1">
      <alignment horizontal="center"/>
    </xf>
    <xf numFmtId="164" fontId="15" fillId="0" borderId="14" xfId="0" applyNumberFormat="1" applyFont="1" applyBorder="1" applyAlignment="1">
      <alignment horizontal="left" vertical="center"/>
    </xf>
    <xf numFmtId="164" fontId="15" fillId="0" borderId="7" xfId="0" applyNumberFormat="1" applyFont="1" applyBorder="1" applyAlignment="1">
      <alignment horizontal="left" vertical="center"/>
    </xf>
    <xf numFmtId="164" fontId="15" fillId="0" borderId="8" xfId="0" applyNumberFormat="1" applyFont="1" applyBorder="1" applyAlignment="1">
      <alignment horizontal="left" vertical="center"/>
    </xf>
    <xf numFmtId="183" fontId="14" fillId="0" borderId="18" xfId="6" applyNumberFormat="1" applyFont="1" applyBorder="1" applyAlignment="1">
      <alignment horizontal="right" vertical="center"/>
    </xf>
    <xf numFmtId="183" fontId="14" fillId="0" borderId="7" xfId="0" applyNumberFormat="1" applyFont="1" applyBorder="1" applyAlignment="1">
      <alignment horizontal="right" vertical="center"/>
    </xf>
    <xf numFmtId="164" fontId="14" fillId="0" borderId="14" xfId="0" applyNumberFormat="1" applyFont="1" applyBorder="1" applyAlignment="1">
      <alignment horizontal="left" vertical="center" indent="2"/>
    </xf>
    <xf numFmtId="164" fontId="14" fillId="0" borderId="7" xfId="0" applyNumberFormat="1" applyFont="1" applyBorder="1" applyAlignment="1">
      <alignment horizontal="left" vertical="center" indent="2"/>
    </xf>
    <xf numFmtId="164" fontId="14" fillId="0" borderId="8" xfId="0" applyNumberFormat="1" applyFont="1" applyBorder="1" applyAlignment="1">
      <alignment horizontal="left" vertical="center" indent="2"/>
    </xf>
    <xf numFmtId="183" fontId="14" fillId="0" borderId="7" xfId="6" applyNumberFormat="1" applyFont="1" applyBorder="1" applyAlignment="1">
      <alignment horizontal="right" vertical="center"/>
    </xf>
    <xf numFmtId="43" fontId="15" fillId="0" borderId="19" xfId="6" applyFont="1" applyBorder="1" applyAlignment="1">
      <alignment horizontal="center"/>
    </xf>
    <xf numFmtId="0" fontId="0" fillId="0" borderId="21" xfId="0" applyBorder="1"/>
    <xf numFmtId="0" fontId="0" fillId="0" borderId="20" xfId="0" applyBorder="1"/>
    <xf numFmtId="0" fontId="0" fillId="0" borderId="18" xfId="0" applyBorder="1"/>
    <xf numFmtId="0" fontId="0" fillId="0" borderId="7" xfId="0" applyBorder="1"/>
    <xf numFmtId="0" fontId="6" fillId="0" borderId="2" xfId="2" applyFont="1" applyBorder="1" applyAlignment="1">
      <alignment horizontal="center"/>
    </xf>
    <xf numFmtId="0" fontId="6" fillId="0" borderId="9" xfId="2" applyFont="1" applyBorder="1" applyAlignment="1">
      <alignment horizontal="center"/>
    </xf>
  </cellXfs>
  <cellStyles count="7">
    <cellStyle name="Comma" xfId="1" builtinId="3"/>
    <cellStyle name="Comma 2" xfId="4" xr:uid="{00000000-0005-0000-0000-000001000000}"/>
    <cellStyle name="Comma 4" xfId="6" xr:uid="{5A2E352A-C460-4C33-AECE-15F69A92A681}"/>
    <cellStyle name="Normal" xfId="0" builtinId="0"/>
    <cellStyle name="Normal 2" xfId="2" xr:uid="{00000000-0005-0000-0000-000003000000}"/>
    <cellStyle name="Normal 2 2" xfId="3" xr:uid="{00000000-0005-0000-0000-000004000000}"/>
    <cellStyle name="Normal 2 2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externalLink" Target="externalLinks/externalLink1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TV%20Equity%20Stocks/Downloads/2021-11-01-to-2021-11-30-gain_lo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\Alvin\Reports\Summary%20Gain%20Loss\2020\BYD%20Only\2020-01-31%20BYD%20Gain%20Loss%20AQDQSpo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\Alvin\Reports\Summary%20Gain%20Loss\2020\BYD%20Only\2020-01-31%20BYD%20Gain%20Loss%20SpotOn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Only"/>
      <sheetName val="AQDQSpot"/>
      <sheetName val="Sheet1"/>
      <sheetName val="Top Sheet"/>
      <sheetName val="SUMMARY"/>
      <sheetName val="SUM-HK"/>
      <sheetName val="SUM-JP"/>
      <sheetName val="SUM-AU"/>
      <sheetName val="SUM-US"/>
      <sheetName val="SUM-SG"/>
      <sheetName val="CB1-HKD"/>
      <sheetName val="CB2-HKD"/>
      <sheetName val="CB3-HKD"/>
      <sheetName val="CBBH-HKD"/>
      <sheetName val="BOS-HKD"/>
      <sheetName val="DBPL-HKD"/>
      <sheetName val="SC-HKD"/>
      <sheetName val="SHK-HKD"/>
      <sheetName val="MST1-HKD"/>
      <sheetName val="MST2-HKD"/>
      <sheetName val="MSPL-HKD"/>
      <sheetName val="CB1-USD"/>
      <sheetName val="CBBH-USD"/>
      <sheetName val="BOS-USD"/>
      <sheetName val="SHK-USD"/>
      <sheetName val="MSPL-AUD"/>
    </sheetNames>
    <sheetDataSet>
      <sheetData sheetId="0" refreshError="1"/>
      <sheetData sheetId="1" refreshError="1"/>
      <sheetData sheetId="2" refreshError="1">
        <row r="2">
          <cell r="C2">
            <v>7.85</v>
          </cell>
        </row>
        <row r="6">
          <cell r="C6">
            <v>1.4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DQSpot"/>
      <sheetName val="CB1-HKD"/>
      <sheetName val="CB2-HKD"/>
      <sheetName val="CBBH-HKD"/>
      <sheetName val="MST1-HKD"/>
      <sheetName val="Sheet1"/>
      <sheetName val="SUMMARY (2)"/>
      <sheetName val="SUM-HK"/>
      <sheetName val="SUMMARY"/>
    </sheetNames>
    <sheetDataSet>
      <sheetData sheetId="0"/>
      <sheetData sheetId="1"/>
      <sheetData sheetId="2"/>
      <sheetData sheetId="3"/>
      <sheetData sheetId="4"/>
      <sheetData sheetId="5">
        <row r="2">
          <cell r="C2">
            <v>7.45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otOnly"/>
      <sheetName val="CB1-HKD"/>
      <sheetName val="CB2-HKD"/>
      <sheetName val="CBBH-HKD"/>
      <sheetName val="MST1-HKD"/>
      <sheetName val="Sheet1"/>
      <sheetName val="SUMMARY (2)"/>
      <sheetName val="SUM-HK"/>
      <sheetName val="SUMMARY"/>
    </sheetNames>
    <sheetDataSet>
      <sheetData sheetId="0"/>
      <sheetData sheetId="1"/>
      <sheetData sheetId="2"/>
      <sheetData sheetId="3"/>
      <sheetData sheetId="4"/>
      <sheetData sheetId="5">
        <row r="2">
          <cell r="C2">
            <v>7.45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9"/>
  <sheetViews>
    <sheetView showOutlineSymbols="0" showWhiteSpace="0" topLeftCell="G1" zoomScaleNormal="100" workbookViewId="0">
      <selection activeCell="C19" sqref="C19"/>
    </sheetView>
  </sheetViews>
  <sheetFormatPr defaultRowHeight="14.25" x14ac:dyDescent="0.2"/>
  <cols>
    <col min="1" max="1" width="27.42578125" style="39" bestFit="1" customWidth="1"/>
    <col min="2" max="2" width="21.140625" style="22" bestFit="1" customWidth="1"/>
    <col min="3" max="3" width="16.42578125" style="23" bestFit="1" customWidth="1"/>
    <col min="4" max="4" width="22.28515625" style="39" bestFit="1" customWidth="1"/>
    <col min="5" max="5" width="3.5703125" style="39" bestFit="1" customWidth="1"/>
    <col min="6" max="6" width="21.140625" style="22" bestFit="1" customWidth="1"/>
    <col min="7" max="7" width="16.42578125" style="23" bestFit="1" customWidth="1"/>
    <col min="8" max="8" width="23.42578125" style="39" bestFit="1" customWidth="1"/>
    <col min="9" max="9" width="3.5703125" style="39" bestFit="1" customWidth="1"/>
    <col min="10" max="10" width="22.5703125" style="22" customWidth="1"/>
    <col min="11" max="11" width="21.85546875" style="39" bestFit="1" customWidth="1"/>
    <col min="12" max="12" width="21.140625" style="39" bestFit="1" customWidth="1"/>
    <col min="13" max="13" width="10.28515625" style="39" customWidth="1"/>
    <col min="14" max="14" width="9.140625" style="39" customWidth="1"/>
    <col min="15" max="16384" width="9.140625" style="39"/>
  </cols>
  <sheetData>
    <row r="1" spans="1:13" ht="15" customHeight="1" x14ac:dyDescent="0.25">
      <c r="A1" s="40" t="s">
        <v>0</v>
      </c>
    </row>
    <row r="2" spans="1:13" ht="15" customHeight="1" x14ac:dyDescent="0.25">
      <c r="A2" s="40" t="s">
        <v>1</v>
      </c>
    </row>
    <row r="3" spans="1:13" ht="15" customHeight="1" x14ac:dyDescent="0.25">
      <c r="A3" s="40" t="str">
        <f ca="1">INDIRECT("SUMMARY!A3")</f>
        <v>As of November 6, 2020</v>
      </c>
    </row>
    <row r="5" spans="1:13" ht="15" customHeight="1" x14ac:dyDescent="0.25">
      <c r="A5" s="40" t="s">
        <v>2</v>
      </c>
    </row>
    <row r="6" spans="1:13" ht="15" customHeight="1" x14ac:dyDescent="0.25">
      <c r="A6" s="40" t="s">
        <v>3</v>
      </c>
    </row>
    <row r="7" spans="1:13" ht="15" customHeight="1" x14ac:dyDescent="0.2">
      <c r="A7" s="41" t="s">
        <v>4</v>
      </c>
      <c r="B7" s="24" t="s">
        <v>5</v>
      </c>
      <c r="C7" s="24" t="s">
        <v>6</v>
      </c>
      <c r="D7" s="42" t="s">
        <v>7</v>
      </c>
      <c r="E7" s="41"/>
      <c r="F7" s="25" t="s">
        <v>8</v>
      </c>
      <c r="G7" s="25" t="s">
        <v>6</v>
      </c>
      <c r="H7" s="43" t="s">
        <v>9</v>
      </c>
      <c r="I7" s="44"/>
      <c r="J7" s="26" t="s">
        <v>10</v>
      </c>
      <c r="K7" s="45" t="s">
        <v>11</v>
      </c>
      <c r="L7" s="45" t="s">
        <v>12</v>
      </c>
    </row>
    <row r="8" spans="1:13" ht="15" customHeight="1" x14ac:dyDescent="0.25">
      <c r="A8" s="46" t="s">
        <v>13</v>
      </c>
    </row>
    <row r="9" spans="1:13" ht="15" customHeight="1" x14ac:dyDescent="0.25">
      <c r="A9" s="47" t="s">
        <v>14</v>
      </c>
      <c r="B9" s="27">
        <f ca="1">IFERROR(SUMIF(INDIRECT("'"&amp;M9&amp;"'!D:D"),"Buy (Spot)",INDIRECT("'"&amp;M9&amp;"'!E:E")),0)</f>
        <v>0</v>
      </c>
      <c r="C9" s="28" t="str">
        <f ca="1">IFERROR(D9/B9,"")</f>
        <v/>
      </c>
      <c r="D9" s="47">
        <f ca="1">IFERROR(SUMIF(INDIRECT("'"&amp;M9&amp;"'!D:D"),"Buy (Spot)",INDIRECT("'"&amp;M9&amp;"'!g:g")),0)</f>
        <v>0</v>
      </c>
      <c r="E9" s="47"/>
      <c r="F9" s="27">
        <f ca="1">IFERROR(SUMIF(INDIRECT("'"&amp;M9&amp;"'!D:D"),"Sell (Spot)",INDIRECT("'"&amp;M9&amp;"'!E:E")),0)</f>
        <v>0</v>
      </c>
      <c r="G9" s="28" t="str">
        <f ca="1">IFERROR(H9/F9,"")</f>
        <v/>
      </c>
      <c r="H9" s="47">
        <f ca="1">IFERROR(SUMIF(INDIRECT("'"&amp;M9&amp;"'!D:D"),"Sell (Spot)",INDIRECT("'"&amp;M9&amp;"'!g:g")),0)</f>
        <v>0</v>
      </c>
      <c r="I9" s="47"/>
      <c r="J9" s="27">
        <f ca="1">B9+F9</f>
        <v>0</v>
      </c>
      <c r="K9" s="47">
        <f ca="1">D9+H9</f>
        <v>0</v>
      </c>
      <c r="L9" s="47">
        <f ca="1">IFERROR(SUMIF(INDIRECT("'"&amp;M9&amp;"'!D:D"),"TOTAL",INDIRECT("'"&amp;M9&amp;"'!L:L")),0)</f>
        <v>0</v>
      </c>
      <c r="M9" s="48" t="s">
        <v>15</v>
      </c>
    </row>
    <row r="10" spans="1:13" ht="15" customHeight="1" x14ac:dyDescent="0.25">
      <c r="A10" s="47" t="s">
        <v>16</v>
      </c>
      <c r="B10" s="27">
        <f ca="1">IFERROR(SUMIF(INDIRECT("'"&amp;M10&amp;"'!D:D"),"Buy (Spot)",INDIRECT("'"&amp;M10&amp;"'!E:E")),0)</f>
        <v>0</v>
      </c>
      <c r="C10" s="28" t="str">
        <f ca="1">IFERROR(D10/B10,"")</f>
        <v/>
      </c>
      <c r="D10" s="47">
        <f ca="1">IFERROR(SUMIF(INDIRECT("'"&amp;M10&amp;"'!D:D"),"Buy (Spot)",INDIRECT("'"&amp;M10&amp;"'!g:g")),0)</f>
        <v>0</v>
      </c>
      <c r="E10" s="47"/>
      <c r="F10" s="27">
        <f ca="1">IFERROR(SUMIF(INDIRECT("'"&amp;M10&amp;"'!D:D"),"Sell (Spot)",INDIRECT("'"&amp;M10&amp;"'!E:E")),0)</f>
        <v>0</v>
      </c>
      <c r="G10" s="28" t="str">
        <f ca="1">IFERROR(H10/F10,"")</f>
        <v/>
      </c>
      <c r="H10" s="47">
        <f ca="1">IFERROR(SUMIF(INDIRECT("'"&amp;M10&amp;"'!D:D"),"Sell (Spot)",INDIRECT("'"&amp;M10&amp;"'!g:g")),0)</f>
        <v>0</v>
      </c>
      <c r="I10" s="47"/>
      <c r="J10" s="27">
        <f ca="1">B10+F10</f>
        <v>0</v>
      </c>
      <c r="K10" s="47">
        <f ca="1">D10+H10</f>
        <v>0</v>
      </c>
      <c r="L10" s="47">
        <f ca="1">IFERROR(SUMIF(INDIRECT("'"&amp;M10&amp;"'!D:D"),"TOTAL",INDIRECT("'"&amp;M10&amp;"'!L:L")),0)</f>
        <v>0</v>
      </c>
      <c r="M10" s="48" t="s">
        <v>17</v>
      </c>
    </row>
    <row r="11" spans="1:13" ht="15" customHeight="1" x14ac:dyDescent="0.25">
      <c r="A11" s="47" t="s">
        <v>18</v>
      </c>
      <c r="B11" s="27">
        <f ca="1">IFERROR(SUMIF(INDIRECT("'"&amp;M11&amp;"'!D:D"),"Buy (Spot)",INDIRECT("'"&amp;M11&amp;"'!E:E")),0)</f>
        <v>0</v>
      </c>
      <c r="C11" s="28" t="str">
        <f ca="1">IFERROR(D11/B11,"")</f>
        <v/>
      </c>
      <c r="D11" s="47">
        <f ca="1">IFERROR(SUMIF(INDIRECT("'"&amp;M11&amp;"'!D:D"),"Buy (Spot)",INDIRECT("'"&amp;M11&amp;"'!g:g")),0)</f>
        <v>0</v>
      </c>
      <c r="E11" s="47"/>
      <c r="F11" s="27">
        <f ca="1">IFERROR(SUMIF(INDIRECT("'"&amp;M11&amp;"'!D:D"),"Sell (Spot)",INDIRECT("'"&amp;M11&amp;"'!E:E")),0)</f>
        <v>0</v>
      </c>
      <c r="G11" s="28" t="str">
        <f ca="1">IFERROR(H11/F11,"")</f>
        <v/>
      </c>
      <c r="H11" s="47">
        <f ca="1">IFERROR(SUMIF(INDIRECT("'"&amp;M11&amp;"'!D:D"),"Sell (Spot)",INDIRECT("'"&amp;M11&amp;"'!g:g")),0)</f>
        <v>0</v>
      </c>
      <c r="I11" s="47"/>
      <c r="J11" s="27">
        <f ca="1">B11+F11</f>
        <v>0</v>
      </c>
      <c r="K11" s="47">
        <f ca="1">D11+H11</f>
        <v>0</v>
      </c>
      <c r="L11" s="47">
        <f ca="1">IFERROR(SUMIF(INDIRECT("'"&amp;M11&amp;"'!D:D"),"TOTAL",INDIRECT("'"&amp;M11&amp;"'!L:L")),0)</f>
        <v>0</v>
      </c>
      <c r="M11" s="48" t="s">
        <v>19</v>
      </c>
    </row>
    <row r="12" spans="1:13" ht="15" customHeight="1" x14ac:dyDescent="0.25">
      <c r="A12" s="49" t="s">
        <v>20</v>
      </c>
      <c r="B12" s="29">
        <f ca="1">SUM(B9:B11)</f>
        <v>0</v>
      </c>
      <c r="C12" s="30" t="str">
        <f ca="1">IFERROR(D12/B12,"")</f>
        <v/>
      </c>
      <c r="D12" s="49">
        <f ca="1">SUM(D9:D11)</f>
        <v>0</v>
      </c>
      <c r="E12" s="49"/>
      <c r="F12" s="29">
        <f ca="1">SUM(F9:F11)</f>
        <v>0</v>
      </c>
      <c r="G12" s="30" t="str">
        <f ca="1">IFERROR(H12/F12,"")</f>
        <v/>
      </c>
      <c r="H12" s="49">
        <f ca="1">SUM(H9:H11)</f>
        <v>0</v>
      </c>
      <c r="I12" s="49"/>
      <c r="J12" s="29">
        <f ca="1">SUM(J9:J11)</f>
        <v>0</v>
      </c>
      <c r="K12" s="49">
        <f ca="1">SUM(K9:K11)</f>
        <v>0</v>
      </c>
      <c r="L12" s="49">
        <f ca="1">SUM(L9:L11)</f>
        <v>0</v>
      </c>
    </row>
    <row r="14" spans="1:13" ht="15" customHeight="1" x14ac:dyDescent="0.25">
      <c r="A14" s="46" t="s">
        <v>21</v>
      </c>
    </row>
    <row r="15" spans="1:13" ht="15" customHeight="1" x14ac:dyDescent="0.25">
      <c r="A15" s="47" t="s">
        <v>22</v>
      </c>
      <c r="B15" s="27">
        <f ca="1">IFERROR(SUMIF(INDIRECT("'"&amp;M15&amp;"'!D:D"),"Buy (Spot)",INDIRECT("'"&amp;M15&amp;"'!E:E")),0)</f>
        <v>0</v>
      </c>
      <c r="C15" s="28" t="str">
        <f ca="1">IFERROR(D15/B15,"")</f>
        <v/>
      </c>
      <c r="D15" s="47">
        <f ca="1">IFERROR(SUMIF(INDIRECT("'"&amp;M15&amp;"'!D:D"),"Buy (Spot)",INDIRECT("'"&amp;M15&amp;"'!g:g")),0)</f>
        <v>0</v>
      </c>
      <c r="E15" s="47"/>
      <c r="F15" s="27">
        <f ca="1">IFERROR(SUMIF(INDIRECT("'"&amp;M15&amp;"'!D:D"),"Sell (Spot)",INDIRECT("'"&amp;M15&amp;"'!E:E")),0)</f>
        <v>0</v>
      </c>
      <c r="G15" s="28" t="str">
        <f ca="1">IFERROR(H15/F15,"")</f>
        <v/>
      </c>
      <c r="H15" s="47">
        <f ca="1">IFERROR(SUMIF(INDIRECT("'"&amp;M15&amp;"'!D:D"),"Sell (Spot)",INDIRECT("'"&amp;M15&amp;"'!g:g")),0)</f>
        <v>0</v>
      </c>
      <c r="I15" s="47"/>
      <c r="J15" s="27">
        <f ca="1">B15+F15</f>
        <v>0</v>
      </c>
      <c r="K15" s="47">
        <f ca="1">D15+H15</f>
        <v>0</v>
      </c>
      <c r="L15" s="47">
        <f ca="1">IFERROR(SUMIF(INDIRECT("'"&amp;M15&amp;"'!D:D"),"TOTAL",INDIRECT("'"&amp;M15&amp;"'!L:L")),0)</f>
        <v>0</v>
      </c>
      <c r="M15" s="48" t="s">
        <v>23</v>
      </c>
    </row>
    <row r="16" spans="1:13" s="40" customFormat="1" ht="15" customHeight="1" x14ac:dyDescent="0.25">
      <c r="A16" s="49" t="s">
        <v>20</v>
      </c>
      <c r="B16" s="29">
        <f ca="1">SUM(B15:B15)</f>
        <v>0</v>
      </c>
      <c r="C16" s="30" t="str">
        <f ca="1">IFERROR(D16/B16,"")</f>
        <v/>
      </c>
      <c r="D16" s="49">
        <f ca="1">SUM(D15:D15)</f>
        <v>0</v>
      </c>
      <c r="E16" s="49"/>
      <c r="F16" s="29">
        <f ca="1">SUM(F15:F15)</f>
        <v>0</v>
      </c>
      <c r="G16" s="30" t="str">
        <f ca="1">IFERROR(H16/F16,"")</f>
        <v/>
      </c>
      <c r="H16" s="49">
        <f ca="1">SUM(H15:H15)</f>
        <v>0</v>
      </c>
      <c r="I16" s="49"/>
      <c r="J16" s="29">
        <f ca="1">SUM(J15:J15)</f>
        <v>0</v>
      </c>
      <c r="K16" s="49">
        <f ca="1">SUM(K15:K15)</f>
        <v>0</v>
      </c>
      <c r="L16" s="49">
        <f ca="1">SUM(L15:L15)</f>
        <v>0</v>
      </c>
    </row>
    <row r="18" spans="1:13" ht="15" customHeight="1" x14ac:dyDescent="0.25">
      <c r="A18" s="46" t="s">
        <v>24</v>
      </c>
    </row>
    <row r="19" spans="1:13" ht="15" customHeight="1" x14ac:dyDescent="0.25">
      <c r="A19" s="47" t="s">
        <v>25</v>
      </c>
      <c r="B19" s="27">
        <f ca="1">IFERROR(SUMIF(INDIRECT("'"&amp;M19&amp;"'!D:D"),"Buy (Spot)",INDIRECT("'"&amp;M19&amp;"'!E:E")),0)</f>
        <v>0</v>
      </c>
      <c r="C19" s="28" t="str">
        <f ca="1">IFERROR(D19/B19,"")</f>
        <v/>
      </c>
      <c r="D19" s="47">
        <f ca="1">IFERROR(SUMIF(INDIRECT("'"&amp;M19&amp;"'!D:D"),"Buy (Spot)",INDIRECT("'"&amp;M19&amp;"'!g:g")),0)</f>
        <v>0</v>
      </c>
      <c r="E19" s="47"/>
      <c r="F19" s="27">
        <f ca="1">IFERROR(SUMIF(INDIRECT("'"&amp;M19&amp;"'!D:D"),"Sell (Spot)",INDIRECT("'"&amp;M19&amp;"'!E:E")),0)</f>
        <v>0</v>
      </c>
      <c r="G19" s="28" t="str">
        <f ca="1">IFERROR(H19/F19,"")</f>
        <v/>
      </c>
      <c r="H19" s="47">
        <f ca="1">IFERROR(SUMIF(INDIRECT("'"&amp;M19&amp;"'!D:D"),"Sell (Spot)",INDIRECT("'"&amp;M19&amp;"'!g:g")),0)</f>
        <v>0</v>
      </c>
      <c r="I19" s="47"/>
      <c r="J19" s="27">
        <f ca="1">B19+F19</f>
        <v>0</v>
      </c>
      <c r="K19" s="47">
        <f ca="1">D19+H19</f>
        <v>0</v>
      </c>
      <c r="L19" s="47">
        <f ca="1">IFERROR(SUMIF(INDIRECT("'"&amp;M19&amp;"'!D:D"),"TOTAL",INDIRECT("'"&amp;M19&amp;"'!L:L")),0)</f>
        <v>0</v>
      </c>
      <c r="M19" s="48" t="s">
        <v>26</v>
      </c>
    </row>
    <row r="20" spans="1:13" ht="15" customHeight="1" x14ac:dyDescent="0.25">
      <c r="A20" s="47" t="s">
        <v>27</v>
      </c>
      <c r="B20" s="27">
        <f ca="1">IFERROR(SUMIF(INDIRECT("'"&amp;M20&amp;"'!D:D"),"Buy (Spot)",INDIRECT("'"&amp;M20&amp;"'!E:E")),0)</f>
        <v>0</v>
      </c>
      <c r="C20" s="28" t="str">
        <f ca="1">IFERROR(D20/B20,"")</f>
        <v/>
      </c>
      <c r="D20" s="47">
        <f ca="1">IFERROR(SUMIF(INDIRECT("'"&amp;M20&amp;"'!D:D"),"Buy (Spot)",INDIRECT("'"&amp;M20&amp;"'!g:g")),0)</f>
        <v>0</v>
      </c>
      <c r="E20" s="47"/>
      <c r="F20" s="27">
        <f ca="1">IFERROR(SUMIF(INDIRECT("'"&amp;M20&amp;"'!D:D"),"Sell (Spot)",INDIRECT("'"&amp;M20&amp;"'!E:E")),0)</f>
        <v>0</v>
      </c>
      <c r="G20" s="28" t="str">
        <f ca="1">IFERROR(H20/F20,"")</f>
        <v/>
      </c>
      <c r="H20" s="47">
        <f ca="1">IFERROR(SUMIF(INDIRECT("'"&amp;M20&amp;"'!D:D"),"Sell (Spot)",INDIRECT("'"&amp;M20&amp;"'!g:g")),0)</f>
        <v>0</v>
      </c>
      <c r="I20" s="47"/>
      <c r="J20" s="27">
        <f ca="1">B20+F20</f>
        <v>0</v>
      </c>
      <c r="K20" s="47">
        <f ca="1">D20+H20</f>
        <v>0</v>
      </c>
      <c r="L20" s="47">
        <f ca="1">IFERROR(SUMIF(INDIRECT("'"&amp;M20&amp;"'!D:D"),"TOTAL",INDIRECT("'"&amp;M20&amp;"'!L:L")),0)</f>
        <v>0</v>
      </c>
      <c r="M20" s="48" t="s">
        <v>28</v>
      </c>
    </row>
    <row r="21" spans="1:13" s="40" customFormat="1" ht="15" customHeight="1" x14ac:dyDescent="0.25">
      <c r="A21" s="49" t="s">
        <v>20</v>
      </c>
      <c r="B21" s="29">
        <f ca="1">SUM(B19:B20)</f>
        <v>0</v>
      </c>
      <c r="C21" s="30" t="str">
        <f ca="1">IFERROR(D21/B21,"")</f>
        <v/>
      </c>
      <c r="D21" s="49">
        <f ca="1">SUM(D19:D20)</f>
        <v>0</v>
      </c>
      <c r="E21" s="49"/>
      <c r="F21" s="29">
        <f ca="1">SUM(F19:F20)</f>
        <v>0</v>
      </c>
      <c r="G21" s="30" t="str">
        <f ca="1">IFERROR(H21/F21,"")</f>
        <v/>
      </c>
      <c r="H21" s="49">
        <f ca="1">SUM(H19:H20)</f>
        <v>0</v>
      </c>
      <c r="I21" s="49"/>
      <c r="J21" s="29">
        <f ca="1">SUM(J19:J20)</f>
        <v>0</v>
      </c>
      <c r="K21" s="49">
        <f ca="1">SUM(K19:K20)</f>
        <v>0</v>
      </c>
      <c r="L21" s="49">
        <f ca="1">SUM(L19:L20)</f>
        <v>0</v>
      </c>
    </row>
    <row r="23" spans="1:13" ht="15" customHeight="1" x14ac:dyDescent="0.25">
      <c r="A23" s="46" t="s">
        <v>29</v>
      </c>
    </row>
    <row r="24" spans="1:13" ht="15" customHeight="1" x14ac:dyDescent="0.25">
      <c r="A24" s="47" t="s">
        <v>30</v>
      </c>
      <c r="B24" s="27">
        <f ca="1">IFERROR(SUMIF(INDIRECT("'"&amp;M24&amp;"'!D:D"),"Buy (Spot)",INDIRECT("'"&amp;M24&amp;"'!E:E")),0)</f>
        <v>0</v>
      </c>
      <c r="C24" s="28" t="str">
        <f ca="1">IFERROR(D24/B24,"")</f>
        <v/>
      </c>
      <c r="D24" s="47">
        <f ca="1">IFERROR(SUMIF(INDIRECT("'"&amp;M24&amp;"'!D:D"),"Buy (Spot)",INDIRECT("'"&amp;M24&amp;"'!g:g")),0)</f>
        <v>0</v>
      </c>
      <c r="E24" s="47"/>
      <c r="F24" s="27">
        <f ca="1">IFERROR(SUMIF(INDIRECT("'"&amp;M24&amp;"'!D:D"),"Sell (Spot)",INDIRECT("'"&amp;M24&amp;"'!E:E")),0)</f>
        <v>0</v>
      </c>
      <c r="G24" s="28" t="str">
        <f ca="1">IFERROR(H24/F24,"")</f>
        <v/>
      </c>
      <c r="H24" s="47">
        <f ca="1">IFERROR(SUMIF(INDIRECT("'"&amp;M24&amp;"'!D:D"),"Sell (Spot)",INDIRECT("'"&amp;M24&amp;"'!g:g")),0)</f>
        <v>0</v>
      </c>
      <c r="I24" s="47"/>
      <c r="J24" s="27">
        <f ca="1">B24+F24</f>
        <v>0</v>
      </c>
      <c r="K24" s="47">
        <f ca="1">D24+H24</f>
        <v>0</v>
      </c>
      <c r="L24" s="47">
        <f ca="1">IFERROR(SUMIF(INDIRECT("'"&amp;M24&amp;"'!D:D"),"TOTAL",INDIRECT("'"&amp;M24&amp;"'!L:L")),0)</f>
        <v>0</v>
      </c>
      <c r="M24" s="48" t="s">
        <v>31</v>
      </c>
    </row>
    <row r="25" spans="1:13" s="40" customFormat="1" ht="15" customHeight="1" x14ac:dyDescent="0.25">
      <c r="A25" s="49" t="s">
        <v>20</v>
      </c>
      <c r="B25" s="29">
        <f ca="1">SUM(B24:B24)</f>
        <v>0</v>
      </c>
      <c r="C25" s="30" t="str">
        <f ca="1">IFERROR(D25/B25,"")</f>
        <v/>
      </c>
      <c r="D25" s="49">
        <f ca="1">SUM(D24:D24)</f>
        <v>0</v>
      </c>
      <c r="E25" s="49"/>
      <c r="F25" s="29">
        <f ca="1">SUM(F24:F24)</f>
        <v>0</v>
      </c>
      <c r="G25" s="30" t="str">
        <f ca="1">IFERROR(H25/F25,"")</f>
        <v/>
      </c>
      <c r="H25" s="49">
        <f ca="1">SUM(H24:H24)</f>
        <v>0</v>
      </c>
      <c r="I25" s="49"/>
      <c r="J25" s="29">
        <f ca="1">SUM(J24:J24)</f>
        <v>0</v>
      </c>
      <c r="K25" s="49">
        <f ca="1">SUM(K24:K24)</f>
        <v>0</v>
      </c>
      <c r="L25" s="49">
        <f ca="1">L24</f>
        <v>0</v>
      </c>
    </row>
    <row r="27" spans="1:13" ht="15" customHeight="1" x14ac:dyDescent="0.25">
      <c r="A27" s="46" t="s">
        <v>32</v>
      </c>
    </row>
    <row r="28" spans="1:13" ht="15" customHeight="1" x14ac:dyDescent="0.25">
      <c r="A28" s="47" t="s">
        <v>33</v>
      </c>
      <c r="B28" s="27">
        <f ca="1">IFERROR(SUMIF(INDIRECT("'"&amp;M28&amp;"'!D:D"),"Buy (Spot)",INDIRECT("'"&amp;M28&amp;"'!E:E")),0)</f>
        <v>0</v>
      </c>
      <c r="C28" s="28" t="str">
        <f ca="1">IFERROR(D28/B28,"")</f>
        <v/>
      </c>
      <c r="D28" s="47">
        <f ca="1">IFERROR(SUMIF(INDIRECT("'"&amp;M28&amp;"'!D:D"),"Buy (Spot)",INDIRECT("'"&amp;M28&amp;"'!g:g")),0)</f>
        <v>0</v>
      </c>
      <c r="E28" s="47"/>
      <c r="F28" s="27">
        <f ca="1">IFERROR(SUMIF(INDIRECT("'"&amp;M28&amp;"'!D:D"),"Sell (Spot)",INDIRECT("'"&amp;M28&amp;"'!E:E")),0)</f>
        <v>0</v>
      </c>
      <c r="G28" s="28" t="str">
        <f ca="1">IFERROR(H28/F28,"")</f>
        <v/>
      </c>
      <c r="H28" s="47">
        <f ca="1">IFERROR(SUMIF(INDIRECT("'"&amp;M28&amp;"'!D:D"),"Sell (Spot)",INDIRECT("'"&amp;M28&amp;"'!g:g")),0)</f>
        <v>0</v>
      </c>
      <c r="I28" s="47"/>
      <c r="J28" s="27">
        <f ca="1">B28+F28</f>
        <v>0</v>
      </c>
      <c r="K28" s="47">
        <f ca="1">D28+H28</f>
        <v>0</v>
      </c>
      <c r="L28" s="47">
        <f ca="1">IFERROR(SUMIF(INDIRECT("'"&amp;M28&amp;"'!D:D"),"TOTAL",INDIRECT("'"&amp;M28&amp;"'!L:L")),0)</f>
        <v>0</v>
      </c>
      <c r="M28" s="48" t="s">
        <v>34</v>
      </c>
    </row>
    <row r="29" spans="1:13" s="40" customFormat="1" ht="15" customHeight="1" x14ac:dyDescent="0.25">
      <c r="A29" s="49" t="s">
        <v>20</v>
      </c>
      <c r="B29" s="29">
        <f ca="1">SUM(B28:B28)</f>
        <v>0</v>
      </c>
      <c r="C29" s="30" t="str">
        <f ca="1">IFERROR(D29/B29,"")</f>
        <v/>
      </c>
      <c r="D29" s="49">
        <f ca="1">SUM(D28:D28)</f>
        <v>0</v>
      </c>
      <c r="E29" s="49"/>
      <c r="F29" s="29">
        <f ca="1">SUM(F28:F28)</f>
        <v>0</v>
      </c>
      <c r="G29" s="30" t="str">
        <f ca="1">IFERROR(H29/F29,"")</f>
        <v/>
      </c>
      <c r="H29" s="49">
        <f ca="1">SUM(H28:H28)</f>
        <v>0</v>
      </c>
      <c r="I29" s="49"/>
      <c r="J29" s="29">
        <f ca="1">SUM(J28:J28)</f>
        <v>0</v>
      </c>
      <c r="K29" s="49">
        <f ca="1">SUM(K28:K28)</f>
        <v>0</v>
      </c>
      <c r="L29" s="49">
        <f ca="1">L28</f>
        <v>0</v>
      </c>
    </row>
    <row r="31" spans="1:13" ht="15" customHeight="1" x14ac:dyDescent="0.25">
      <c r="A31" s="46" t="s">
        <v>35</v>
      </c>
    </row>
    <row r="32" spans="1:13" ht="15" customHeight="1" x14ac:dyDescent="0.25">
      <c r="A32" s="47" t="s">
        <v>36</v>
      </c>
      <c r="B32" s="27">
        <f ca="1">IFERROR(SUMIF(INDIRECT("'"&amp;M32&amp;"'!D:D"),"Buy (Spot)",INDIRECT("'"&amp;M32&amp;"'!E:E")),0)</f>
        <v>0</v>
      </c>
      <c r="C32" s="28" t="str">
        <f ca="1">IFERROR(D32/B32,"")</f>
        <v/>
      </c>
      <c r="D32" s="47">
        <f ca="1">IFERROR(SUMIF(INDIRECT("'"&amp;M32&amp;"'!D:D"),"Buy (Spot)",INDIRECT("'"&amp;M32&amp;"'!g:g")),0)</f>
        <v>0</v>
      </c>
      <c r="E32" s="47"/>
      <c r="F32" s="27">
        <f ca="1">IFERROR(SUMIF(INDIRECT("'"&amp;M32&amp;"'!D:D"),"Sell (Spot)",INDIRECT("'"&amp;M32&amp;"'!E:E")),0)</f>
        <v>0</v>
      </c>
      <c r="G32" s="28" t="str">
        <f ca="1">IFERROR(H32/F32,"")</f>
        <v/>
      </c>
      <c r="H32" s="47">
        <f ca="1">IFERROR(SUMIF(INDIRECT("'"&amp;M32&amp;"'!D:D"),"Sell (Spot)",INDIRECT("'"&amp;M32&amp;"'!g:g")),0)</f>
        <v>0</v>
      </c>
      <c r="I32" s="47"/>
      <c r="J32" s="27">
        <f ca="1">B32+F32</f>
        <v>0</v>
      </c>
      <c r="K32" s="47">
        <f ca="1">D32+H32</f>
        <v>0</v>
      </c>
      <c r="L32" s="47">
        <f ca="1">IFERROR(SUMIF(INDIRECT("'"&amp;M32&amp;"'!D:D"),"TOTAL",INDIRECT("'"&amp;M32&amp;"'!L:L")),0)</f>
        <v>0</v>
      </c>
      <c r="M32" s="48" t="s">
        <v>37</v>
      </c>
    </row>
    <row r="33" spans="1:13" ht="15" customHeight="1" x14ac:dyDescent="0.25">
      <c r="A33" s="47" t="s">
        <v>38</v>
      </c>
      <c r="B33" s="27">
        <f ca="1">IFERROR(SUMIF(INDIRECT("'"&amp;M33&amp;"'!D:D"),"Buy (Spot)",INDIRECT("'"&amp;M33&amp;"'!E:E")),0)</f>
        <v>0</v>
      </c>
      <c r="C33" s="28" t="str">
        <f ca="1">IFERROR(D33/B33,"")</f>
        <v/>
      </c>
      <c r="D33" s="47">
        <f ca="1">IFERROR(SUMIF(INDIRECT("'"&amp;M33&amp;"'!D:D"),"Buy (Spot)",INDIRECT("'"&amp;M33&amp;"'!g:g")),0)</f>
        <v>0</v>
      </c>
      <c r="E33" s="47"/>
      <c r="F33" s="27">
        <f ca="1">IFERROR(SUMIF(INDIRECT("'"&amp;M33&amp;"'!D:D"),"Sell (Spot)",INDIRECT("'"&amp;M33&amp;"'!E:E")),0)</f>
        <v>0</v>
      </c>
      <c r="G33" s="28" t="str">
        <f ca="1">IFERROR(H33/F33,"")</f>
        <v/>
      </c>
      <c r="H33" s="47">
        <f ca="1">IFERROR(SUMIF(INDIRECT("'"&amp;M33&amp;"'!D:D"),"Sell (Spot)",INDIRECT("'"&amp;M33&amp;"'!g:g")),0)</f>
        <v>0</v>
      </c>
      <c r="I33" s="47"/>
      <c r="J33" s="27">
        <f ca="1">B33+F33</f>
        <v>0</v>
      </c>
      <c r="K33" s="47">
        <f ca="1">D33+H33</f>
        <v>0</v>
      </c>
      <c r="L33" s="47">
        <f ca="1">IFERROR(SUMIF(INDIRECT("'"&amp;M33&amp;"'!D:D"),"TOTAL",INDIRECT("'"&amp;M33&amp;"'!L:L")),0)</f>
        <v>0</v>
      </c>
      <c r="M33" s="48" t="s">
        <v>39</v>
      </c>
    </row>
    <row r="34" spans="1:13" ht="15" customHeight="1" x14ac:dyDescent="0.25">
      <c r="A34" s="47" t="s">
        <v>27</v>
      </c>
      <c r="B34" s="27">
        <f ca="1">IFERROR(SUMIF(INDIRECT("'"&amp;M34&amp;"'!D:D"),"Buy (Spot)",INDIRECT("'"&amp;M34&amp;"'!E:E")),0)</f>
        <v>0</v>
      </c>
      <c r="C34" s="28" t="str">
        <f ca="1">IFERROR(D34/B34,"")</f>
        <v/>
      </c>
      <c r="D34" s="47">
        <f ca="1">IFERROR(SUMIF(INDIRECT("'"&amp;M34&amp;"'!D:D"),"Buy (Spot)",INDIRECT("'"&amp;M34&amp;"'!g:g")),0)</f>
        <v>0</v>
      </c>
      <c r="E34" s="47"/>
      <c r="F34" s="27">
        <f ca="1">IFERROR(SUMIF(INDIRECT("'"&amp;M34&amp;"'!D:D"),"Sell (Spot)",INDIRECT("'"&amp;M34&amp;"'!E:E")),0)</f>
        <v>0</v>
      </c>
      <c r="G34" s="28" t="str">
        <f ca="1">IFERROR(H34/F34,"")</f>
        <v/>
      </c>
      <c r="H34" s="47">
        <f ca="1">IFERROR(SUMIF(INDIRECT("'"&amp;M34&amp;"'!D:D"),"Sell (Spot)",INDIRECT("'"&amp;M34&amp;"'!g:g")),0)</f>
        <v>0</v>
      </c>
      <c r="I34" s="47"/>
      <c r="J34" s="27">
        <f ca="1">B34+F34</f>
        <v>0</v>
      </c>
      <c r="K34" s="47">
        <f ca="1">D34+H34</f>
        <v>0</v>
      </c>
      <c r="L34" s="47">
        <f ca="1">IFERROR(SUMIF(INDIRECT("'"&amp;M34&amp;"'!D:D"),"TOTAL",INDIRECT("'"&amp;M34&amp;"'!L:L")),0)</f>
        <v>0</v>
      </c>
      <c r="M34" s="48" t="s">
        <v>40</v>
      </c>
    </row>
    <row r="35" spans="1:13" s="40" customFormat="1" ht="15" customHeight="1" x14ac:dyDescent="0.25">
      <c r="A35" s="49" t="s">
        <v>20</v>
      </c>
      <c r="B35" s="29">
        <f ca="1">SUM(B32:B34)</f>
        <v>0</v>
      </c>
      <c r="C35" s="30" t="str">
        <f ca="1">IFERROR(D35/B35,"")</f>
        <v/>
      </c>
      <c r="D35" s="49">
        <f ca="1">SUM(D32:D34)</f>
        <v>0</v>
      </c>
      <c r="E35" s="49"/>
      <c r="F35" s="29">
        <f ca="1">SUM(F32:F34)</f>
        <v>0</v>
      </c>
      <c r="G35" s="30" t="str">
        <f ca="1">IFERROR(H35/F35,"")</f>
        <v/>
      </c>
      <c r="H35" s="49">
        <f ca="1">SUM(H32:H34)</f>
        <v>0</v>
      </c>
      <c r="I35" s="49"/>
      <c r="J35" s="29">
        <f ca="1">SUM(J32:J34)</f>
        <v>0</v>
      </c>
      <c r="K35" s="49">
        <f ca="1">SUM(K32:K34)</f>
        <v>0</v>
      </c>
      <c r="L35" s="49">
        <f ca="1">SUM(L32:L34)</f>
        <v>0</v>
      </c>
    </row>
    <row r="37" spans="1:13" s="40" customFormat="1" ht="15" customHeight="1" x14ac:dyDescent="0.25">
      <c r="A37" s="49" t="s">
        <v>41</v>
      </c>
      <c r="B37" s="29">
        <f ca="1">SUM(B12, B16, B21, B25, B35, B29)</f>
        <v>0</v>
      </c>
      <c r="C37" s="30" t="str">
        <f ca="1">IFERROR(D37/B37,"")</f>
        <v/>
      </c>
      <c r="D37" s="49">
        <f ca="1">SUM(D12, D16, D21, D25, D35, D29)</f>
        <v>0</v>
      </c>
      <c r="E37" s="49"/>
      <c r="F37" s="29">
        <f ca="1">SUM(F12, F16, F21, F25, F35, F29)</f>
        <v>0</v>
      </c>
      <c r="G37" s="30" t="e">
        <f ca="1">H37/F37</f>
        <v>#DIV/0!</v>
      </c>
      <c r="H37" s="49">
        <f ca="1">SUM(H12, H16, H21, H25, H35, H29)</f>
        <v>0</v>
      </c>
      <c r="I37" s="49"/>
      <c r="J37" s="29">
        <f ca="1">SUM(J12, J16, J21, J25, J35, J29)</f>
        <v>0</v>
      </c>
      <c r="K37" s="49">
        <f ca="1">SUM(K12, K16, K21, K25, K35, K29)</f>
        <v>0</v>
      </c>
      <c r="L37" s="49">
        <f ca="1">SUM(L12, L16, L21, L25, L35, L29)</f>
        <v>0</v>
      </c>
    </row>
    <row r="38" spans="1:13" ht="15" customHeight="1" x14ac:dyDescent="0.25">
      <c r="B38" s="35" t="s">
        <v>42</v>
      </c>
      <c r="C38" s="35"/>
      <c r="D38" s="35" t="s">
        <v>43</v>
      </c>
      <c r="F38" s="35" t="s">
        <v>42</v>
      </c>
      <c r="G38" s="35"/>
      <c r="H38" s="35" t="s">
        <v>43</v>
      </c>
      <c r="J38" s="35" t="s">
        <v>42</v>
      </c>
      <c r="K38" s="35" t="s">
        <v>43</v>
      </c>
      <c r="L38" s="35" t="s">
        <v>43</v>
      </c>
    </row>
    <row r="39" spans="1:13" ht="15" customHeight="1" x14ac:dyDescent="0.25">
      <c r="B39" s="183" t="s">
        <v>44</v>
      </c>
      <c r="C39" s="184"/>
      <c r="D39" s="185"/>
      <c r="F39" s="183" t="s">
        <v>44</v>
      </c>
      <c r="G39" s="184"/>
      <c r="H39" s="185"/>
      <c r="I39" s="31"/>
    </row>
  </sheetData>
  <mergeCells count="2">
    <mergeCell ref="B39:D39"/>
    <mergeCell ref="F39:H39"/>
  </mergeCells>
  <pageMargins left="0.25" right="0.25" top="0.75" bottom="0.75" header="0.3" footer="0.3"/>
  <pageSetup paperSize="10001" fitToWidth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39"/>
  <sheetViews>
    <sheetView showOutlineSymbols="0" showWhiteSpace="0" zoomScaleNormal="100" workbookViewId="0">
      <selection activeCell="C19" sqref="C19"/>
    </sheetView>
  </sheetViews>
  <sheetFormatPr defaultRowHeight="14.25" x14ac:dyDescent="0.2"/>
  <cols>
    <col min="1" max="1" width="27.42578125" style="39" bestFit="1" customWidth="1"/>
    <col min="2" max="2" width="20" style="22" customWidth="1"/>
    <col min="3" max="3" width="16.5703125" style="22" bestFit="1" customWidth="1"/>
    <col min="4" max="4" width="19.5703125" style="39" customWidth="1"/>
    <col min="5" max="5" width="21.140625" style="22" bestFit="1" customWidth="1"/>
    <col min="6" max="6" width="16.42578125" style="23" bestFit="1" customWidth="1"/>
    <col min="7" max="7" width="21" style="39" customWidth="1"/>
    <col min="8" max="8" width="19.140625" style="22" bestFit="1" customWidth="1"/>
    <col min="9" max="9" width="21.42578125" style="23" bestFit="1" customWidth="1"/>
    <col min="10" max="10" width="20.28515625" style="39" customWidth="1"/>
    <col min="11" max="11" width="3.5703125" style="39" bestFit="1" customWidth="1"/>
    <col min="12" max="12" width="21.140625" style="22" bestFit="1" customWidth="1"/>
    <col min="13" max="13" width="17" style="22" bestFit="1" customWidth="1"/>
    <col min="14" max="14" width="21.140625" style="39" bestFit="1" customWidth="1"/>
    <col min="15" max="15" width="20.140625" style="22" customWidth="1"/>
    <col min="16" max="16" width="16.42578125" style="23" bestFit="1" customWidth="1"/>
    <col min="17" max="17" width="21.85546875" style="39" customWidth="1"/>
    <col min="18" max="18" width="20" style="22" customWidth="1"/>
    <col min="19" max="19" width="21.140625" style="23" customWidth="1"/>
    <col min="20" max="20" width="21.140625" style="39" bestFit="1" customWidth="1"/>
    <col min="21" max="21" width="3.5703125" style="39" bestFit="1" customWidth="1"/>
    <col min="22" max="22" width="22.5703125" style="22" customWidth="1"/>
    <col min="23" max="23" width="20.85546875" style="39" customWidth="1"/>
    <col min="24" max="24" width="19.42578125" style="39" bestFit="1" customWidth="1"/>
    <col min="25" max="25" width="10.28515625" style="39" customWidth="1"/>
    <col min="26" max="26" width="9.140625" style="39" customWidth="1"/>
    <col min="27" max="16384" width="9.140625" style="39"/>
  </cols>
  <sheetData>
    <row r="1" spans="1:25" ht="15" customHeight="1" x14ac:dyDescent="0.25">
      <c r="A1" s="40" t="s">
        <v>0</v>
      </c>
    </row>
    <row r="2" spans="1:25" ht="15" customHeight="1" x14ac:dyDescent="0.25">
      <c r="A2" s="40" t="s">
        <v>1</v>
      </c>
    </row>
    <row r="3" spans="1:25" ht="15" customHeight="1" x14ac:dyDescent="0.25">
      <c r="A3" s="40" t="str">
        <f ca="1">INDIRECT("SUMMARY!A3")</f>
        <v>As of November 6, 2020</v>
      </c>
    </row>
    <row r="5" spans="1:25" ht="15" customHeight="1" x14ac:dyDescent="0.25">
      <c r="A5" s="40" t="s">
        <v>2</v>
      </c>
    </row>
    <row r="6" spans="1:25" ht="15" customHeight="1" x14ac:dyDescent="0.25">
      <c r="A6" s="40" t="s">
        <v>45</v>
      </c>
    </row>
    <row r="7" spans="1:25" ht="15" customHeight="1" x14ac:dyDescent="0.2">
      <c r="A7" s="41" t="s">
        <v>4</v>
      </c>
      <c r="B7" s="24" t="s">
        <v>46</v>
      </c>
      <c r="C7" s="24" t="s">
        <v>47</v>
      </c>
      <c r="D7" s="42" t="s">
        <v>48</v>
      </c>
      <c r="E7" s="24" t="s">
        <v>5</v>
      </c>
      <c r="F7" s="24" t="s">
        <v>6</v>
      </c>
      <c r="G7" s="42" t="s">
        <v>7</v>
      </c>
      <c r="H7" s="24" t="s">
        <v>49</v>
      </c>
      <c r="I7" s="24" t="s">
        <v>50</v>
      </c>
      <c r="J7" s="42" t="s">
        <v>20</v>
      </c>
      <c r="K7" s="41"/>
      <c r="L7" s="25" t="s">
        <v>51</v>
      </c>
      <c r="M7" s="25" t="s">
        <v>52</v>
      </c>
      <c r="N7" s="43" t="s">
        <v>53</v>
      </c>
      <c r="O7" s="25" t="s">
        <v>8</v>
      </c>
      <c r="P7" s="25" t="s">
        <v>6</v>
      </c>
      <c r="Q7" s="43" t="s">
        <v>9</v>
      </c>
      <c r="R7" s="25" t="s">
        <v>54</v>
      </c>
      <c r="S7" s="25" t="s">
        <v>55</v>
      </c>
      <c r="T7" s="43" t="s">
        <v>20</v>
      </c>
      <c r="U7" s="44"/>
      <c r="V7" s="26" t="s">
        <v>10</v>
      </c>
      <c r="W7" s="45" t="s">
        <v>11</v>
      </c>
      <c r="X7" s="45" t="s">
        <v>12</v>
      </c>
    </row>
    <row r="8" spans="1:25" ht="15" customHeight="1" x14ac:dyDescent="0.25">
      <c r="A8" s="46" t="s">
        <v>13</v>
      </c>
    </row>
    <row r="9" spans="1:25" ht="15" customHeight="1" x14ac:dyDescent="0.25">
      <c r="A9" s="47" t="s">
        <v>14</v>
      </c>
      <c r="B9" s="32">
        <f ca="1">IFERROR(SUMIF(INDIRECT("'"&amp;Y9&amp;"'!D:D"),"Buy (Accu)",INDIRECT("'"&amp;Y9&amp;"'!E:E"))+SUMIF(INDIRECT("'"&amp;Y9&amp;"'!D:D"),"Buy (Accu-KO)",INDIRECT("'"&amp;Y9&amp;"'!E:E")),0)</f>
        <v>0</v>
      </c>
      <c r="C9" s="28" t="str">
        <f ca="1">IFERROR(D9/B9,"")</f>
        <v/>
      </c>
      <c r="D9" s="47">
        <f ca="1">IFERROR(SUMIF(INDIRECT("'"&amp;Y9&amp;"'!D:D"),"Buy (Accu)",INDIRECT("'"&amp;Y9&amp;"'!g:g"))+SUMIF(INDIRECT("'"&amp;Y9&amp;"'!D:D"),"Buy (Accu-KO)",INDIRECT("'"&amp;Y9&amp;"'!g:g")),0)</f>
        <v>0</v>
      </c>
      <c r="E9" s="27">
        <f ca="1">IFERROR(SUMIF(INDIRECT("'"&amp;Y9&amp;"'!D:D"),"Buy (Spot)",INDIRECT("'"&amp;Y9&amp;"'!E:E")),0)</f>
        <v>0</v>
      </c>
      <c r="F9" s="28" t="str">
        <f ca="1">IFERROR(G9/E9,"")</f>
        <v/>
      </c>
      <c r="G9" s="47">
        <f ca="1">IFERROR(SUMIF(INDIRECT("'"&amp;Y9&amp;"'!D:D"),"Buy (Spot)",INDIRECT("'"&amp;Y9&amp;"'!g:g")),0)</f>
        <v>0</v>
      </c>
      <c r="H9" s="27">
        <f ca="1">B9+E9</f>
        <v>0</v>
      </c>
      <c r="I9" s="28" t="str">
        <f ca="1">IFERROR(J9/H9,"")</f>
        <v/>
      </c>
      <c r="J9" s="47">
        <f ca="1">D9+G9</f>
        <v>0</v>
      </c>
      <c r="K9" s="47"/>
      <c r="L9" s="27">
        <f ca="1">IFERROR(SUMIF(INDIRECT("'"&amp;Y9&amp;"'!D:D"),"Sell (Decu)",INDIRECT("'"&amp;Y9&amp;"'!E:E"))+SUMIF(INDIRECT("'"&amp;Y9&amp;"'!D:D"),"Sell (Decu-KO)",INDIRECT("'"&amp;Y9&amp;"'!E:E")),0)</f>
        <v>0</v>
      </c>
      <c r="M9" s="28" t="str">
        <f ca="1">IFERROR(N9/L9,"")</f>
        <v/>
      </c>
      <c r="N9" s="47">
        <f ca="1">IFERROR(SUMIF(INDIRECT("'"&amp;Y9&amp;"'!D:D"),"Sell (Decu)",INDIRECT("'"&amp;Y9&amp;"'!g:g"))+SUMIF(INDIRECT("'"&amp;Y9&amp;"'!D:D"),"Sell (Decu-KO)",INDIRECT("'"&amp;Y9&amp;"'!g:g")),0)</f>
        <v>0</v>
      </c>
      <c r="O9" s="27">
        <f ca="1">IFERROR(SUMIF(INDIRECT("'"&amp;Y9&amp;"'!D:D"),"Sell (Spot)",INDIRECT("'"&amp;Y9&amp;"'!E:E")),0)</f>
        <v>0</v>
      </c>
      <c r="P9" s="28" t="str">
        <f ca="1">IFERROR(Q9/O9,"")</f>
        <v/>
      </c>
      <c r="Q9" s="47">
        <f ca="1">IFERROR(SUMIF(INDIRECT("'"&amp;Y9&amp;"'!D:D"),"Sell (Spot)",INDIRECT("'"&amp;Y9&amp;"'!g:g")),0)</f>
        <v>0</v>
      </c>
      <c r="R9" s="27">
        <f ca="1">L9+O9</f>
        <v>0</v>
      </c>
      <c r="S9" s="28" t="str">
        <f ca="1">IFERROR(T9/R9,"")</f>
        <v/>
      </c>
      <c r="T9" s="47">
        <f ca="1">N9+Q9</f>
        <v>0</v>
      </c>
      <c r="U9" s="47"/>
      <c r="V9" s="27">
        <f ca="1">B9+E9+L9+O9</f>
        <v>0</v>
      </c>
      <c r="W9" s="47">
        <f ca="1">SUM(J9,T9)</f>
        <v>0</v>
      </c>
      <c r="X9" s="47">
        <f ca="1">IFERROR(SUMIF(INDIRECT("'"&amp;Y9&amp;"'!D:D"),"TOTAL",INDIRECT("'"&amp;Y9&amp;"'!L:L")),0)</f>
        <v>0</v>
      </c>
      <c r="Y9" s="48" t="s">
        <v>15</v>
      </c>
    </row>
    <row r="10" spans="1:25" ht="15" customHeight="1" x14ac:dyDescent="0.25">
      <c r="A10" s="47" t="s">
        <v>16</v>
      </c>
      <c r="B10" s="32">
        <f ca="1">IFERROR(SUMIF(INDIRECT("'"&amp;Y10&amp;"'!D:D"),"Buy (Accu)",INDIRECT("'"&amp;Y10&amp;"'!E:E"))+SUMIF(INDIRECT("'"&amp;Y10&amp;"'!D:D"),"Buy (Accu-KO)",INDIRECT("'"&amp;Y10&amp;"'!E:E")),0)</f>
        <v>0</v>
      </c>
      <c r="C10" s="28" t="str">
        <f ca="1">IFERROR(D10/B10,"")</f>
        <v/>
      </c>
      <c r="D10" s="47">
        <f ca="1">IFERROR(SUMIF(INDIRECT("'"&amp;Y10&amp;"'!D:D"),"Buy (Accu)",INDIRECT("'"&amp;Y10&amp;"'!g:g"))+SUMIF(INDIRECT("'"&amp;Y10&amp;"'!D:D"),"Buy (Accu-KO)",INDIRECT("'"&amp;Y10&amp;"'!g:g")),0)</f>
        <v>0</v>
      </c>
      <c r="E10" s="27">
        <f ca="1">IFERROR(SUMIF(INDIRECT("'"&amp;Y10&amp;"'!D:D"),"Buy (Spot)",INDIRECT("'"&amp;Y10&amp;"'!E:E")),0)</f>
        <v>0</v>
      </c>
      <c r="F10" s="28" t="str">
        <f ca="1">IFERROR(G10/E10,"")</f>
        <v/>
      </c>
      <c r="G10" s="47">
        <f ca="1">IFERROR(SUMIF(INDIRECT("'"&amp;Y10&amp;"'!D:D"),"Buy (Spot)",INDIRECT("'"&amp;Y10&amp;"'!g:g")),0)</f>
        <v>0</v>
      </c>
      <c r="H10" s="27">
        <f ca="1">B10+E10</f>
        <v>0</v>
      </c>
      <c r="I10" s="28" t="str">
        <f ca="1">IFERROR(J10/H10,"")</f>
        <v/>
      </c>
      <c r="J10" s="47">
        <f ca="1">D10+G10</f>
        <v>0</v>
      </c>
      <c r="K10" s="47"/>
      <c r="L10" s="27">
        <f ca="1">IFERROR(SUMIF(INDIRECT("'"&amp;Y10&amp;"'!D:D"),"Sell (Decu)",INDIRECT("'"&amp;Y10&amp;"'!E:E"))+SUMIF(INDIRECT("'"&amp;Y10&amp;"'!D:D"),"Sell (Decu-KO)",INDIRECT("'"&amp;Y10&amp;"'!E:E")),0)</f>
        <v>0</v>
      </c>
      <c r="M10" s="28" t="str">
        <f ca="1">IFERROR(N10/L10,"")</f>
        <v/>
      </c>
      <c r="N10" s="47">
        <f ca="1">IFERROR(SUMIF(INDIRECT("'"&amp;Y10&amp;"'!D:D"),"Sell (Decu)",INDIRECT("'"&amp;Y10&amp;"'!g:g"))+SUMIF(INDIRECT("'"&amp;Y10&amp;"'!D:D"),"Sell (Decu-KO)",INDIRECT("'"&amp;Y10&amp;"'!g:g")),0)</f>
        <v>0</v>
      </c>
      <c r="O10" s="27">
        <f ca="1">IFERROR(SUMIF(INDIRECT("'"&amp;Y10&amp;"'!D:D"),"Sell (Spot)",INDIRECT("'"&amp;Y10&amp;"'!E:E")),0)</f>
        <v>0</v>
      </c>
      <c r="P10" s="28" t="str">
        <f ca="1">IFERROR(Q10/O10,"")</f>
        <v/>
      </c>
      <c r="Q10" s="47">
        <f ca="1">IFERROR(SUMIF(INDIRECT("'"&amp;Y10&amp;"'!D:D"),"Sell (Spot)",INDIRECT("'"&amp;Y10&amp;"'!g:g")),0)</f>
        <v>0</v>
      </c>
      <c r="R10" s="27">
        <f ca="1">L10+O10</f>
        <v>0</v>
      </c>
      <c r="S10" s="28" t="str">
        <f ca="1">IFERROR(T10/R10,"")</f>
        <v/>
      </c>
      <c r="T10" s="47">
        <f ca="1">N10+Q10</f>
        <v>0</v>
      </c>
      <c r="U10" s="47"/>
      <c r="V10" s="27">
        <f ca="1">B10+E10+L10+O10</f>
        <v>0</v>
      </c>
      <c r="W10" s="47">
        <f ca="1">SUM(J10,T10)</f>
        <v>0</v>
      </c>
      <c r="X10" s="47">
        <f ca="1">IFERROR(SUMIF(INDIRECT("'"&amp;Y10&amp;"'!D:D"),"TOTAL",INDIRECT("'"&amp;Y10&amp;"'!L:L")),0)</f>
        <v>0</v>
      </c>
      <c r="Y10" s="48" t="s">
        <v>17</v>
      </c>
    </row>
    <row r="11" spans="1:25" ht="15" customHeight="1" x14ac:dyDescent="0.25">
      <c r="A11" s="47" t="s">
        <v>18</v>
      </c>
      <c r="B11" s="32">
        <f ca="1">IFERROR(SUMIF(INDIRECT("'"&amp;Y11&amp;"'!D:D"),"Buy (Accu)",INDIRECT("'"&amp;Y11&amp;"'!E:E"))+SUMIF(INDIRECT("'"&amp;Y11&amp;"'!D:D"),"Buy (Accu-KO)",INDIRECT("'"&amp;Y11&amp;"'!E:E")),0)</f>
        <v>0</v>
      </c>
      <c r="C11" s="28" t="str">
        <f ca="1">IFERROR(D11/B11,"")</f>
        <v/>
      </c>
      <c r="D11" s="47">
        <f ca="1">IFERROR(SUMIF(INDIRECT("'"&amp;Y11&amp;"'!D:D"),"Buy (Accu)",INDIRECT("'"&amp;Y11&amp;"'!g:g"))+SUMIF(INDIRECT("'"&amp;Y11&amp;"'!D:D"),"Buy (Accu-KO)",INDIRECT("'"&amp;Y11&amp;"'!g:g")),0)</f>
        <v>0</v>
      </c>
      <c r="E11" s="27">
        <f ca="1">IFERROR(SUMIF(INDIRECT("'"&amp;Y11&amp;"'!D:D"),"Buy (Spot)",INDIRECT("'"&amp;Y11&amp;"'!E:E")),0)</f>
        <v>0</v>
      </c>
      <c r="F11" s="28" t="str">
        <f ca="1">IFERROR(G11/E11,"")</f>
        <v/>
      </c>
      <c r="G11" s="47">
        <f ca="1">IFERROR(SUMIF(INDIRECT("'"&amp;Y11&amp;"'!D:D"),"Buy (Spot)",INDIRECT("'"&amp;Y11&amp;"'!g:g")),0)</f>
        <v>0</v>
      </c>
      <c r="H11" s="27">
        <f ca="1">B11+E11</f>
        <v>0</v>
      </c>
      <c r="I11" s="28" t="str">
        <f ca="1">IFERROR(J11/H11,"")</f>
        <v/>
      </c>
      <c r="J11" s="47">
        <f ca="1">D11+G11</f>
        <v>0</v>
      </c>
      <c r="K11" s="47"/>
      <c r="L11" s="27">
        <f ca="1">IFERROR(SUMIF(INDIRECT("'"&amp;Y11&amp;"'!D:D"),"Sell (Decu)",INDIRECT("'"&amp;Y11&amp;"'!E:E"))+SUMIF(INDIRECT("'"&amp;Y11&amp;"'!D:D"),"Sell (Decu-KO)",INDIRECT("'"&amp;Y11&amp;"'!E:E")),0)</f>
        <v>0</v>
      </c>
      <c r="M11" s="28" t="str">
        <f ca="1">IFERROR(N11/L11,"")</f>
        <v/>
      </c>
      <c r="N11" s="47">
        <f ca="1">IFERROR(SUMIF(INDIRECT("'"&amp;Y11&amp;"'!D:D"),"Sell (Decu)",INDIRECT("'"&amp;Y11&amp;"'!g:g"))+SUMIF(INDIRECT("'"&amp;Y11&amp;"'!D:D"),"Sell (Decu-KO)",INDIRECT("'"&amp;Y11&amp;"'!g:g")),0)</f>
        <v>0</v>
      </c>
      <c r="O11" s="27">
        <f ca="1">IFERROR(SUMIF(INDIRECT("'"&amp;Y11&amp;"'!D:D"),"Sell (Spot)",INDIRECT("'"&amp;Y11&amp;"'!E:E")),0)</f>
        <v>0</v>
      </c>
      <c r="P11" s="28" t="str">
        <f ca="1">IFERROR(Q11/O11,"")</f>
        <v/>
      </c>
      <c r="Q11" s="47">
        <f ca="1">IFERROR(SUMIF(INDIRECT("'"&amp;Y11&amp;"'!D:D"),"Sell (Spot)",INDIRECT("'"&amp;Y11&amp;"'!g:g")),0)</f>
        <v>0</v>
      </c>
      <c r="R11" s="27">
        <f ca="1">L11+O11</f>
        <v>0</v>
      </c>
      <c r="S11" s="28" t="str">
        <f ca="1">IFERROR(T11/R11,"")</f>
        <v/>
      </c>
      <c r="T11" s="47">
        <f ca="1">N11+Q11</f>
        <v>0</v>
      </c>
      <c r="U11" s="47"/>
      <c r="V11" s="27">
        <f ca="1">B11+E11+L11+O11</f>
        <v>0</v>
      </c>
      <c r="W11" s="47">
        <f ca="1">SUM(J11,T11)</f>
        <v>0</v>
      </c>
      <c r="X11" s="47">
        <f ca="1">IFERROR(SUMIF(INDIRECT("'"&amp;Y11&amp;"'!D:D"),"TOTAL",INDIRECT("'"&amp;Y11&amp;"'!L:L")),0)</f>
        <v>0</v>
      </c>
      <c r="Y11" s="48" t="s">
        <v>19</v>
      </c>
    </row>
    <row r="12" spans="1:25" ht="15" customHeight="1" x14ac:dyDescent="0.25">
      <c r="A12" s="49" t="s">
        <v>20</v>
      </c>
      <c r="B12" s="29">
        <f ca="1">SUM(B9:B11)</f>
        <v>0</v>
      </c>
      <c r="C12" s="30" t="str">
        <f ca="1">IFERROR(D12/B12,"")</f>
        <v/>
      </c>
      <c r="D12" s="49">
        <f ca="1">SUM(D9:D11)</f>
        <v>0</v>
      </c>
      <c r="E12" s="29">
        <f ca="1">SUM(E9:E11)</f>
        <v>0</v>
      </c>
      <c r="F12" s="30" t="str">
        <f ca="1">IFERROR(G12/E12,"")</f>
        <v/>
      </c>
      <c r="G12" s="49">
        <f ca="1">SUM(G9:G11)</f>
        <v>0</v>
      </c>
      <c r="H12" s="29">
        <f ca="1">SUM(H9:H11)</f>
        <v>0</v>
      </c>
      <c r="I12" s="30" t="str">
        <f ca="1">IFERROR(J12/H12,"")</f>
        <v/>
      </c>
      <c r="J12" s="49">
        <f ca="1">SUM(J9:J11)</f>
        <v>0</v>
      </c>
      <c r="K12" s="49"/>
      <c r="L12" s="29">
        <f ca="1">SUM(L9:L11)</f>
        <v>0</v>
      </c>
      <c r="M12" s="30" t="str">
        <f ca="1">IFERROR(N12/L12,"")</f>
        <v/>
      </c>
      <c r="N12" s="49">
        <f ca="1">SUM(N9:N11)</f>
        <v>0</v>
      </c>
      <c r="O12" s="29">
        <f ca="1">SUM(O9:O11)</f>
        <v>0</v>
      </c>
      <c r="P12" s="30" t="str">
        <f ca="1">IFERROR(Q12/O12,"")</f>
        <v/>
      </c>
      <c r="Q12" s="49">
        <f ca="1">SUM(Q9:Q11)</f>
        <v>0</v>
      </c>
      <c r="R12" s="29">
        <f ca="1">SUM(R9:R11)</f>
        <v>0</v>
      </c>
      <c r="S12" s="30" t="str">
        <f ca="1">IFERROR(T12/R12,"")</f>
        <v/>
      </c>
      <c r="T12" s="49">
        <f ca="1">SUM(T9:T11)</f>
        <v>0</v>
      </c>
      <c r="U12" s="49"/>
      <c r="V12" s="29">
        <f ca="1">SUM(V9:V11)</f>
        <v>0</v>
      </c>
      <c r="W12" s="49">
        <f ca="1">SUM(W9:W11)</f>
        <v>0</v>
      </c>
      <c r="X12" s="49">
        <f ca="1">SUM(X9:X11)</f>
        <v>0</v>
      </c>
    </row>
    <row r="13" spans="1:25" x14ac:dyDescent="0.2">
      <c r="P13" s="22"/>
      <c r="S13" s="22"/>
    </row>
    <row r="14" spans="1:25" ht="15" customHeight="1" x14ac:dyDescent="0.25">
      <c r="A14" s="46" t="s">
        <v>21</v>
      </c>
      <c r="P14" s="22"/>
      <c r="S14" s="22"/>
    </row>
    <row r="15" spans="1:25" ht="15" customHeight="1" x14ac:dyDescent="0.25">
      <c r="A15" s="47" t="s">
        <v>22</v>
      </c>
      <c r="B15" s="32">
        <f ca="1">IFERROR(SUMIF(INDIRECT("'"&amp;Y15&amp;"'!D:D"),"Buy (Accu)",INDIRECT("'"&amp;Y15&amp;"'!E:E"))+SUMIF(INDIRECT("'"&amp;Y15&amp;"'!D:D"),"Buy (Accu-KO)",INDIRECT("'"&amp;Y15&amp;"'!E:E")),0)</f>
        <v>0</v>
      </c>
      <c r="C15" s="28" t="str">
        <f ca="1">IFERROR(D15/B15,"")</f>
        <v/>
      </c>
      <c r="D15" s="47">
        <f ca="1">IFERROR(SUMIF(INDIRECT("'"&amp;Y15&amp;"'!D:D"),"Buy (Accu)",INDIRECT("'"&amp;Y15&amp;"'!g:g"))+SUMIF(INDIRECT("'"&amp;Y15&amp;"'!D:D"),"Buy (Accu-KO)",INDIRECT("'"&amp;Y15&amp;"'!g:g")),0)</f>
        <v>0</v>
      </c>
      <c r="E15" s="27">
        <f ca="1">IFERROR(SUMIF(INDIRECT("'"&amp;Y15&amp;"'!D:D"),"Buy (Spot)",INDIRECT("'"&amp;Y15&amp;"'!E:E")),0)</f>
        <v>0</v>
      </c>
      <c r="F15" s="28" t="str">
        <f ca="1">IFERROR(G15/E15,"")</f>
        <v/>
      </c>
      <c r="G15" s="47">
        <f ca="1">IFERROR(SUMIF(INDIRECT("'"&amp;Y15&amp;"'!D:D"),"Buy (Spot)",INDIRECT("'"&amp;Y15&amp;"'!g:g")),0)</f>
        <v>0</v>
      </c>
      <c r="H15" s="27">
        <f ca="1">B15+E15</f>
        <v>0</v>
      </c>
      <c r="I15" s="28" t="str">
        <f ca="1">IFERROR(J15/H15,"")</f>
        <v/>
      </c>
      <c r="J15" s="47">
        <f ca="1">D15+G15</f>
        <v>0</v>
      </c>
      <c r="K15" s="47"/>
      <c r="L15" s="27">
        <f ca="1">IFERROR(SUMIF(INDIRECT("'"&amp;Y15&amp;"'!D:D"),"Sell (Decu)",INDIRECT("'"&amp;Y15&amp;"'!E:E"))+SUMIF(INDIRECT("'"&amp;Y15&amp;"'!D:D"),"Sell (Decu-KO)",INDIRECT("'"&amp;Y15&amp;"'!E:E")),0)</f>
        <v>0</v>
      </c>
      <c r="M15" s="28" t="str">
        <f ca="1">IFERROR(N15/L15,"")</f>
        <v/>
      </c>
      <c r="N15" s="47">
        <f ca="1">IFERROR(SUMIF(INDIRECT("'"&amp;Y15&amp;"'!D:D"),"Sell (Decu)",INDIRECT("'"&amp;Y15&amp;"'!g:g"))+SUMIF(INDIRECT("'"&amp;Y15&amp;"'!D:D"),"Sell (Decu-KO)",INDIRECT("'"&amp;Y15&amp;"'!g:g")),0)</f>
        <v>0</v>
      </c>
      <c r="O15" s="27">
        <f ca="1">IFERROR(SUMIF(INDIRECT("'"&amp;Y15&amp;"'!D:D"),"Sell (Spot)",INDIRECT("'"&amp;Y15&amp;"'!E:E")),0)</f>
        <v>0</v>
      </c>
      <c r="P15" s="28" t="str">
        <f ca="1">IFERROR(Q15/O15,"")</f>
        <v/>
      </c>
      <c r="Q15" s="47">
        <f ca="1">IFERROR(SUMIF(INDIRECT("'"&amp;Y15&amp;"'!D:D"),"Sell (Spot)",INDIRECT("'"&amp;Y15&amp;"'!g:g")),0)</f>
        <v>0</v>
      </c>
      <c r="R15" s="27">
        <f ca="1">L15+O15</f>
        <v>0</v>
      </c>
      <c r="S15" s="28" t="str">
        <f ca="1">IFERROR(T15/R15,"")</f>
        <v/>
      </c>
      <c r="T15" s="47">
        <f ca="1">N15+Q15</f>
        <v>0</v>
      </c>
      <c r="U15" s="47"/>
      <c r="V15" s="27">
        <f ca="1">B15+E15+L15+O15</f>
        <v>0</v>
      </c>
      <c r="W15" s="47">
        <f ca="1">SUM(J15,T15)</f>
        <v>0</v>
      </c>
      <c r="X15" s="47">
        <f ca="1">IFERROR(SUMIF(INDIRECT("'"&amp;Y15&amp;"'!D:D"),"TOTAL",INDIRECT("'"&amp;Y15&amp;"'!L:L")),0)</f>
        <v>0</v>
      </c>
      <c r="Y15" s="48" t="s">
        <v>23</v>
      </c>
    </row>
    <row r="16" spans="1:25" s="40" customFormat="1" ht="15" customHeight="1" x14ac:dyDescent="0.25">
      <c r="A16" s="49" t="s">
        <v>20</v>
      </c>
      <c r="B16" s="29">
        <f ca="1">SUM(B15:B15)</f>
        <v>0</v>
      </c>
      <c r="C16" s="30" t="str">
        <f ca="1">IFERROR(D16/B16,"")</f>
        <v/>
      </c>
      <c r="D16" s="49">
        <f ca="1">SUM(D15:D15)</f>
        <v>0</v>
      </c>
      <c r="E16" s="29">
        <f ca="1">SUM(E15:E15)</f>
        <v>0</v>
      </c>
      <c r="F16" s="30" t="str">
        <f ca="1">IFERROR(G16/E16,"")</f>
        <v/>
      </c>
      <c r="G16" s="49">
        <f ca="1">SUM(G15:G15)</f>
        <v>0</v>
      </c>
      <c r="H16" s="29">
        <f ca="1">SUM(H15:H15)</f>
        <v>0</v>
      </c>
      <c r="I16" s="30" t="str">
        <f ca="1">IFERROR(J16/H16,"")</f>
        <v/>
      </c>
      <c r="J16" s="49">
        <f ca="1">SUM(J15:J15)</f>
        <v>0</v>
      </c>
      <c r="K16" s="49"/>
      <c r="L16" s="29">
        <f ca="1">SUM(L15:L15)</f>
        <v>0</v>
      </c>
      <c r="M16" s="30" t="str">
        <f ca="1">IFERROR(N16/L16,"")</f>
        <v/>
      </c>
      <c r="N16" s="49">
        <f ca="1">SUM(N15:N15)</f>
        <v>0</v>
      </c>
      <c r="O16" s="29">
        <f ca="1">SUM(O15:O15)</f>
        <v>0</v>
      </c>
      <c r="P16" s="30" t="str">
        <f ca="1">IFERROR(Q16/O16,"")</f>
        <v/>
      </c>
      <c r="Q16" s="49">
        <f ca="1">SUM(Q15:Q15)</f>
        <v>0</v>
      </c>
      <c r="R16" s="29">
        <f ca="1">SUM(R15:R15)</f>
        <v>0</v>
      </c>
      <c r="S16" s="30" t="str">
        <f ca="1">IFERROR(T16/R16,"")</f>
        <v/>
      </c>
      <c r="T16" s="49">
        <f ca="1">SUM(T15:T15)</f>
        <v>0</v>
      </c>
      <c r="U16" s="49"/>
      <c r="V16" s="29">
        <f ca="1">SUM(V15:V15)</f>
        <v>0</v>
      </c>
      <c r="W16" s="49">
        <f ca="1">SUM(W15:W15)</f>
        <v>0</v>
      </c>
      <c r="X16" s="49">
        <f ca="1">X15</f>
        <v>0</v>
      </c>
    </row>
    <row r="17" spans="1:25" x14ac:dyDescent="0.2">
      <c r="P17" s="22"/>
      <c r="S17" s="22"/>
    </row>
    <row r="18" spans="1:25" ht="15" customHeight="1" x14ac:dyDescent="0.25">
      <c r="A18" s="46" t="s">
        <v>24</v>
      </c>
      <c r="P18" s="22"/>
      <c r="S18" s="22"/>
    </row>
    <row r="19" spans="1:25" ht="15" customHeight="1" x14ac:dyDescent="0.25">
      <c r="A19" s="47" t="s">
        <v>25</v>
      </c>
      <c r="B19" s="32">
        <f ca="1">IFERROR(SUMIF(INDIRECT("'"&amp;Y19&amp;"'!D:D"),"Buy (Accu)",INDIRECT("'"&amp;Y19&amp;"'!E:E"))+SUMIF(INDIRECT("'"&amp;Y19&amp;"'!D:D"),"Buy (Accu-KO)",INDIRECT("'"&amp;Y19&amp;"'!E:E")),0)</f>
        <v>0</v>
      </c>
      <c r="C19" s="28" t="str">
        <f ca="1">IFERROR(D19/B19,"")</f>
        <v/>
      </c>
      <c r="D19" s="47">
        <f ca="1">IFERROR(SUMIF(INDIRECT("'"&amp;Y19&amp;"'!D:D"),"Buy (Accu)",INDIRECT("'"&amp;Y19&amp;"'!g:g"))+SUMIF(INDIRECT("'"&amp;Y19&amp;"'!D:D"),"Buy (Accu-KO)",INDIRECT("'"&amp;Y19&amp;"'!g:g")),0)</f>
        <v>0</v>
      </c>
      <c r="E19" s="27">
        <f ca="1">IFERROR(SUMIF(INDIRECT("'"&amp;Y19&amp;"'!D:D"),"Buy (Spot)",INDIRECT("'"&amp;Y19&amp;"'!E:E")),0)</f>
        <v>0</v>
      </c>
      <c r="F19" s="28" t="str">
        <f ca="1">IFERROR(G19/E19,"")</f>
        <v/>
      </c>
      <c r="G19" s="47">
        <f ca="1">IFERROR(SUMIF(INDIRECT("'"&amp;Y19&amp;"'!D:D"),"Buy (Spot)",INDIRECT("'"&amp;Y19&amp;"'!g:g")),0)</f>
        <v>0</v>
      </c>
      <c r="H19" s="27">
        <f ca="1">B19+E19</f>
        <v>0</v>
      </c>
      <c r="I19" s="28" t="str">
        <f ca="1">IFERROR(J19/H19,"")</f>
        <v/>
      </c>
      <c r="J19" s="47">
        <f ca="1">D19+G19</f>
        <v>0</v>
      </c>
      <c r="K19" s="47"/>
      <c r="L19" s="27">
        <f ca="1">IFERROR(SUMIF(INDIRECT("'"&amp;Y19&amp;"'!D:D"),"Sell (Decu)",INDIRECT("'"&amp;Y19&amp;"'!E:E"))+SUMIF(INDIRECT("'"&amp;Y19&amp;"'!D:D"),"Sell (Decu-KO)",INDIRECT("'"&amp;Y19&amp;"'!E:E")),0)</f>
        <v>0</v>
      </c>
      <c r="M19" s="28" t="str">
        <f ca="1">IFERROR(N19/L19,"")</f>
        <v/>
      </c>
      <c r="N19" s="47">
        <f ca="1">IFERROR(SUMIF(INDIRECT("'"&amp;Y19&amp;"'!D:D"),"Sell (Decu)",INDIRECT("'"&amp;Y19&amp;"'!g:g"))+SUMIF(INDIRECT("'"&amp;Y19&amp;"'!D:D"),"Sell (Decu-KO)",INDIRECT("'"&amp;Y19&amp;"'!g:g")),0)</f>
        <v>0</v>
      </c>
      <c r="O19" s="27">
        <f ca="1">IFERROR(SUMIF(INDIRECT("'"&amp;Y19&amp;"'!D:D"),"Sell (Spot)",INDIRECT("'"&amp;Y19&amp;"'!E:E")),0)</f>
        <v>0</v>
      </c>
      <c r="P19" s="28" t="str">
        <f ca="1">IFERROR(Q19/O19,"")</f>
        <v/>
      </c>
      <c r="Q19" s="47">
        <f ca="1">IFERROR(SUMIF(INDIRECT("'"&amp;Y19&amp;"'!D:D"),"Sell (Spot)",INDIRECT("'"&amp;Y19&amp;"'!g:g")),0)</f>
        <v>0</v>
      </c>
      <c r="R19" s="27">
        <f ca="1">L19+O19</f>
        <v>0</v>
      </c>
      <c r="S19" s="28" t="str">
        <f ca="1">IFERROR(T19/R19,"")</f>
        <v/>
      </c>
      <c r="T19" s="47">
        <f ca="1">N19+Q19</f>
        <v>0</v>
      </c>
      <c r="U19" s="47"/>
      <c r="V19" s="27">
        <f ca="1">B19+E19+L19+O19</f>
        <v>0</v>
      </c>
      <c r="W19" s="47">
        <f ca="1">SUM(J19,T19)</f>
        <v>0</v>
      </c>
      <c r="X19" s="47">
        <f ca="1">IFERROR(SUMIF(INDIRECT("'"&amp;Y19&amp;"'!D:D"),"TOTAL",INDIRECT("'"&amp;Y19&amp;"'!L:L")),0)</f>
        <v>0</v>
      </c>
      <c r="Y19" s="48" t="s">
        <v>26</v>
      </c>
    </row>
    <row r="20" spans="1:25" ht="15" customHeight="1" x14ac:dyDescent="0.25">
      <c r="A20" s="47" t="s">
        <v>27</v>
      </c>
      <c r="B20" s="32">
        <f ca="1">IFERROR(SUMIF(INDIRECT("'"&amp;Y20&amp;"'!D:D"),"Buy (Accu)",INDIRECT("'"&amp;Y20&amp;"'!E:E"))+SUMIF(INDIRECT("'"&amp;Y20&amp;"'!D:D"),"Buy (Accu-KO)",INDIRECT("'"&amp;Y20&amp;"'!E:E")),0)</f>
        <v>0</v>
      </c>
      <c r="C20" s="28" t="str">
        <f ca="1">IFERROR(D20/B20,"")</f>
        <v/>
      </c>
      <c r="D20" s="47">
        <f ca="1">IFERROR(SUMIF(INDIRECT("'"&amp;Y20&amp;"'!D:D"),"Buy (Accu)",INDIRECT("'"&amp;Y20&amp;"'!g:g"))+SUMIF(INDIRECT("'"&amp;Y20&amp;"'!D:D"),"Buy (Accu-KO)",INDIRECT("'"&amp;Y20&amp;"'!g:g")),0)</f>
        <v>0</v>
      </c>
      <c r="E20" s="27">
        <f ca="1">IFERROR(SUMIF(INDIRECT("'"&amp;Y20&amp;"'!D:D"),"Buy (Spot)",INDIRECT("'"&amp;Y20&amp;"'!E:E")),0)</f>
        <v>0</v>
      </c>
      <c r="F20" s="28" t="str">
        <f ca="1">IFERROR(G20/E20,"")</f>
        <v/>
      </c>
      <c r="G20" s="47">
        <f ca="1">IFERROR(SUMIF(INDIRECT("'"&amp;Y20&amp;"'!D:D"),"Buy (Spot)",INDIRECT("'"&amp;Y20&amp;"'!g:g")),0)</f>
        <v>0</v>
      </c>
      <c r="H20" s="27">
        <f ca="1">B20+E20</f>
        <v>0</v>
      </c>
      <c r="I20" s="28" t="str">
        <f ca="1">IFERROR(J20/H20,"")</f>
        <v/>
      </c>
      <c r="J20" s="47">
        <f ca="1">D20+G20</f>
        <v>0</v>
      </c>
      <c r="K20" s="47"/>
      <c r="L20" s="27">
        <f ca="1">IFERROR(SUMIF(INDIRECT("'"&amp;Y20&amp;"'!D:D"),"Sell (Decu)",INDIRECT("'"&amp;Y20&amp;"'!E:E"))+SUMIF(INDIRECT("'"&amp;Y20&amp;"'!D:D"),"Sell (Decu-KO)",INDIRECT("'"&amp;Y20&amp;"'!E:E")),0)</f>
        <v>0</v>
      </c>
      <c r="M20" s="28" t="str">
        <f ca="1">IFERROR(N20/L20,"")</f>
        <v/>
      </c>
      <c r="N20" s="47">
        <f ca="1">IFERROR(SUMIF(INDIRECT("'"&amp;Y20&amp;"'!D:D"),"Sell (Decu)",INDIRECT("'"&amp;Y20&amp;"'!g:g"))+SUMIF(INDIRECT("'"&amp;Y20&amp;"'!D:D"),"Sell (Decu-KO)",INDIRECT("'"&amp;Y20&amp;"'!g:g")),0)</f>
        <v>0</v>
      </c>
      <c r="O20" s="27">
        <f ca="1">IFERROR(SUMIF(INDIRECT("'"&amp;Y20&amp;"'!D:D"),"Sell (Spot)",INDIRECT("'"&amp;Y20&amp;"'!E:E")),0)</f>
        <v>0</v>
      </c>
      <c r="P20" s="28" t="str">
        <f ca="1">IFERROR(Q20/O20,"")</f>
        <v/>
      </c>
      <c r="Q20" s="47">
        <f ca="1">IFERROR(SUMIF(INDIRECT("'"&amp;Y20&amp;"'!D:D"),"Sell (Spot)",INDIRECT("'"&amp;Y20&amp;"'!g:g")),0)</f>
        <v>0</v>
      </c>
      <c r="R20" s="27">
        <f ca="1">L20+O20</f>
        <v>0</v>
      </c>
      <c r="S20" s="28" t="str">
        <f ca="1">IFERROR(T20/R20,"")</f>
        <v/>
      </c>
      <c r="T20" s="47">
        <f ca="1">N20+Q20</f>
        <v>0</v>
      </c>
      <c r="U20" s="47"/>
      <c r="V20" s="27">
        <f ca="1">B20+E20+L20+O20</f>
        <v>0</v>
      </c>
      <c r="W20" s="47">
        <f ca="1">SUM(J20,T20)</f>
        <v>0</v>
      </c>
      <c r="X20" s="47">
        <f ca="1">IFERROR(SUMIF(INDIRECT("'"&amp;Y20&amp;"'!D:D"),"TOTAL",INDIRECT("'"&amp;Y20&amp;"'!L:L")),0)</f>
        <v>0</v>
      </c>
      <c r="Y20" s="48" t="s">
        <v>28</v>
      </c>
    </row>
    <row r="21" spans="1:25" s="40" customFormat="1" ht="15" customHeight="1" x14ac:dyDescent="0.25">
      <c r="A21" s="49" t="s">
        <v>20</v>
      </c>
      <c r="B21" s="29">
        <f ca="1">SUM(B19:B20)</f>
        <v>0</v>
      </c>
      <c r="C21" s="30" t="str">
        <f ca="1">IFERROR(D21/B21,"")</f>
        <v/>
      </c>
      <c r="D21" s="49">
        <f ca="1">SUM(D19:D20)</f>
        <v>0</v>
      </c>
      <c r="E21" s="29">
        <f ca="1">SUM(E19:E20)</f>
        <v>0</v>
      </c>
      <c r="F21" s="30" t="str">
        <f ca="1">IFERROR(G21/E21,"")</f>
        <v/>
      </c>
      <c r="G21" s="49">
        <f ca="1">SUM(G19:G20)</f>
        <v>0</v>
      </c>
      <c r="H21" s="29">
        <f ca="1">SUM(H19:H20)</f>
        <v>0</v>
      </c>
      <c r="I21" s="30" t="str">
        <f ca="1">IFERROR(J21/H21,"")</f>
        <v/>
      </c>
      <c r="J21" s="49">
        <f ca="1">SUM(J19:J20)</f>
        <v>0</v>
      </c>
      <c r="K21" s="49"/>
      <c r="L21" s="29">
        <f ca="1">SUM(L19:L20)</f>
        <v>0</v>
      </c>
      <c r="M21" s="30" t="str">
        <f ca="1">IFERROR(N21/L21,"")</f>
        <v/>
      </c>
      <c r="N21" s="49">
        <f ca="1">SUM(N19:N20)</f>
        <v>0</v>
      </c>
      <c r="O21" s="29">
        <f ca="1">SUM(O19:O20)</f>
        <v>0</v>
      </c>
      <c r="P21" s="30" t="str">
        <f ca="1">IFERROR(Q21/O21,"")</f>
        <v/>
      </c>
      <c r="Q21" s="49">
        <f ca="1">SUM(Q19:Q20)</f>
        <v>0</v>
      </c>
      <c r="R21" s="29">
        <f ca="1">SUM(R19:R20)</f>
        <v>0</v>
      </c>
      <c r="S21" s="30" t="str">
        <f ca="1">IFERROR(T21/R21,"")</f>
        <v/>
      </c>
      <c r="T21" s="49">
        <f ca="1">SUM(T19:T20)</f>
        <v>0</v>
      </c>
      <c r="U21" s="49"/>
      <c r="V21" s="29">
        <f ca="1">SUM(V19:V20)</f>
        <v>0</v>
      </c>
      <c r="W21" s="49">
        <f ca="1">SUM(W19:W20)</f>
        <v>0</v>
      </c>
      <c r="X21" s="49">
        <f ca="1">SUM(X19:X20)</f>
        <v>0</v>
      </c>
    </row>
    <row r="22" spans="1:25" x14ac:dyDescent="0.2">
      <c r="P22" s="22"/>
      <c r="S22" s="22"/>
    </row>
    <row r="23" spans="1:25" ht="15" customHeight="1" x14ac:dyDescent="0.25">
      <c r="A23" s="46" t="s">
        <v>29</v>
      </c>
      <c r="P23" s="22"/>
      <c r="S23" s="22"/>
    </row>
    <row r="24" spans="1:25" ht="15" customHeight="1" x14ac:dyDescent="0.25">
      <c r="A24" s="47" t="s">
        <v>30</v>
      </c>
      <c r="B24" s="32">
        <f ca="1">IFERROR(SUMIF(INDIRECT("'"&amp;Y24&amp;"'!D:D"),"Buy (Accu)",INDIRECT("'"&amp;Y24&amp;"'!E:E"))+SUMIF(INDIRECT("'"&amp;Y24&amp;"'!D:D"),"Buy (Accu-KO)",INDIRECT("'"&amp;Y24&amp;"'!E:E")),0)</f>
        <v>0</v>
      </c>
      <c r="C24" s="28" t="str">
        <f ca="1">IFERROR(D24/B24,"")</f>
        <v/>
      </c>
      <c r="D24" s="47">
        <f ca="1">IFERROR(SUMIF(INDIRECT("'"&amp;Y24&amp;"'!D:D"),"Buy (Accu)",INDIRECT("'"&amp;Y24&amp;"'!g:g"))+SUMIF(INDIRECT("'"&amp;Y24&amp;"'!D:D"),"Buy (Accu-KO)",INDIRECT("'"&amp;Y24&amp;"'!g:g")),0)</f>
        <v>0</v>
      </c>
      <c r="E24" s="27">
        <f ca="1">IFERROR(SUMIF(INDIRECT("'"&amp;Y24&amp;"'!D:D"),"Buy (Spot)",INDIRECT("'"&amp;Y24&amp;"'!E:E")),0)</f>
        <v>0</v>
      </c>
      <c r="F24" s="28" t="str">
        <f ca="1">IFERROR(G24/E24,"")</f>
        <v/>
      </c>
      <c r="G24" s="47">
        <f ca="1">IFERROR(SUMIF(INDIRECT("'"&amp;Y24&amp;"'!D:D"),"Buy (Spot)",INDIRECT("'"&amp;Y24&amp;"'!g:g")),0)</f>
        <v>0</v>
      </c>
      <c r="H24" s="27">
        <f ca="1">B24+E24</f>
        <v>0</v>
      </c>
      <c r="I24" s="28" t="str">
        <f ca="1">IFERROR(J24/H24,"")</f>
        <v/>
      </c>
      <c r="J24" s="47">
        <f ca="1">D24+G24</f>
        <v>0</v>
      </c>
      <c r="K24" s="47"/>
      <c r="L24" s="27">
        <f ca="1">IFERROR(SUMIF(INDIRECT("'"&amp;Y24&amp;"'!D:D"),"Sell (Decu)",INDIRECT("'"&amp;Y24&amp;"'!E:E"))+SUMIF(INDIRECT("'"&amp;Y24&amp;"'!D:D"),"Sell (Decu-KO)",INDIRECT("'"&amp;Y24&amp;"'!E:E")),0)</f>
        <v>0</v>
      </c>
      <c r="M24" s="28" t="str">
        <f ca="1">IFERROR(N24/L24,"")</f>
        <v/>
      </c>
      <c r="N24" s="47">
        <f ca="1">IFERROR(SUMIF(INDIRECT("'"&amp;Y24&amp;"'!D:D"),"Sell (Decu)",INDIRECT("'"&amp;Y24&amp;"'!g:g"))+SUMIF(INDIRECT("'"&amp;Y24&amp;"'!D:D"),"Sell (Decu-KO)",INDIRECT("'"&amp;Y24&amp;"'!g:g")),0)</f>
        <v>0</v>
      </c>
      <c r="O24" s="27">
        <f ca="1">IFERROR(SUMIF(INDIRECT("'"&amp;Y24&amp;"'!D:D"),"Sell (Spot)",INDIRECT("'"&amp;Y24&amp;"'!E:E")),0)</f>
        <v>0</v>
      </c>
      <c r="P24" s="28" t="str">
        <f ca="1">IFERROR(Q24/O24,"")</f>
        <v/>
      </c>
      <c r="Q24" s="47">
        <f ca="1">IFERROR(SUMIF(INDIRECT("'"&amp;Y24&amp;"'!D:D"),"Sell (Spot)",INDIRECT("'"&amp;Y24&amp;"'!g:g")),0)</f>
        <v>0</v>
      </c>
      <c r="R24" s="27">
        <f ca="1">L24+O24</f>
        <v>0</v>
      </c>
      <c r="S24" s="28" t="str">
        <f ca="1">IFERROR(T24/R24,"")</f>
        <v/>
      </c>
      <c r="T24" s="47">
        <f ca="1">N24+Q24</f>
        <v>0</v>
      </c>
      <c r="U24" s="47"/>
      <c r="V24" s="27">
        <f ca="1">B24+E24+L24+O24</f>
        <v>0</v>
      </c>
      <c r="W24" s="47">
        <f ca="1">SUM(J24,T24)</f>
        <v>0</v>
      </c>
      <c r="X24" s="47">
        <f ca="1">IFERROR(SUMIF(INDIRECT("'"&amp;Y24&amp;"'!D:D"),"TOTAL",INDIRECT("'"&amp;Y24&amp;"'!L:L")),0)</f>
        <v>0</v>
      </c>
      <c r="Y24" s="48" t="s">
        <v>31</v>
      </c>
    </row>
    <row r="25" spans="1:25" s="40" customFormat="1" ht="15" customHeight="1" x14ac:dyDescent="0.25">
      <c r="A25" s="49" t="s">
        <v>20</v>
      </c>
      <c r="B25" s="29">
        <f ca="1">SUM(B24:B24)</f>
        <v>0</v>
      </c>
      <c r="C25" s="30" t="str">
        <f ca="1">IFERROR(D25/B25,"")</f>
        <v/>
      </c>
      <c r="D25" s="49">
        <f ca="1">SUM(D24:D24)</f>
        <v>0</v>
      </c>
      <c r="E25" s="29">
        <f ca="1">SUM(E24:E24)</f>
        <v>0</v>
      </c>
      <c r="F25" s="30" t="str">
        <f ca="1">IFERROR(G25/E25,"")</f>
        <v/>
      </c>
      <c r="G25" s="49">
        <f ca="1">SUM(G24:G24)</f>
        <v>0</v>
      </c>
      <c r="H25" s="29">
        <f ca="1">SUM(H24:H24)</f>
        <v>0</v>
      </c>
      <c r="I25" s="30" t="str">
        <f ca="1">IFERROR(J25/H25,"")</f>
        <v/>
      </c>
      <c r="J25" s="49">
        <f ca="1">SUM(J24:J24)</f>
        <v>0</v>
      </c>
      <c r="K25" s="49"/>
      <c r="L25" s="29">
        <f ca="1">SUM(L24:L24)</f>
        <v>0</v>
      </c>
      <c r="M25" s="30" t="str">
        <f ca="1">IFERROR(N25/L25,"")</f>
        <v/>
      </c>
      <c r="N25" s="49">
        <f ca="1">SUM(N24:N24)</f>
        <v>0</v>
      </c>
      <c r="O25" s="29">
        <f ca="1">SUM(O24:O24)</f>
        <v>0</v>
      </c>
      <c r="P25" s="30" t="str">
        <f ca="1">IFERROR(Q25/O25,"")</f>
        <v/>
      </c>
      <c r="Q25" s="49">
        <f ca="1">SUM(Q24:Q24)</f>
        <v>0</v>
      </c>
      <c r="R25" s="29">
        <f ca="1">SUM(R24:R24)</f>
        <v>0</v>
      </c>
      <c r="S25" s="30" t="str">
        <f ca="1">IFERROR(T25/R25,"")</f>
        <v/>
      </c>
      <c r="T25" s="49">
        <f ca="1">SUM(T24:T24)</f>
        <v>0</v>
      </c>
      <c r="U25" s="49"/>
      <c r="V25" s="29">
        <f ca="1">SUM(V24:V24)</f>
        <v>0</v>
      </c>
      <c r="W25" s="49">
        <f ca="1">SUM(W24:W24)</f>
        <v>0</v>
      </c>
      <c r="X25" s="49">
        <f ca="1">X24</f>
        <v>0</v>
      </c>
    </row>
    <row r="26" spans="1:25" x14ac:dyDescent="0.2">
      <c r="P26" s="22"/>
      <c r="S26" s="22"/>
    </row>
    <row r="27" spans="1:25" ht="15" customHeight="1" x14ac:dyDescent="0.25">
      <c r="A27" s="46" t="s">
        <v>32</v>
      </c>
      <c r="P27" s="22"/>
      <c r="S27" s="22"/>
    </row>
    <row r="28" spans="1:25" ht="15" customHeight="1" x14ac:dyDescent="0.25">
      <c r="A28" s="47" t="s">
        <v>33</v>
      </c>
      <c r="B28" s="32">
        <f ca="1">IFERROR(SUMIF(INDIRECT("'"&amp;Y28&amp;"'!D:D"),"Buy (Accu)",INDIRECT("'"&amp;Y28&amp;"'!E:E"))+SUMIF(INDIRECT("'"&amp;Y28&amp;"'!D:D"),"Buy (Accu-KO)",INDIRECT("'"&amp;Y28&amp;"'!E:E")),0)</f>
        <v>0</v>
      </c>
      <c r="C28" s="28" t="str">
        <f ca="1">IFERROR(D28/B28,"")</f>
        <v/>
      </c>
      <c r="D28" s="47">
        <f ca="1">IFERROR(SUMIF(INDIRECT("'"&amp;Y28&amp;"'!D:D"),"Buy (Accu)",INDIRECT("'"&amp;Y28&amp;"'!g:g"))+SUMIF(INDIRECT("'"&amp;Y28&amp;"'!D:D"),"Buy (Accu-KO)",INDIRECT("'"&amp;Y28&amp;"'!g:g")),0)</f>
        <v>0</v>
      </c>
      <c r="E28" s="27">
        <f ca="1">IFERROR(SUMIF(INDIRECT("'"&amp;Y28&amp;"'!D:D"),"Buy (Spot)",INDIRECT("'"&amp;Y28&amp;"'!E:E")),0)</f>
        <v>0</v>
      </c>
      <c r="F28" s="28" t="str">
        <f ca="1">IFERROR(G28/E28,"")</f>
        <v/>
      </c>
      <c r="G28" s="47">
        <f ca="1">IFERROR(SUMIF(INDIRECT("'"&amp;Y28&amp;"'!D:D"),"Buy (Spot)",INDIRECT("'"&amp;Y28&amp;"'!g:g")),0)</f>
        <v>0</v>
      </c>
      <c r="H28" s="27">
        <f ca="1">B28+E28</f>
        <v>0</v>
      </c>
      <c r="I28" s="28" t="str">
        <f ca="1">IFERROR(J28/H28,"")</f>
        <v/>
      </c>
      <c r="J28" s="47">
        <f ca="1">D28+G28</f>
        <v>0</v>
      </c>
      <c r="K28" s="47"/>
      <c r="L28" s="27">
        <f ca="1">IFERROR(SUMIF(INDIRECT("'"&amp;Y28&amp;"'!D:D"),"Sell (Decu)",INDIRECT("'"&amp;Y28&amp;"'!E:E"))+SUMIF(INDIRECT("'"&amp;Y28&amp;"'!D:D"),"Sell (Decu-KO)",INDIRECT("'"&amp;Y28&amp;"'!E:E")),0)</f>
        <v>0</v>
      </c>
      <c r="M28" s="28" t="str">
        <f ca="1">IFERROR(N28/L28,"")</f>
        <v/>
      </c>
      <c r="N28" s="47">
        <f ca="1">IFERROR(SUMIF(INDIRECT("'"&amp;Y28&amp;"'!D:D"),"Sell (Decu)",INDIRECT("'"&amp;Y28&amp;"'!g:g"))+SUMIF(INDIRECT("'"&amp;Y28&amp;"'!D:D"),"Sell (Decu-KO)",INDIRECT("'"&amp;Y28&amp;"'!g:g")),0)</f>
        <v>0</v>
      </c>
      <c r="O28" s="27">
        <f ca="1">IFERROR(SUMIF(INDIRECT("'"&amp;Y28&amp;"'!D:D"),"Sell (Spot)",INDIRECT("'"&amp;Y28&amp;"'!E:E")),0)</f>
        <v>0</v>
      </c>
      <c r="P28" s="28" t="str">
        <f ca="1">IFERROR(Q28/O28,"")</f>
        <v/>
      </c>
      <c r="Q28" s="47">
        <f ca="1">IFERROR(SUMIF(INDIRECT("'"&amp;Y28&amp;"'!D:D"),"Sell (Spot)",INDIRECT("'"&amp;Y28&amp;"'!g:g")),0)</f>
        <v>0</v>
      </c>
      <c r="R28" s="27">
        <f ca="1">L28+O28</f>
        <v>0</v>
      </c>
      <c r="S28" s="28" t="str">
        <f ca="1">IFERROR(T28/R28,"")</f>
        <v/>
      </c>
      <c r="T28" s="47">
        <f ca="1">N28+Q28</f>
        <v>0</v>
      </c>
      <c r="U28" s="47"/>
      <c r="V28" s="27">
        <f ca="1">B28+E28+L28+O28</f>
        <v>0</v>
      </c>
      <c r="W28" s="47">
        <f ca="1">SUM(J28,T28)</f>
        <v>0</v>
      </c>
      <c r="X28" s="47">
        <f ca="1">IFERROR(SUMIF(INDIRECT("'"&amp;Y28&amp;"'!D:D"),"TOTAL",INDIRECT("'"&amp;Y28&amp;"'!L:L")),0)</f>
        <v>0</v>
      </c>
      <c r="Y28" s="48" t="s">
        <v>34</v>
      </c>
    </row>
    <row r="29" spans="1:25" s="40" customFormat="1" ht="15" customHeight="1" x14ac:dyDescent="0.25">
      <c r="A29" s="49" t="s">
        <v>20</v>
      </c>
      <c r="B29" s="29">
        <f ca="1">SUM(B28:B28)</f>
        <v>0</v>
      </c>
      <c r="C29" s="30" t="str">
        <f ca="1">IFERROR(D29/B29,"")</f>
        <v/>
      </c>
      <c r="D29" s="49">
        <f ca="1">SUM(D28:D28)</f>
        <v>0</v>
      </c>
      <c r="E29" s="29">
        <f ca="1">SUM(E28:E28)</f>
        <v>0</v>
      </c>
      <c r="F29" s="30" t="str">
        <f ca="1">IFERROR(G29/E29,"")</f>
        <v/>
      </c>
      <c r="G29" s="49">
        <f ca="1">SUM(G28:G28)</f>
        <v>0</v>
      </c>
      <c r="H29" s="29">
        <f ca="1">SUM(H28:H28)</f>
        <v>0</v>
      </c>
      <c r="I29" s="30" t="str">
        <f ca="1">IFERROR(J29/H29,"")</f>
        <v/>
      </c>
      <c r="J29" s="49">
        <f ca="1">SUM(J28:J28)</f>
        <v>0</v>
      </c>
      <c r="K29" s="49"/>
      <c r="L29" s="29">
        <f ca="1">SUM(L28:L28)</f>
        <v>0</v>
      </c>
      <c r="M29" s="30" t="str">
        <f ca="1">IFERROR(N29/L29,"")</f>
        <v/>
      </c>
      <c r="N29" s="49">
        <f ca="1">SUM(N28:N28)</f>
        <v>0</v>
      </c>
      <c r="O29" s="29">
        <f ca="1">SUM(O28:O28)</f>
        <v>0</v>
      </c>
      <c r="P29" s="30" t="str">
        <f ca="1">IFERROR(Q29/O29,"")</f>
        <v/>
      </c>
      <c r="Q29" s="49">
        <f ca="1">SUM(Q28:Q28)</f>
        <v>0</v>
      </c>
      <c r="R29" s="29">
        <f ca="1">SUM(R28:R28)</f>
        <v>0</v>
      </c>
      <c r="S29" s="30" t="str">
        <f ca="1">IFERROR(T29/R29,"")</f>
        <v/>
      </c>
      <c r="T29" s="49">
        <f ca="1">SUM(T28:T28)</f>
        <v>0</v>
      </c>
      <c r="U29" s="49"/>
      <c r="V29" s="29">
        <f ca="1">SUM(V28:V28)</f>
        <v>0</v>
      </c>
      <c r="W29" s="49">
        <f ca="1">SUM(W28:W28)</f>
        <v>0</v>
      </c>
      <c r="X29" s="49">
        <f ca="1">X28</f>
        <v>0</v>
      </c>
    </row>
    <row r="30" spans="1:25" x14ac:dyDescent="0.2">
      <c r="P30" s="22"/>
      <c r="S30" s="22"/>
    </row>
    <row r="31" spans="1:25" ht="15" customHeight="1" x14ac:dyDescent="0.25">
      <c r="A31" s="46" t="s">
        <v>35</v>
      </c>
      <c r="P31" s="22"/>
      <c r="S31" s="22"/>
    </row>
    <row r="32" spans="1:25" ht="15" customHeight="1" x14ac:dyDescent="0.25">
      <c r="A32" s="47" t="s">
        <v>36</v>
      </c>
      <c r="B32" s="32">
        <f ca="1">IFERROR(SUMIF(INDIRECT("'"&amp;Y32&amp;"'!D:D"),"Buy (Accu)",INDIRECT("'"&amp;Y32&amp;"'!E:E"))+SUMIF(INDIRECT("'"&amp;Y32&amp;"'!D:D"),"Buy (Accu-KO)",INDIRECT("'"&amp;Y32&amp;"'!E:E")),0)</f>
        <v>0</v>
      </c>
      <c r="C32" s="28" t="str">
        <f ca="1">IFERROR(D32/B32,"")</f>
        <v/>
      </c>
      <c r="D32" s="47">
        <f ca="1">IFERROR(SUMIF(INDIRECT("'"&amp;Y32&amp;"'!D:D"),"Buy (Accu)",INDIRECT("'"&amp;Y32&amp;"'!g:g"))+SUMIF(INDIRECT("'"&amp;Y32&amp;"'!D:D"),"Buy (Accu-KO)",INDIRECT("'"&amp;Y32&amp;"'!g:g")),0)</f>
        <v>0</v>
      </c>
      <c r="E32" s="27">
        <f ca="1">IFERROR(SUMIF(INDIRECT("'"&amp;Y32&amp;"'!D:D"),"Buy (Spot)",INDIRECT("'"&amp;Y32&amp;"'!E:E")),0)</f>
        <v>0</v>
      </c>
      <c r="F32" s="28" t="str">
        <f ca="1">IFERROR(G32/E32,"")</f>
        <v/>
      </c>
      <c r="G32" s="47">
        <f ca="1">IFERROR(SUMIF(INDIRECT("'"&amp;Y32&amp;"'!D:D"),"Buy (Spot)",INDIRECT("'"&amp;Y32&amp;"'!g:g")),0)</f>
        <v>0</v>
      </c>
      <c r="H32" s="27">
        <f ca="1">B32+E32</f>
        <v>0</v>
      </c>
      <c r="I32" s="28" t="str">
        <f ca="1">IFERROR(J32/H32,"")</f>
        <v/>
      </c>
      <c r="J32" s="47">
        <f ca="1">D32+G32</f>
        <v>0</v>
      </c>
      <c r="K32" s="47"/>
      <c r="L32" s="27">
        <f ca="1">IFERROR(SUMIF(INDIRECT("'"&amp;Y32&amp;"'!D:D"),"Sell (Decu)",INDIRECT("'"&amp;Y32&amp;"'!E:E"))+SUMIF(INDIRECT("'"&amp;Y32&amp;"'!D:D"),"Sell (Decu-KO)",INDIRECT("'"&amp;Y32&amp;"'!E:E")),0)</f>
        <v>0</v>
      </c>
      <c r="M32" s="28" t="str">
        <f ca="1">IFERROR(N32/L32,"")</f>
        <v/>
      </c>
      <c r="N32" s="47">
        <f ca="1">IFERROR(SUMIF(INDIRECT("'"&amp;Y32&amp;"'!D:D"),"Sell (Decu)",INDIRECT("'"&amp;Y32&amp;"'!g:g"))+SUMIF(INDIRECT("'"&amp;Y32&amp;"'!D:D"),"Sell (Decu-KO)",INDIRECT("'"&amp;Y32&amp;"'!g:g")),0)</f>
        <v>0</v>
      </c>
      <c r="O32" s="27">
        <f ca="1">IFERROR(SUMIF(INDIRECT("'"&amp;Y32&amp;"'!D:D"),"Sell (Spot)",INDIRECT("'"&amp;Y32&amp;"'!E:E")),0)</f>
        <v>0</v>
      </c>
      <c r="P32" s="28" t="str">
        <f ca="1">IFERROR(Q32/O32,"")</f>
        <v/>
      </c>
      <c r="Q32" s="47">
        <f ca="1">IFERROR(SUMIF(INDIRECT("'"&amp;Y32&amp;"'!D:D"),"Sell (Spot)",INDIRECT("'"&amp;Y32&amp;"'!g:g")),0)</f>
        <v>0</v>
      </c>
      <c r="R32" s="27">
        <f ca="1">L32+O32</f>
        <v>0</v>
      </c>
      <c r="S32" s="28" t="str">
        <f ca="1">IFERROR(T32/R32,"")</f>
        <v/>
      </c>
      <c r="T32" s="47">
        <f ca="1">N32+Q32</f>
        <v>0</v>
      </c>
      <c r="U32" s="47"/>
      <c r="V32" s="27">
        <f ca="1">B32+E32+L32+O32</f>
        <v>0</v>
      </c>
      <c r="W32" s="47">
        <f ca="1">SUM(J32,T32)</f>
        <v>0</v>
      </c>
      <c r="X32" s="47">
        <f ca="1">IFERROR(SUMIF(INDIRECT("'"&amp;Y32&amp;"'!D:D"),"TOTAL",INDIRECT("'"&amp;Y32&amp;"'!L:L")),0)</f>
        <v>0</v>
      </c>
      <c r="Y32" s="48" t="s">
        <v>37</v>
      </c>
    </row>
    <row r="33" spans="1:25" ht="15" customHeight="1" x14ac:dyDescent="0.25">
      <c r="A33" s="47" t="s">
        <v>38</v>
      </c>
      <c r="B33" s="32">
        <f ca="1">IFERROR(SUMIF(INDIRECT("'"&amp;Y33&amp;"'!D:D"),"Buy (Accu)",INDIRECT("'"&amp;Y33&amp;"'!E:E"))+SUMIF(INDIRECT("'"&amp;Y33&amp;"'!D:D"),"Buy (Accu-KO)",INDIRECT("'"&amp;Y33&amp;"'!E:E")),0)</f>
        <v>0</v>
      </c>
      <c r="C33" s="28" t="str">
        <f ca="1">IFERROR(D33/B33,"")</f>
        <v/>
      </c>
      <c r="D33" s="47">
        <f ca="1">IFERROR(SUMIF(INDIRECT("'"&amp;Y33&amp;"'!D:D"),"Buy (Accu)",INDIRECT("'"&amp;Y33&amp;"'!g:g"))+SUMIF(INDIRECT("'"&amp;Y33&amp;"'!D:D"),"Buy (Accu-KO)",INDIRECT("'"&amp;Y33&amp;"'!g:g")),0)</f>
        <v>0</v>
      </c>
      <c r="E33" s="27">
        <f ca="1">IFERROR(SUMIF(INDIRECT("'"&amp;Y33&amp;"'!D:D"),"Buy (Spot)",INDIRECT("'"&amp;Y33&amp;"'!E:E")),0)</f>
        <v>0</v>
      </c>
      <c r="F33" s="28" t="str">
        <f ca="1">IFERROR(G33/E33,"")</f>
        <v/>
      </c>
      <c r="G33" s="47">
        <f ca="1">IFERROR(SUMIF(INDIRECT("'"&amp;Y33&amp;"'!D:D"),"Buy (Spot)",INDIRECT("'"&amp;Y33&amp;"'!g:g")),0)</f>
        <v>0</v>
      </c>
      <c r="H33" s="27">
        <f ca="1">B33+E33</f>
        <v>0</v>
      </c>
      <c r="I33" s="28" t="str">
        <f ca="1">IFERROR(J33/H33,"")</f>
        <v/>
      </c>
      <c r="J33" s="47">
        <f ca="1">D33+G33</f>
        <v>0</v>
      </c>
      <c r="K33" s="47"/>
      <c r="L33" s="27">
        <f ca="1">IFERROR(SUMIF(INDIRECT("'"&amp;Y33&amp;"'!D:D"),"Sell (Decu)",INDIRECT("'"&amp;Y33&amp;"'!E:E"))+SUMIF(INDIRECT("'"&amp;Y33&amp;"'!D:D"),"Sell (Decu-KO)",INDIRECT("'"&amp;Y33&amp;"'!E:E")),0)</f>
        <v>0</v>
      </c>
      <c r="M33" s="28" t="str">
        <f ca="1">IFERROR(N33/L33,"")</f>
        <v/>
      </c>
      <c r="N33" s="47">
        <f ca="1">IFERROR(SUMIF(INDIRECT("'"&amp;Y33&amp;"'!D:D"),"Sell (Decu)",INDIRECT("'"&amp;Y33&amp;"'!g:g"))+SUMIF(INDIRECT("'"&amp;Y33&amp;"'!D:D"),"Sell (Decu-KO)",INDIRECT("'"&amp;Y33&amp;"'!g:g")),0)</f>
        <v>0</v>
      </c>
      <c r="O33" s="27">
        <f ca="1">IFERROR(SUMIF(INDIRECT("'"&amp;Y33&amp;"'!D:D"),"Sell (Spot)",INDIRECT("'"&amp;Y33&amp;"'!E:E")),0)</f>
        <v>0</v>
      </c>
      <c r="P33" s="28" t="str">
        <f ca="1">IFERROR(Q33/O33,"")</f>
        <v/>
      </c>
      <c r="Q33" s="47">
        <f ca="1">IFERROR(SUMIF(INDIRECT("'"&amp;Y33&amp;"'!D:D"),"Sell (Spot)",INDIRECT("'"&amp;Y33&amp;"'!g:g")),0)</f>
        <v>0</v>
      </c>
      <c r="R33" s="27">
        <f ca="1">L33+O33</f>
        <v>0</v>
      </c>
      <c r="S33" s="28" t="str">
        <f ca="1">IFERROR(T33/R33,"")</f>
        <v/>
      </c>
      <c r="T33" s="47">
        <f ca="1">N33+Q33</f>
        <v>0</v>
      </c>
      <c r="U33" s="47"/>
      <c r="V33" s="27">
        <f ca="1">B33+E33+L33+O33</f>
        <v>0</v>
      </c>
      <c r="W33" s="47">
        <f ca="1">SUM(J33,T33)</f>
        <v>0</v>
      </c>
      <c r="X33" s="47">
        <f ca="1">IFERROR(SUMIF(INDIRECT("'"&amp;Y33&amp;"'!D:D"),"TOTAL",INDIRECT("'"&amp;Y33&amp;"'!L:L")),0)</f>
        <v>0</v>
      </c>
      <c r="Y33" s="48" t="s">
        <v>39</v>
      </c>
    </row>
    <row r="34" spans="1:25" ht="15" customHeight="1" x14ac:dyDescent="0.25">
      <c r="A34" s="47" t="s">
        <v>27</v>
      </c>
      <c r="B34" s="32">
        <f ca="1">IFERROR(SUMIF(INDIRECT("'"&amp;Y34&amp;"'!D:D"),"Buy (Accu)",INDIRECT("'"&amp;Y34&amp;"'!E:E"))+SUMIF(INDIRECT("'"&amp;Y34&amp;"'!D:D"),"Buy (Accu-KO)",INDIRECT("'"&amp;Y34&amp;"'!E:E")),0)</f>
        <v>0</v>
      </c>
      <c r="C34" s="28" t="str">
        <f ca="1">IFERROR(D34/B34,"")</f>
        <v/>
      </c>
      <c r="D34" s="47">
        <f ca="1">IFERROR(SUMIF(INDIRECT("'"&amp;Y34&amp;"'!D:D"),"Buy (Accu)",INDIRECT("'"&amp;Y34&amp;"'!g:g"))+SUMIF(INDIRECT("'"&amp;Y34&amp;"'!D:D"),"Buy (Accu-KO)",INDIRECT("'"&amp;Y34&amp;"'!g:g")),0)</f>
        <v>0</v>
      </c>
      <c r="E34" s="27">
        <f ca="1">IFERROR(SUMIF(INDIRECT("'"&amp;Y34&amp;"'!D:D"),"Buy (Spot)",INDIRECT("'"&amp;Y34&amp;"'!E:E")),0)</f>
        <v>0</v>
      </c>
      <c r="F34" s="28" t="str">
        <f ca="1">IFERROR(G34/E34,"")</f>
        <v/>
      </c>
      <c r="G34" s="47">
        <f ca="1">IFERROR(SUMIF(INDIRECT("'"&amp;Y34&amp;"'!D:D"),"Buy (Spot)",INDIRECT("'"&amp;Y34&amp;"'!g:g")),0)</f>
        <v>0</v>
      </c>
      <c r="H34" s="27">
        <f ca="1">B34+E34</f>
        <v>0</v>
      </c>
      <c r="I34" s="28" t="str">
        <f ca="1">IFERROR(J34/H34,"")</f>
        <v/>
      </c>
      <c r="J34" s="47">
        <f ca="1">D34+G34</f>
        <v>0</v>
      </c>
      <c r="K34" s="47"/>
      <c r="L34" s="27">
        <f ca="1">IFERROR(SUMIF(INDIRECT("'"&amp;Y34&amp;"'!D:D"),"Sell (Decu)",INDIRECT("'"&amp;Y34&amp;"'!E:E"))+SUMIF(INDIRECT("'"&amp;Y34&amp;"'!D:D"),"Sell (Decu-KO)",INDIRECT("'"&amp;Y34&amp;"'!E:E")),0)</f>
        <v>0</v>
      </c>
      <c r="M34" s="28" t="str">
        <f ca="1">IFERROR(N34/L34,"")</f>
        <v/>
      </c>
      <c r="N34" s="47">
        <f ca="1">IFERROR(SUMIF(INDIRECT("'"&amp;Y34&amp;"'!D:D"),"Sell (Decu)",INDIRECT("'"&amp;Y34&amp;"'!g:g"))+SUMIF(INDIRECT("'"&amp;Y34&amp;"'!D:D"),"Sell (Decu-KO)",INDIRECT("'"&amp;Y34&amp;"'!g:g")),0)</f>
        <v>0</v>
      </c>
      <c r="O34" s="27">
        <f ca="1">IFERROR(SUMIF(INDIRECT("'"&amp;Y34&amp;"'!D:D"),"Sell (Spot)",INDIRECT("'"&amp;Y34&amp;"'!E:E")),0)</f>
        <v>0</v>
      </c>
      <c r="P34" s="28" t="str">
        <f ca="1">IFERROR(Q34/O34,"")</f>
        <v/>
      </c>
      <c r="Q34" s="47">
        <f ca="1">IFERROR(SUMIF(INDIRECT("'"&amp;Y34&amp;"'!D:D"),"Sell (Spot)",INDIRECT("'"&amp;Y34&amp;"'!g:g")),0)</f>
        <v>0</v>
      </c>
      <c r="R34" s="27">
        <f ca="1">L34+O34</f>
        <v>0</v>
      </c>
      <c r="S34" s="28" t="str">
        <f ca="1">IFERROR(T34/R34,"")</f>
        <v/>
      </c>
      <c r="T34" s="47">
        <f ca="1">N34+Q34</f>
        <v>0</v>
      </c>
      <c r="U34" s="47"/>
      <c r="V34" s="27">
        <f ca="1">B34+E34+L34+O34</f>
        <v>0</v>
      </c>
      <c r="W34" s="47">
        <f ca="1">SUM(J34,T34)</f>
        <v>0</v>
      </c>
      <c r="X34" s="47">
        <f ca="1">IFERROR(SUMIF(INDIRECT("'"&amp;Y34&amp;"'!D:D"),"TOTAL",INDIRECT("'"&amp;Y34&amp;"'!L:L")),0)</f>
        <v>0</v>
      </c>
      <c r="Y34" s="48" t="s">
        <v>40</v>
      </c>
    </row>
    <row r="35" spans="1:25" s="40" customFormat="1" ht="15" customHeight="1" x14ac:dyDescent="0.25">
      <c r="A35" s="49" t="s">
        <v>20</v>
      </c>
      <c r="B35" s="29">
        <f ca="1">SUM(B32:B34)</f>
        <v>0</v>
      </c>
      <c r="C35" s="30" t="str">
        <f ca="1">IFERROR(D35/B35,"")</f>
        <v/>
      </c>
      <c r="D35" s="49">
        <f ca="1">SUM(D32:D34)</f>
        <v>0</v>
      </c>
      <c r="E35" s="27">
        <f ca="1">SUM(E32:E34)</f>
        <v>0</v>
      </c>
      <c r="F35" s="30" t="str">
        <f ca="1">IFERROR(G35/E35,"")</f>
        <v/>
      </c>
      <c r="G35" s="49">
        <f ca="1">SUM(G32:G34)</f>
        <v>0</v>
      </c>
      <c r="H35" s="29">
        <f ca="1">SUM(H32:H34)</f>
        <v>0</v>
      </c>
      <c r="I35" s="30" t="str">
        <f ca="1">IFERROR(J35/H35,"")</f>
        <v/>
      </c>
      <c r="J35" s="49">
        <f ca="1">SUM(J32:J34)</f>
        <v>0</v>
      </c>
      <c r="K35" s="49"/>
      <c r="L35" s="29">
        <f ca="1">SUM(L32:L34)</f>
        <v>0</v>
      </c>
      <c r="M35" s="30" t="str">
        <f ca="1">IFERROR(N35/L35,"")</f>
        <v/>
      </c>
      <c r="N35" s="49">
        <f ca="1">SUM(N32:N34)</f>
        <v>0</v>
      </c>
      <c r="O35" s="29">
        <f ca="1">SUM(O32:O34)</f>
        <v>0</v>
      </c>
      <c r="P35" s="30" t="str">
        <f ca="1">IFERROR(Q35/O35,"")</f>
        <v/>
      </c>
      <c r="Q35" s="49">
        <f ca="1">SUM(Q32:Q34)</f>
        <v>0</v>
      </c>
      <c r="R35" s="29">
        <f ca="1">SUM(R32:R34)</f>
        <v>0</v>
      </c>
      <c r="S35" s="30" t="str">
        <f ca="1">IFERROR(T35/R35,"")</f>
        <v/>
      </c>
      <c r="T35" s="49">
        <f ca="1">SUM(T32:T34)</f>
        <v>0</v>
      </c>
      <c r="U35" s="49"/>
      <c r="V35" s="29">
        <f ca="1">SUM(V32:V34)</f>
        <v>0</v>
      </c>
      <c r="W35" s="49">
        <f ca="1">SUM(W32:W34)</f>
        <v>0</v>
      </c>
      <c r="X35" s="49">
        <f ca="1">SUM(X32:X34)</f>
        <v>0</v>
      </c>
    </row>
    <row r="36" spans="1:25" x14ac:dyDescent="0.2">
      <c r="P36" s="22"/>
      <c r="S36" s="22"/>
    </row>
    <row r="37" spans="1:25" s="40" customFormat="1" ht="15" customHeight="1" x14ac:dyDescent="0.25">
      <c r="A37" s="49" t="s">
        <v>41</v>
      </c>
      <c r="B37" s="29">
        <f ca="1">SUM(B12, B16, B21, B25, B35, B29)</f>
        <v>0</v>
      </c>
      <c r="C37" s="30" t="str">
        <f ca="1">IFERROR(D37/B37,"")</f>
        <v/>
      </c>
      <c r="D37" s="49">
        <f ca="1">SUM(D12, D16, D21, D25, D35, E41,D29)</f>
        <v>0</v>
      </c>
      <c r="E37" s="29">
        <f ca="1">SUM(E12, E16, E21, E25, E35, E29)</f>
        <v>0</v>
      </c>
      <c r="F37" s="30" t="str">
        <f ca="1">IFERROR(G37/E37,"")</f>
        <v/>
      </c>
      <c r="G37" s="49">
        <f ca="1">SUM(G12, G16, G21, G25, G35, G29)</f>
        <v>0</v>
      </c>
      <c r="H37" s="29">
        <f ca="1">SUM(H12, H16, H21, H25, H35, H29)</f>
        <v>0</v>
      </c>
      <c r="I37" s="30" t="str">
        <f ca="1">IFERROR(J37/H37,"")</f>
        <v/>
      </c>
      <c r="J37" s="49">
        <f ca="1">SUM(J12, J16, J21, J25, J35, J29)</f>
        <v>0</v>
      </c>
      <c r="K37" s="49"/>
      <c r="L37" s="29">
        <f ca="1">SUM(L12, L16, L21, L25, L35, L29)</f>
        <v>0</v>
      </c>
      <c r="M37" s="30" t="str">
        <f ca="1">IFERROR(N37/L37,"")</f>
        <v/>
      </c>
      <c r="N37" s="49">
        <f ca="1">SUM(N12, N16, N21, N25, N35, N29)</f>
        <v>0</v>
      </c>
      <c r="O37" s="29">
        <f ca="1">SUM(O12, O16, O21, O25, O35, O29)</f>
        <v>0</v>
      </c>
      <c r="P37" s="30" t="str">
        <f ca="1">IFERROR(Q37/O37,"")</f>
        <v/>
      </c>
      <c r="Q37" s="49">
        <f ca="1">SUM(Q12, Q16, Q21, Q25, Q35, Q29)</f>
        <v>0</v>
      </c>
      <c r="R37" s="29">
        <f ca="1">SUM(R12, R16, R21, R25, R35, R29)</f>
        <v>0</v>
      </c>
      <c r="S37" s="30" t="str">
        <f ca="1">IFERROR(T37/R37,"")</f>
        <v/>
      </c>
      <c r="T37" s="49">
        <f ca="1">SUM(T12, T16, T21, T25, T35, T29)</f>
        <v>0</v>
      </c>
      <c r="U37" s="49"/>
      <c r="V37" s="29">
        <f ca="1">SUM(V12, V16, V21, V25, V35, V29)</f>
        <v>0</v>
      </c>
      <c r="W37" s="49">
        <f ca="1">SUM(W12, W16, W21, W25, W35, W29)</f>
        <v>0</v>
      </c>
      <c r="X37" s="49">
        <f ca="1">SUM(X12, X16, X21, X25, X35, X29)</f>
        <v>0</v>
      </c>
    </row>
    <row r="38" spans="1:25" ht="15" customHeight="1" x14ac:dyDescent="0.25">
      <c r="B38" s="35" t="s">
        <v>42</v>
      </c>
      <c r="C38" s="35"/>
      <c r="D38" s="35" t="s">
        <v>43</v>
      </c>
      <c r="E38" s="35" t="s">
        <v>42</v>
      </c>
      <c r="F38" s="35"/>
      <c r="G38" s="35" t="s">
        <v>43</v>
      </c>
      <c r="H38" s="35" t="s">
        <v>42</v>
      </c>
      <c r="I38" s="35"/>
      <c r="J38" s="35" t="s">
        <v>43</v>
      </c>
      <c r="L38" s="35" t="s">
        <v>42</v>
      </c>
      <c r="M38" s="35"/>
      <c r="N38" s="35" t="s">
        <v>43</v>
      </c>
      <c r="O38" s="35" t="s">
        <v>42</v>
      </c>
      <c r="P38" s="35"/>
      <c r="Q38" s="35" t="s">
        <v>43</v>
      </c>
      <c r="R38" s="35" t="s">
        <v>42</v>
      </c>
      <c r="S38" s="35"/>
      <c r="T38" s="35" t="s">
        <v>43</v>
      </c>
      <c r="V38" s="35" t="s">
        <v>42</v>
      </c>
      <c r="W38" s="35" t="s">
        <v>43</v>
      </c>
      <c r="X38" s="35" t="s">
        <v>43</v>
      </c>
    </row>
    <row r="39" spans="1:25" ht="15" customHeight="1" x14ac:dyDescent="0.25">
      <c r="B39" s="183" t="s">
        <v>56</v>
      </c>
      <c r="C39" s="186"/>
      <c r="D39" s="185"/>
      <c r="E39" s="183" t="s">
        <v>44</v>
      </c>
      <c r="F39" s="184"/>
      <c r="G39" s="185"/>
      <c r="H39" s="183" t="s">
        <v>57</v>
      </c>
      <c r="I39" s="184"/>
      <c r="J39" s="185"/>
      <c r="L39" s="183" t="s">
        <v>58</v>
      </c>
      <c r="M39" s="186"/>
      <c r="N39" s="185"/>
      <c r="O39" s="183" t="s">
        <v>44</v>
      </c>
      <c r="P39" s="184"/>
      <c r="Q39" s="185"/>
      <c r="R39" s="183" t="s">
        <v>59</v>
      </c>
      <c r="S39" s="184"/>
      <c r="T39" s="185"/>
      <c r="U39" s="31"/>
    </row>
  </sheetData>
  <mergeCells count="6">
    <mergeCell ref="R39:T39"/>
    <mergeCell ref="B39:D39"/>
    <mergeCell ref="E39:G39"/>
    <mergeCell ref="H39:J39"/>
    <mergeCell ref="L39:N39"/>
    <mergeCell ref="O39:Q39"/>
  </mergeCells>
  <pageMargins left="0.25" right="0.25" top="0.25" bottom="0.25" header="0.5" footer="0.5"/>
  <pageSetup paperSize="10001" fitToWidth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8"/>
  <sheetViews>
    <sheetView workbookViewId="0">
      <selection activeCell="C8" sqref="C8"/>
    </sheetView>
  </sheetViews>
  <sheetFormatPr defaultRowHeight="15" x14ac:dyDescent="0.25"/>
  <cols>
    <col min="1" max="1" width="3.28515625" customWidth="1"/>
    <col min="2" max="2" width="12.42578125" bestFit="1" customWidth="1"/>
    <col min="3" max="3" width="12.7109375" customWidth="1"/>
    <col min="4" max="4" width="3.28515625" customWidth="1"/>
  </cols>
  <sheetData>
    <row r="2" spans="2:3" x14ac:dyDescent="0.25">
      <c r="B2" s="1" t="s">
        <v>60</v>
      </c>
      <c r="C2" s="2">
        <v>7.85</v>
      </c>
    </row>
    <row r="4" spans="2:3" x14ac:dyDescent="0.25">
      <c r="B4" s="1" t="s">
        <v>61</v>
      </c>
      <c r="C4" s="2">
        <v>111.37</v>
      </c>
    </row>
    <row r="6" spans="2:3" x14ac:dyDescent="0.25">
      <c r="B6" s="1" t="s">
        <v>62</v>
      </c>
      <c r="C6" s="2">
        <v>1.4</v>
      </c>
    </row>
    <row r="8" spans="2:3" x14ac:dyDescent="0.25">
      <c r="B8" s="37" t="s">
        <v>63</v>
      </c>
      <c r="C8" s="38">
        <v>1.36</v>
      </c>
    </row>
  </sheetData>
  <pageMargins left="0.7" right="0.7" top="0.75" bottom="0.75" header="0.3" footer="0.3"/>
  <pageSetup paperSize="3276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9"/>
  <sheetViews>
    <sheetView showOutlineSymbols="0" showWhiteSpace="0" zoomScaleNormal="100" workbookViewId="0">
      <pane xSplit="1" ySplit="6" topLeftCell="I7" activePane="bottomRight" state="frozen"/>
      <selection activeCell="C29" sqref="C29"/>
      <selection pane="topRight" activeCell="C29" sqref="C29"/>
      <selection pane="bottomLeft" activeCell="C29" sqref="C29"/>
      <selection pane="bottomRight" activeCell="M7" sqref="M7"/>
    </sheetView>
  </sheetViews>
  <sheetFormatPr defaultRowHeight="14.25" x14ac:dyDescent="0.2"/>
  <cols>
    <col min="1" max="1" width="23.7109375" style="50" bestFit="1" customWidth="1"/>
    <col min="2" max="13" width="25.5703125" style="50" customWidth="1"/>
    <col min="14" max="14" width="0.42578125" style="50" customWidth="1"/>
    <col min="15" max="15" width="27.28515625" style="50" customWidth="1"/>
    <col min="16" max="16" width="10.28515625" style="50" customWidth="1"/>
    <col min="17" max="17" width="18.5703125" style="50" bestFit="1" customWidth="1"/>
    <col min="18" max="19" width="10.28515625" style="50" customWidth="1"/>
    <col min="20" max="20" width="9.140625" style="50" customWidth="1"/>
    <col min="21" max="16384" width="9.140625" style="50"/>
  </cols>
  <sheetData>
    <row r="1" spans="1:17" ht="18" customHeight="1" x14ac:dyDescent="0.25">
      <c r="A1" s="51" t="s">
        <v>64</v>
      </c>
    </row>
    <row r="2" spans="1:17" ht="18" customHeight="1" x14ac:dyDescent="0.25">
      <c r="A2" s="51" t="s">
        <v>65</v>
      </c>
    </row>
    <row r="3" spans="1:17" ht="15.75" customHeight="1" x14ac:dyDescent="0.25">
      <c r="A3" s="52" t="str">
        <f ca="1">INDIRECT("SUMMARY!A3")</f>
        <v>As of November 6, 2020</v>
      </c>
    </row>
    <row r="4" spans="1:17" x14ac:dyDescent="0.2">
      <c r="A4" s="53"/>
    </row>
    <row r="6" spans="1:17" ht="15" customHeight="1" x14ac:dyDescent="0.25">
      <c r="A6" s="54" t="s">
        <v>66</v>
      </c>
      <c r="B6" s="33" t="s">
        <v>67</v>
      </c>
      <c r="C6" s="33" t="s">
        <v>68</v>
      </c>
      <c r="D6" s="33" t="s">
        <v>109</v>
      </c>
      <c r="E6" s="105" t="s">
        <v>110</v>
      </c>
      <c r="F6" s="33" t="s">
        <v>112</v>
      </c>
      <c r="G6" s="33" t="s">
        <v>113</v>
      </c>
      <c r="H6" s="33" t="s">
        <v>118</v>
      </c>
      <c r="I6" s="105" t="s">
        <v>119</v>
      </c>
      <c r="J6" s="105" t="s">
        <v>138</v>
      </c>
      <c r="K6" s="105" t="s">
        <v>140</v>
      </c>
      <c r="L6" s="105" t="s">
        <v>141</v>
      </c>
      <c r="M6" s="33" t="s">
        <v>142</v>
      </c>
      <c r="N6" s="15"/>
      <c r="O6" s="55" t="s">
        <v>41</v>
      </c>
    </row>
    <row r="7" spans="1:17" ht="15" customHeight="1" x14ac:dyDescent="0.25">
      <c r="A7" s="56"/>
      <c r="B7" s="57"/>
      <c r="C7" s="57"/>
      <c r="D7" s="57"/>
      <c r="E7" s="57"/>
      <c r="F7" s="57"/>
      <c r="G7" s="57"/>
      <c r="H7" s="57"/>
      <c r="I7" s="151"/>
      <c r="J7" s="151"/>
      <c r="K7" s="151"/>
      <c r="L7" s="151"/>
      <c r="M7" s="57"/>
      <c r="N7" s="57"/>
      <c r="O7" s="57"/>
    </row>
    <row r="8" spans="1:17" ht="15" customHeight="1" x14ac:dyDescent="0.25">
      <c r="A8" s="58" t="s">
        <v>13</v>
      </c>
    </row>
    <row r="9" spans="1:17" ht="15" customHeight="1" x14ac:dyDescent="0.25">
      <c r="A9" s="59" t="s">
        <v>14</v>
      </c>
      <c r="B9" s="60">
        <v>-555795.81999999995</v>
      </c>
      <c r="C9" s="60">
        <v>512.74064498645021</v>
      </c>
      <c r="D9" s="60">
        <v>-103248.98678509728</v>
      </c>
      <c r="E9" s="106">
        <v>444542.95823973871</v>
      </c>
      <c r="F9" s="106">
        <v>15314.189999999944</v>
      </c>
      <c r="G9" s="60">
        <v>32716.547473943909</v>
      </c>
      <c r="H9" s="60">
        <v>24570.31490418929</v>
      </c>
      <c r="I9" s="106">
        <v>53765.864647051116</v>
      </c>
      <c r="J9" s="106">
        <v>-611712.66695367557</v>
      </c>
      <c r="K9" s="106">
        <v>-4552776.8007817417</v>
      </c>
      <c r="L9" s="106">
        <v>-385341.29699034803</v>
      </c>
      <c r="M9" s="60">
        <f>SUMIF(SUMMARY!$N:$N,$P9,SUMMARY!$M:$M)</f>
        <v>0</v>
      </c>
      <c r="N9" s="61"/>
      <c r="O9" s="60">
        <f>SUM(B9:N9)</f>
        <v>-5637452.9556009527</v>
      </c>
      <c r="P9" s="50" t="s">
        <v>69</v>
      </c>
      <c r="Q9" s="16"/>
    </row>
    <row r="10" spans="1:17" x14ac:dyDescent="0.2">
      <c r="A10" s="59" t="s">
        <v>16</v>
      </c>
      <c r="B10" s="60">
        <v>27482.086473126488</v>
      </c>
      <c r="C10" s="60">
        <v>-24786.391744174427</v>
      </c>
      <c r="D10" s="60">
        <v>-116587.01365319052</v>
      </c>
      <c r="E10" s="106">
        <v>422380.43095005513</v>
      </c>
      <c r="F10" s="106">
        <v>0</v>
      </c>
      <c r="G10" s="60">
        <v>-25169.854368720786</v>
      </c>
      <c r="H10" s="60">
        <v>122074.10064233604</v>
      </c>
      <c r="I10" s="106">
        <v>45863.7891017129</v>
      </c>
      <c r="J10" s="106">
        <v>-222165.20914799781</v>
      </c>
      <c r="K10" s="106">
        <v>-5786950.6218349496</v>
      </c>
      <c r="L10" s="106">
        <v>-559698.46587859537</v>
      </c>
      <c r="M10" s="60">
        <f>SUMIF(SUMMARY!$N:$N,$P10,SUMMARY!$M:$M)</f>
        <v>0</v>
      </c>
      <c r="N10" s="60"/>
      <c r="O10" s="60">
        <f>SUM(B10:N10)</f>
        <v>-6117557.1494603986</v>
      </c>
      <c r="P10" s="50" t="s">
        <v>70</v>
      </c>
      <c r="Q10" s="16"/>
    </row>
    <row r="11" spans="1:17" x14ac:dyDescent="0.2">
      <c r="A11" s="59" t="s">
        <v>71</v>
      </c>
      <c r="B11" s="60">
        <v>-232060.98678166699</v>
      </c>
      <c r="C11" s="60">
        <v>-45507.227258947794</v>
      </c>
      <c r="D11" s="60">
        <v>87662.41209394508</v>
      </c>
      <c r="E11" s="106">
        <v>-53933.00962515462</v>
      </c>
      <c r="F11" s="106">
        <v>-63605.606948996894</v>
      </c>
      <c r="G11" s="60">
        <v>-63665.606948996894</v>
      </c>
      <c r="H11" s="60">
        <v>-37384.641673151113</v>
      </c>
      <c r="I11" s="106">
        <v>294877.85643803078</v>
      </c>
      <c r="J11" s="106">
        <v>81215.828311679041</v>
      </c>
      <c r="K11" s="106">
        <v>-1179602.5553102284</v>
      </c>
      <c r="L11" s="106">
        <v>0</v>
      </c>
      <c r="M11" s="60">
        <f>SUMIF(SUMMARY!$N:$N,$P11,SUMMARY!$M:$M)</f>
        <v>0</v>
      </c>
      <c r="N11" s="60"/>
      <c r="O11" s="60">
        <f>SUM(B11:N11)</f>
        <v>-1212003.5377034878</v>
      </c>
      <c r="P11" s="50" t="s">
        <v>72</v>
      </c>
      <c r="Q11" s="16"/>
    </row>
    <row r="12" spans="1:17" x14ac:dyDescent="0.2">
      <c r="A12" s="59" t="s">
        <v>73</v>
      </c>
      <c r="B12" s="60">
        <v>-339399.94623076898</v>
      </c>
      <c r="C12" s="60">
        <v>-77670.524399999907</v>
      </c>
      <c r="D12" s="60">
        <v>-3974341.6488314285</v>
      </c>
      <c r="E12" s="106">
        <v>-324098.66932857141</v>
      </c>
      <c r="F12" s="106">
        <v>0</v>
      </c>
      <c r="G12" s="60">
        <v>0</v>
      </c>
      <c r="H12" s="60">
        <v>0</v>
      </c>
      <c r="I12" s="106">
        <v>0</v>
      </c>
      <c r="J12" s="106">
        <v>0</v>
      </c>
      <c r="K12" s="106">
        <v>0</v>
      </c>
      <c r="L12" s="106">
        <v>0</v>
      </c>
      <c r="M12" s="60">
        <f>SUMIF(SUMMARY!$N:$N,$P12,SUMMARY!$M:$M)</f>
        <v>0</v>
      </c>
      <c r="N12" s="60"/>
      <c r="O12" s="60">
        <f>SUM(B12:N12)</f>
        <v>-4715510.7887907689</v>
      </c>
      <c r="P12" s="50" t="s">
        <v>74</v>
      </c>
      <c r="Q12" s="16"/>
    </row>
    <row r="13" spans="1:17" hidden="1" x14ac:dyDescent="0.2">
      <c r="A13" s="59" t="s">
        <v>75</v>
      </c>
      <c r="B13" s="60">
        <v>0</v>
      </c>
      <c r="C13" s="60">
        <v>0</v>
      </c>
      <c r="D13" s="60">
        <v>0</v>
      </c>
      <c r="E13" s="106">
        <v>0</v>
      </c>
      <c r="F13" s="106">
        <v>0</v>
      </c>
      <c r="G13" s="60">
        <v>0</v>
      </c>
      <c r="H13" s="60">
        <v>0</v>
      </c>
      <c r="I13" s="106">
        <v>0</v>
      </c>
      <c r="J13" s="106">
        <v>0</v>
      </c>
      <c r="K13" s="106">
        <v>0</v>
      </c>
      <c r="L13" s="106">
        <v>0</v>
      </c>
      <c r="M13" s="60">
        <f>SUMIF(SUMMARY!$N:$N,$P13,SUMMARY!$M:$M)</f>
        <v>0</v>
      </c>
      <c r="N13" s="60"/>
      <c r="O13" s="60">
        <f>SUM(B13:N13)</f>
        <v>0</v>
      </c>
      <c r="P13" s="50" t="s">
        <v>76</v>
      </c>
      <c r="Q13" s="16"/>
    </row>
    <row r="14" spans="1:17" ht="15" customHeight="1" x14ac:dyDescent="0.25">
      <c r="A14" s="54" t="s">
        <v>20</v>
      </c>
      <c r="B14" s="54">
        <v>-1099774.66653931</v>
      </c>
      <c r="C14" s="54">
        <v>-147451.40275813569</v>
      </c>
      <c r="D14" s="54">
        <v>-4106515.237175771</v>
      </c>
      <c r="E14" s="107">
        <v>488891.71023606777</v>
      </c>
      <c r="F14" s="107">
        <v>-48291.41694899695</v>
      </c>
      <c r="G14" s="54">
        <v>-56118.913843773771</v>
      </c>
      <c r="H14" s="54">
        <v>109259.77387337422</v>
      </c>
      <c r="I14" s="152">
        <v>394507.5101867948</v>
      </c>
      <c r="J14" s="152">
        <v>-752662.04778999428</v>
      </c>
      <c r="K14" s="152">
        <v>-11519329.977926919</v>
      </c>
      <c r="L14" s="152">
        <v>-945039.76286894339</v>
      </c>
      <c r="M14" s="54">
        <f>SUM(M9:M13)</f>
        <v>0</v>
      </c>
      <c r="N14" s="54"/>
      <c r="O14" s="54">
        <f>SUM(O9:O13)</f>
        <v>-17682524.43155561</v>
      </c>
      <c r="Q14" s="16"/>
    </row>
    <row r="15" spans="1:17" x14ac:dyDescent="0.2">
      <c r="Q15" s="16"/>
    </row>
    <row r="16" spans="1:17" ht="15" customHeight="1" x14ac:dyDescent="0.25">
      <c r="A16" s="58" t="s">
        <v>21</v>
      </c>
      <c r="Q16" s="16"/>
    </row>
    <row r="17" spans="1:17" x14ac:dyDescent="0.2">
      <c r="A17" s="59" t="s">
        <v>22</v>
      </c>
      <c r="B17" s="60">
        <v>-300181.50016039482</v>
      </c>
      <c r="C17" s="60">
        <v>-80518.737204671357</v>
      </c>
      <c r="D17" s="60">
        <v>-5056275.1998850126</v>
      </c>
      <c r="E17" s="106">
        <v>378321.36318763287</v>
      </c>
      <c r="F17" s="106">
        <v>-661886.75748885178</v>
      </c>
      <c r="G17" s="60">
        <v>100052.60513387405</v>
      </c>
      <c r="H17" s="60">
        <v>199616.20184145108</v>
      </c>
      <c r="I17" s="106">
        <v>180603.10595949597</v>
      </c>
      <c r="J17" s="106">
        <v>-1976633.1420241981</v>
      </c>
      <c r="K17" s="106">
        <v>-14220340.088725628</v>
      </c>
      <c r="L17" s="106">
        <v>-13827138.734003285</v>
      </c>
      <c r="M17" s="60">
        <f ca="1">SUMIF(SUMMARY!$N:$N,$P17,SUMMARY!$M:$M)</f>
        <v>0</v>
      </c>
      <c r="N17" s="60"/>
      <c r="O17" s="60">
        <f ca="1">SUM(B17:N17)</f>
        <v>-35264380.883369587</v>
      </c>
      <c r="P17" s="50" t="s">
        <v>22</v>
      </c>
      <c r="Q17" s="16"/>
    </row>
    <row r="18" spans="1:17" ht="15" customHeight="1" x14ac:dyDescent="0.25">
      <c r="A18" s="54" t="s">
        <v>20</v>
      </c>
      <c r="B18" s="54">
        <v>-300181.50016039482</v>
      </c>
      <c r="C18" s="54">
        <v>-80518.737204671357</v>
      </c>
      <c r="D18" s="54">
        <v>-5056275.1998850126</v>
      </c>
      <c r="E18" s="107">
        <v>378321.36318763287</v>
      </c>
      <c r="F18" s="107">
        <v>-661886.75748885178</v>
      </c>
      <c r="G18" s="54">
        <v>100052.60513387405</v>
      </c>
      <c r="H18" s="54">
        <v>199616.20184145108</v>
      </c>
      <c r="I18" s="152">
        <v>180603.10595949597</v>
      </c>
      <c r="J18" s="152">
        <v>-1976633.1420241981</v>
      </c>
      <c r="K18" s="152">
        <v>-14220340.088725628</v>
      </c>
      <c r="L18" s="152">
        <v>-13827138.734003285</v>
      </c>
      <c r="M18" s="54">
        <f ca="1">SUM(M17:M17)</f>
        <v>0</v>
      </c>
      <c r="N18" s="54"/>
      <c r="O18" s="54">
        <f ca="1">SUM(O17:O17)</f>
        <v>-35264380.883369587</v>
      </c>
      <c r="Q18" s="16"/>
    </row>
    <row r="19" spans="1:17" x14ac:dyDescent="0.2">
      <c r="Q19" s="16"/>
    </row>
    <row r="20" spans="1:17" ht="15" customHeight="1" x14ac:dyDescent="0.25">
      <c r="A20" s="58" t="s">
        <v>24</v>
      </c>
      <c r="Q20" s="16"/>
    </row>
    <row r="21" spans="1:17" x14ac:dyDescent="0.2">
      <c r="A21" s="59" t="s">
        <v>25</v>
      </c>
      <c r="B21" s="60">
        <v>58415.376105517382</v>
      </c>
      <c r="C21" s="60">
        <v>27836.71466233259</v>
      </c>
      <c r="D21" s="60">
        <v>53599.321757906502</v>
      </c>
      <c r="E21" s="106">
        <v>149731.8913761818</v>
      </c>
      <c r="F21" s="106">
        <v>93020.919140506841</v>
      </c>
      <c r="G21" s="60">
        <v>188355.26136356383</v>
      </c>
      <c r="H21" s="60">
        <v>114649.69709068378</v>
      </c>
      <c r="I21" s="106">
        <v>144423.96705135162</v>
      </c>
      <c r="J21" s="106">
        <v>-587863.07206927729</v>
      </c>
      <c r="K21" s="106">
        <v>-18887299.116971489</v>
      </c>
      <c r="L21" s="106">
        <v>-10377399.051769674</v>
      </c>
      <c r="M21" s="60">
        <f ca="1">SUMIF(SUMMARY!$N:$N,$P21,SUMMARY!$M:$M)</f>
        <v>0</v>
      </c>
      <c r="N21" s="60"/>
      <c r="O21" s="60">
        <f ca="1">SUM(B21:N21)</f>
        <v>-29022528.092262395</v>
      </c>
      <c r="P21" s="50" t="s">
        <v>77</v>
      </c>
      <c r="Q21" s="16"/>
    </row>
    <row r="22" spans="1:17" x14ac:dyDescent="0.2">
      <c r="A22" s="59" t="s">
        <v>27</v>
      </c>
      <c r="B22" s="60">
        <v>45778.849999999977</v>
      </c>
      <c r="C22" s="60">
        <v>89902.329688311947</v>
      </c>
      <c r="D22" s="60">
        <v>47126.75</v>
      </c>
      <c r="E22" s="106">
        <v>55701.593600000146</v>
      </c>
      <c r="F22" s="106">
        <v>0</v>
      </c>
      <c r="G22" s="60">
        <v>245404.45002609273</v>
      </c>
      <c r="H22" s="60">
        <v>84541.172894291551</v>
      </c>
      <c r="I22" s="106">
        <v>13725.712676862735</v>
      </c>
      <c r="J22" s="106">
        <v>-609500.08891372313</v>
      </c>
      <c r="K22" s="106">
        <v>-7075512.139514327</v>
      </c>
      <c r="L22" s="106">
        <v>-4680125.0383503921</v>
      </c>
      <c r="M22" s="60">
        <f ca="1">SUMIF(SUMMARY!$N:$N,$P22,SUMMARY!$M:$M)</f>
        <v>0</v>
      </c>
      <c r="N22" s="60"/>
      <c r="O22" s="60">
        <f ca="1">SUM(B22:N22)</f>
        <v>-11782956.407892883</v>
      </c>
      <c r="P22" s="50" t="s">
        <v>78</v>
      </c>
      <c r="Q22" s="16"/>
    </row>
    <row r="23" spans="1:17" ht="15" customHeight="1" x14ac:dyDescent="0.25">
      <c r="A23" s="54" t="s">
        <v>20</v>
      </c>
      <c r="B23" s="54">
        <v>104194.2261055174</v>
      </c>
      <c r="C23" s="54">
        <v>117739.04435064454</v>
      </c>
      <c r="D23" s="54">
        <v>100726.07175790649</v>
      </c>
      <c r="E23" s="107">
        <v>205433.48497618194</v>
      </c>
      <c r="F23" s="107">
        <v>93020.919140506841</v>
      </c>
      <c r="G23" s="54">
        <v>433759.71138965653</v>
      </c>
      <c r="H23" s="54">
        <v>199190.86998497532</v>
      </c>
      <c r="I23" s="152">
        <v>158149.67972821434</v>
      </c>
      <c r="J23" s="152">
        <v>-1197363.1609830004</v>
      </c>
      <c r="K23" s="152">
        <v>-25962811.256485816</v>
      </c>
      <c r="L23" s="152">
        <v>-15057524.090120066</v>
      </c>
      <c r="M23" s="54">
        <f ca="1">SUM(M21:M22)</f>
        <v>0</v>
      </c>
      <c r="N23" s="54"/>
      <c r="O23" s="54">
        <f ca="1">SUM(O21:O22)</f>
        <v>-40805484.500155278</v>
      </c>
      <c r="Q23" s="16"/>
    </row>
    <row r="24" spans="1:17" x14ac:dyDescent="0.2">
      <c r="Q24" s="16"/>
    </row>
    <row r="25" spans="1:17" ht="15" customHeight="1" x14ac:dyDescent="0.25">
      <c r="A25" s="58" t="s">
        <v>29</v>
      </c>
      <c r="Q25" s="16"/>
    </row>
    <row r="26" spans="1:17" x14ac:dyDescent="0.2">
      <c r="A26" s="59" t="s">
        <v>30</v>
      </c>
      <c r="B26" s="60">
        <v>-36962.62094257219</v>
      </c>
      <c r="C26" s="60">
        <v>36642.985130517336</v>
      </c>
      <c r="D26" s="60">
        <v>-63541.159905799606</v>
      </c>
      <c r="E26" s="106">
        <v>293318.788</v>
      </c>
      <c r="F26" s="106">
        <v>0</v>
      </c>
      <c r="G26" s="60">
        <v>0</v>
      </c>
      <c r="H26" s="60">
        <v>0</v>
      </c>
      <c r="I26" s="106">
        <v>0</v>
      </c>
      <c r="J26" s="106">
        <v>0</v>
      </c>
      <c r="K26" s="106">
        <v>0</v>
      </c>
      <c r="L26" s="106">
        <v>0</v>
      </c>
      <c r="M26" s="60">
        <f ca="1">SUMIF(SUMMARY!$N:$N,$P26,SUMMARY!$M:$M)</f>
        <v>0</v>
      </c>
      <c r="N26" s="60"/>
      <c r="O26" s="60">
        <f ca="1">SUM(B26:N26)</f>
        <v>229457.99228214554</v>
      </c>
      <c r="P26" s="50" t="s">
        <v>79</v>
      </c>
      <c r="Q26" s="16"/>
    </row>
    <row r="27" spans="1:17" ht="15" customHeight="1" x14ac:dyDescent="0.25">
      <c r="A27" s="54" t="s">
        <v>20</v>
      </c>
      <c r="B27" s="54">
        <v>-36962.62094257219</v>
      </c>
      <c r="C27" s="54">
        <v>36642.985130517336</v>
      </c>
      <c r="D27" s="54">
        <v>-63541.159905799606</v>
      </c>
      <c r="E27" s="107">
        <v>293318.788</v>
      </c>
      <c r="F27" s="107">
        <v>0</v>
      </c>
      <c r="G27" s="54">
        <v>0</v>
      </c>
      <c r="H27" s="54">
        <v>0</v>
      </c>
      <c r="I27" s="152">
        <v>0</v>
      </c>
      <c r="J27" s="152">
        <v>0</v>
      </c>
      <c r="K27" s="152">
        <v>0</v>
      </c>
      <c r="L27" s="152">
        <v>0</v>
      </c>
      <c r="M27" s="54">
        <f ca="1">SUM(M26:M26)</f>
        <v>0</v>
      </c>
      <c r="N27" s="54"/>
      <c r="O27" s="54">
        <f ca="1">SUM(O26:O26)</f>
        <v>229457.99228214554</v>
      </c>
      <c r="Q27" s="16"/>
    </row>
    <row r="28" spans="1:17" x14ac:dyDescent="0.2">
      <c r="Q28" s="16"/>
    </row>
    <row r="29" spans="1:17" ht="15" customHeight="1" x14ac:dyDescent="0.25">
      <c r="A29" s="158" t="s">
        <v>139</v>
      </c>
      <c r="Q29" s="16"/>
    </row>
    <row r="30" spans="1:17" x14ac:dyDescent="0.2">
      <c r="A30" s="59" t="s">
        <v>33</v>
      </c>
      <c r="B30" s="60">
        <v>-953882.7818232202</v>
      </c>
      <c r="C30" s="60">
        <v>-1168705.3049378493</v>
      </c>
      <c r="D30" s="60">
        <v>-3540591.5929882089</v>
      </c>
      <c r="E30" s="106">
        <v>-986732.07456920389</v>
      </c>
      <c r="F30" s="106">
        <v>-557935.31570112484</v>
      </c>
      <c r="G30" s="60">
        <v>-55771.517060738202</v>
      </c>
      <c r="H30" s="60">
        <v>95412.760988868176</v>
      </c>
      <c r="I30" s="106">
        <v>-40014.066638074146</v>
      </c>
      <c r="J30" s="106">
        <v>-481695.66828643379</v>
      </c>
      <c r="K30" s="106">
        <v>-8978510.0497102551</v>
      </c>
      <c r="L30" s="106">
        <v>-28610401.066810146</v>
      </c>
      <c r="M30" s="60">
        <f ca="1">SUMIF(SUMMARY!$N:$N,$P30,SUMMARY!$M:$M)</f>
        <v>0</v>
      </c>
      <c r="N30" s="60"/>
      <c r="O30" s="60">
        <f ca="1">SUM(B30:N30)</f>
        <v>-45278826.677536383</v>
      </c>
      <c r="P30" s="50" t="s">
        <v>80</v>
      </c>
      <c r="Q30" s="16"/>
    </row>
    <row r="31" spans="1:17" ht="15" customHeight="1" x14ac:dyDescent="0.25">
      <c r="A31" s="54" t="s">
        <v>20</v>
      </c>
      <c r="B31" s="54">
        <v>-953882.7818232202</v>
      </c>
      <c r="C31" s="54">
        <v>-1168705.3049378493</v>
      </c>
      <c r="D31" s="54">
        <v>-3540591.5929882089</v>
      </c>
      <c r="E31" s="107">
        <v>-986732.07456920389</v>
      </c>
      <c r="F31" s="107">
        <v>-557935.31570112484</v>
      </c>
      <c r="G31" s="54">
        <v>-55771.517060738202</v>
      </c>
      <c r="H31" s="54">
        <v>95412.760988868176</v>
      </c>
      <c r="I31" s="152">
        <v>-40014.066638074146</v>
      </c>
      <c r="J31" s="152">
        <v>-481695.66828643379</v>
      </c>
      <c r="K31" s="152">
        <v>-8978510.0497102551</v>
      </c>
      <c r="L31" s="152">
        <v>-28610401.066810146</v>
      </c>
      <c r="M31" s="54">
        <f ca="1">SUM(M30:M30)</f>
        <v>0</v>
      </c>
      <c r="N31" s="54"/>
      <c r="O31" s="54">
        <f ca="1">SUM(O30:O30)</f>
        <v>-45278826.677536383</v>
      </c>
      <c r="Q31" s="16"/>
    </row>
    <row r="32" spans="1:17" x14ac:dyDescent="0.2">
      <c r="Q32" s="16"/>
    </row>
    <row r="33" spans="1:17" ht="15" customHeight="1" x14ac:dyDescent="0.25">
      <c r="A33" s="58" t="s">
        <v>35</v>
      </c>
      <c r="Q33" s="16"/>
    </row>
    <row r="34" spans="1:17" x14ac:dyDescent="0.2">
      <c r="A34" s="59" t="s">
        <v>36</v>
      </c>
      <c r="B34" s="60">
        <v>-1579397.266379999</v>
      </c>
      <c r="C34" s="60">
        <v>-635615.64897111221</v>
      </c>
      <c r="D34" s="60">
        <v>-4187073.2846687073</v>
      </c>
      <c r="E34" s="106">
        <v>-53253.94558334272</v>
      </c>
      <c r="F34" s="106">
        <v>-132490.7235662078</v>
      </c>
      <c r="G34" s="60">
        <v>-98894.176594431396</v>
      </c>
      <c r="H34" s="60">
        <v>164547.16888739244</v>
      </c>
      <c r="I34" s="106">
        <v>136007.99448224885</v>
      </c>
      <c r="J34" s="106">
        <v>-1904625.4699442654</v>
      </c>
      <c r="K34" s="106">
        <v>-2241598.9581990223</v>
      </c>
      <c r="L34" s="106">
        <v>-507355.0747744157</v>
      </c>
      <c r="M34" s="60">
        <f ca="1">SUMIF(SUMMARY!$N:$N,$P34,SUMMARY!$M:$M)</f>
        <v>0</v>
      </c>
      <c r="N34" s="60"/>
      <c r="O34" s="60">
        <f ca="1">SUM(B34:N34)</f>
        <v>-11039749.385311862</v>
      </c>
      <c r="P34" s="50" t="s">
        <v>81</v>
      </c>
      <c r="Q34" s="16"/>
    </row>
    <row r="35" spans="1:17" x14ac:dyDescent="0.2">
      <c r="A35" s="59" t="s">
        <v>38</v>
      </c>
      <c r="B35" s="60">
        <v>-46552.729511899153</v>
      </c>
      <c r="C35" s="60">
        <v>53966.945794450105</v>
      </c>
      <c r="D35" s="60">
        <v>-423363.48147681821</v>
      </c>
      <c r="E35" s="106">
        <v>119239.41948516748</v>
      </c>
      <c r="F35" s="106">
        <v>11388.730826922867</v>
      </c>
      <c r="G35" s="60">
        <v>42130.237357158388</v>
      </c>
      <c r="H35" s="60">
        <v>236528.4508122135</v>
      </c>
      <c r="I35" s="106">
        <v>253114.07234432586</v>
      </c>
      <c r="J35" s="106">
        <v>-2272012.8851802712</v>
      </c>
      <c r="K35" s="106">
        <v>-4022659.2331305612</v>
      </c>
      <c r="L35" s="106">
        <v>-1040982.9674202986</v>
      </c>
      <c r="M35" s="60">
        <f ca="1">SUMIF(SUMMARY!$N:$N,$P35,SUMMARY!$M:$M)</f>
        <v>0</v>
      </c>
      <c r="N35" s="60"/>
      <c r="O35" s="60">
        <f ca="1">SUM(B35:N35)</f>
        <v>-7089203.44009961</v>
      </c>
      <c r="P35" s="50" t="s">
        <v>82</v>
      </c>
      <c r="Q35" s="16"/>
    </row>
    <row r="36" spans="1:17" x14ac:dyDescent="0.2">
      <c r="A36" s="59" t="s">
        <v>27</v>
      </c>
      <c r="B36" s="60">
        <v>-1722426.6776760621</v>
      </c>
      <c r="C36" s="60">
        <v>-1008972.9278451145</v>
      </c>
      <c r="D36" s="60">
        <v>980763.93032116489</v>
      </c>
      <c r="E36" s="106">
        <v>-434138.64390334755</v>
      </c>
      <c r="F36" s="106">
        <v>-627205.18953518872</v>
      </c>
      <c r="G36" s="60">
        <v>740164.97170000104</v>
      </c>
      <c r="H36" s="60">
        <v>202185.76522317933</v>
      </c>
      <c r="I36" s="106">
        <v>368307.88972776657</v>
      </c>
      <c r="J36" s="106">
        <v>-1403999.8126962387</v>
      </c>
      <c r="K36" s="106">
        <v>-6828818.2913665175</v>
      </c>
      <c r="L36" s="106">
        <v>-1699818.1588384318</v>
      </c>
      <c r="M36" s="60">
        <f ca="1">SUMIF(SUMMARY!$N:$N,$P36,SUMMARY!$M:$M)</f>
        <v>0</v>
      </c>
      <c r="N36" s="60"/>
      <c r="O36" s="60">
        <f ca="1">SUM(B36:N36)</f>
        <v>-11433957.144888788</v>
      </c>
      <c r="P36" s="50" t="s">
        <v>83</v>
      </c>
      <c r="Q36" s="16"/>
    </row>
    <row r="37" spans="1:17" ht="15" customHeight="1" x14ac:dyDescent="0.25">
      <c r="A37" s="54" t="s">
        <v>20</v>
      </c>
      <c r="B37" s="54">
        <v>-3348376.67356796</v>
      </c>
      <c r="C37" s="54">
        <v>-1590621.6310217767</v>
      </c>
      <c r="D37" s="54">
        <v>-3629672.8358243606</v>
      </c>
      <c r="E37" s="107">
        <v>-368153.17000152275</v>
      </c>
      <c r="F37" s="107">
        <v>-748307.1822744736</v>
      </c>
      <c r="G37" s="54">
        <v>683401.03246272798</v>
      </c>
      <c r="H37" s="54">
        <v>603261.38492278534</v>
      </c>
      <c r="I37" s="152">
        <v>757429.95655434136</v>
      </c>
      <c r="J37" s="152">
        <v>-5580638.1678207759</v>
      </c>
      <c r="K37" s="152">
        <v>-13093076.482696101</v>
      </c>
      <c r="L37" s="152">
        <v>-3248156.2010331461</v>
      </c>
      <c r="M37" s="54">
        <f ca="1">SUM(M34:M36)</f>
        <v>0</v>
      </c>
      <c r="N37" s="54"/>
      <c r="O37" s="54">
        <f ca="1">SUM(O34:O36)</f>
        <v>-29562909.970300261</v>
      </c>
    </row>
    <row r="39" spans="1:17" ht="15" customHeight="1" x14ac:dyDescent="0.25">
      <c r="A39" s="54" t="s">
        <v>41</v>
      </c>
      <c r="B39" s="54">
        <v>-5634984.0169279389</v>
      </c>
      <c r="C39" s="54">
        <v>-2832915.046441271</v>
      </c>
      <c r="D39" s="54">
        <v>-16295869.954021245</v>
      </c>
      <c r="E39" s="107">
        <v>11080.10182915593</v>
      </c>
      <c r="F39" s="107">
        <v>-1923399.7532729404</v>
      </c>
      <c r="G39" s="54">
        <v>1105322.9180817464</v>
      </c>
      <c r="H39" s="54">
        <v>1206740.9916114539</v>
      </c>
      <c r="I39" s="152">
        <v>1450676.1857907723</v>
      </c>
      <c r="J39" s="152">
        <v>-9988992.1869044024</v>
      </c>
      <c r="K39" s="152">
        <v>-73774067.855544716</v>
      </c>
      <c r="L39" s="152">
        <v>-61688259.854835585</v>
      </c>
      <c r="M39" s="54">
        <f ca="1">SUM(M14, M18, M23, M27, M37, M31)</f>
        <v>0</v>
      </c>
      <c r="N39" s="54"/>
      <c r="O39" s="62">
        <f ca="1">SUM(O14, O18, O23, O27, O37, O31)</f>
        <v>-168364668.47063494</v>
      </c>
    </row>
  </sheetData>
  <phoneticPr fontId="13" type="noConversion"/>
  <pageMargins left="0.25" right="0.33" top="0.5" bottom="0.25" header="0.5" footer="0.5"/>
  <pageSetup paperSize="10001" fitToWidth="2" fitToHeight="1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2A40-303A-4D6D-AB00-270CBA0B2C33}">
  <dimension ref="A1:Q40"/>
  <sheetViews>
    <sheetView tabSelected="1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L6" sqref="L6"/>
    </sheetView>
  </sheetViews>
  <sheetFormatPr defaultRowHeight="15" x14ac:dyDescent="0.2"/>
  <cols>
    <col min="1" max="1" width="29.5703125" style="108" customWidth="1"/>
    <col min="2" max="2" width="21.85546875" style="165" bestFit="1" customWidth="1"/>
    <col min="3" max="3" width="8.28515625" style="165" bestFit="1" customWidth="1"/>
    <col min="4" max="4" width="15" style="165" hidden="1" customWidth="1"/>
    <col min="5" max="5" width="18.28515625" style="166" customWidth="1"/>
    <col min="6" max="6" width="1.7109375" style="167" customWidth="1"/>
    <col min="7" max="7" width="21" style="165" bestFit="1" customWidth="1"/>
    <col min="8" max="8" width="8.28515625" style="165" bestFit="1" customWidth="1"/>
    <col min="9" max="9" width="15" style="165" hidden="1" customWidth="1"/>
    <col min="10" max="10" width="18.28515625" style="166" customWidth="1"/>
    <col min="11" max="11" width="1.7109375" style="167" customWidth="1"/>
    <col min="12" max="12" width="21" style="109" bestFit="1" customWidth="1"/>
    <col min="13" max="13" width="8.28515625" style="109" bestFit="1" customWidth="1"/>
    <col min="14" max="14" width="15" style="109" hidden="1" customWidth="1"/>
    <col min="15" max="15" width="18.28515625" style="141" customWidth="1"/>
    <col min="16" max="16" width="1.7109375" style="108" customWidth="1"/>
    <col min="17" max="17" width="18.28515625" style="143" bestFit="1" customWidth="1"/>
    <col min="18" max="254" width="9.140625" style="108"/>
    <col min="255" max="255" width="32.42578125" style="108" bestFit="1" customWidth="1"/>
    <col min="256" max="256" width="16.140625" style="108" bestFit="1" customWidth="1"/>
    <col min="257" max="257" width="9" style="108" bestFit="1" customWidth="1"/>
    <col min="258" max="258" width="15.42578125" style="108" bestFit="1" customWidth="1"/>
    <col min="259" max="259" width="17.85546875" style="108" bestFit="1" customWidth="1"/>
    <col min="260" max="510" width="9.140625" style="108"/>
    <col min="511" max="511" width="32.42578125" style="108" bestFit="1" customWidth="1"/>
    <col min="512" max="512" width="16.140625" style="108" bestFit="1" customWidth="1"/>
    <col min="513" max="513" width="9" style="108" bestFit="1" customWidth="1"/>
    <col min="514" max="514" width="15.42578125" style="108" bestFit="1" customWidth="1"/>
    <col min="515" max="515" width="17.85546875" style="108" bestFit="1" customWidth="1"/>
    <col min="516" max="766" width="9.140625" style="108"/>
    <col min="767" max="767" width="32.42578125" style="108" bestFit="1" customWidth="1"/>
    <col min="768" max="768" width="16.140625" style="108" bestFit="1" customWidth="1"/>
    <col min="769" max="769" width="9" style="108" bestFit="1" customWidth="1"/>
    <col min="770" max="770" width="15.42578125" style="108" bestFit="1" customWidth="1"/>
    <col min="771" max="771" width="17.85546875" style="108" bestFit="1" customWidth="1"/>
    <col min="772" max="1022" width="9.140625" style="108"/>
    <col min="1023" max="1023" width="32.42578125" style="108" bestFit="1" customWidth="1"/>
    <col min="1024" max="1024" width="16.140625" style="108" bestFit="1" customWidth="1"/>
    <col min="1025" max="1025" width="9" style="108" bestFit="1" customWidth="1"/>
    <col min="1026" max="1026" width="15.42578125" style="108" bestFit="1" customWidth="1"/>
    <col min="1027" max="1027" width="17.85546875" style="108" bestFit="1" customWidth="1"/>
    <col min="1028" max="1278" width="9.140625" style="108"/>
    <col min="1279" max="1279" width="32.42578125" style="108" bestFit="1" customWidth="1"/>
    <col min="1280" max="1280" width="16.140625" style="108" bestFit="1" customWidth="1"/>
    <col min="1281" max="1281" width="9" style="108" bestFit="1" customWidth="1"/>
    <col min="1282" max="1282" width="15.42578125" style="108" bestFit="1" customWidth="1"/>
    <col min="1283" max="1283" width="17.85546875" style="108" bestFit="1" customWidth="1"/>
    <col min="1284" max="1534" width="9.140625" style="108"/>
    <col min="1535" max="1535" width="32.42578125" style="108" bestFit="1" customWidth="1"/>
    <col min="1536" max="1536" width="16.140625" style="108" bestFit="1" customWidth="1"/>
    <col min="1537" max="1537" width="9" style="108" bestFit="1" customWidth="1"/>
    <col min="1538" max="1538" width="15.42578125" style="108" bestFit="1" customWidth="1"/>
    <col min="1539" max="1539" width="17.85546875" style="108" bestFit="1" customWidth="1"/>
    <col min="1540" max="1790" width="9.140625" style="108"/>
    <col min="1791" max="1791" width="32.42578125" style="108" bestFit="1" customWidth="1"/>
    <col min="1792" max="1792" width="16.140625" style="108" bestFit="1" customWidth="1"/>
    <col min="1793" max="1793" width="9" style="108" bestFit="1" customWidth="1"/>
    <col min="1794" max="1794" width="15.42578125" style="108" bestFit="1" customWidth="1"/>
    <col min="1795" max="1795" width="17.85546875" style="108" bestFit="1" customWidth="1"/>
    <col min="1796" max="2046" width="9.140625" style="108"/>
    <col min="2047" max="2047" width="32.42578125" style="108" bestFit="1" customWidth="1"/>
    <col min="2048" max="2048" width="16.140625" style="108" bestFit="1" customWidth="1"/>
    <col min="2049" max="2049" width="9" style="108" bestFit="1" customWidth="1"/>
    <col min="2050" max="2050" width="15.42578125" style="108" bestFit="1" customWidth="1"/>
    <col min="2051" max="2051" width="17.85546875" style="108" bestFit="1" customWidth="1"/>
    <col min="2052" max="2302" width="9.140625" style="108"/>
    <col min="2303" max="2303" width="32.42578125" style="108" bestFit="1" customWidth="1"/>
    <col min="2304" max="2304" width="16.140625" style="108" bestFit="1" customWidth="1"/>
    <col min="2305" max="2305" width="9" style="108" bestFit="1" customWidth="1"/>
    <col min="2306" max="2306" width="15.42578125" style="108" bestFit="1" customWidth="1"/>
    <col min="2307" max="2307" width="17.85546875" style="108" bestFit="1" customWidth="1"/>
    <col min="2308" max="2558" width="9.140625" style="108"/>
    <col min="2559" max="2559" width="32.42578125" style="108" bestFit="1" customWidth="1"/>
    <col min="2560" max="2560" width="16.140625" style="108" bestFit="1" customWidth="1"/>
    <col min="2561" max="2561" width="9" style="108" bestFit="1" customWidth="1"/>
    <col min="2562" max="2562" width="15.42578125" style="108" bestFit="1" customWidth="1"/>
    <col min="2563" max="2563" width="17.85546875" style="108" bestFit="1" customWidth="1"/>
    <col min="2564" max="2814" width="9.140625" style="108"/>
    <col min="2815" max="2815" width="32.42578125" style="108" bestFit="1" customWidth="1"/>
    <col min="2816" max="2816" width="16.140625" style="108" bestFit="1" customWidth="1"/>
    <col min="2817" max="2817" width="9" style="108" bestFit="1" customWidth="1"/>
    <col min="2818" max="2818" width="15.42578125" style="108" bestFit="1" customWidth="1"/>
    <col min="2819" max="2819" width="17.85546875" style="108" bestFit="1" customWidth="1"/>
    <col min="2820" max="3070" width="9.140625" style="108"/>
    <col min="3071" max="3071" width="32.42578125" style="108" bestFit="1" customWidth="1"/>
    <col min="3072" max="3072" width="16.140625" style="108" bestFit="1" customWidth="1"/>
    <col min="3073" max="3073" width="9" style="108" bestFit="1" customWidth="1"/>
    <col min="3074" max="3074" width="15.42578125" style="108" bestFit="1" customWidth="1"/>
    <col min="3075" max="3075" width="17.85546875" style="108" bestFit="1" customWidth="1"/>
    <col min="3076" max="3326" width="9.140625" style="108"/>
    <col min="3327" max="3327" width="32.42578125" style="108" bestFit="1" customWidth="1"/>
    <col min="3328" max="3328" width="16.140625" style="108" bestFit="1" customWidth="1"/>
    <col min="3329" max="3329" width="9" style="108" bestFit="1" customWidth="1"/>
    <col min="3330" max="3330" width="15.42578125" style="108" bestFit="1" customWidth="1"/>
    <col min="3331" max="3331" width="17.85546875" style="108" bestFit="1" customWidth="1"/>
    <col min="3332" max="3582" width="9.140625" style="108"/>
    <col min="3583" max="3583" width="32.42578125" style="108" bestFit="1" customWidth="1"/>
    <col min="3584" max="3584" width="16.140625" style="108" bestFit="1" customWidth="1"/>
    <col min="3585" max="3585" width="9" style="108" bestFit="1" customWidth="1"/>
    <col min="3586" max="3586" width="15.42578125" style="108" bestFit="1" customWidth="1"/>
    <col min="3587" max="3587" width="17.85546875" style="108" bestFit="1" customWidth="1"/>
    <col min="3588" max="3838" width="9.140625" style="108"/>
    <col min="3839" max="3839" width="32.42578125" style="108" bestFit="1" customWidth="1"/>
    <col min="3840" max="3840" width="16.140625" style="108" bestFit="1" customWidth="1"/>
    <col min="3841" max="3841" width="9" style="108" bestFit="1" customWidth="1"/>
    <col min="3842" max="3842" width="15.42578125" style="108" bestFit="1" customWidth="1"/>
    <col min="3843" max="3843" width="17.85546875" style="108" bestFit="1" customWidth="1"/>
    <col min="3844" max="4094" width="9.140625" style="108"/>
    <col min="4095" max="4095" width="32.42578125" style="108" bestFit="1" customWidth="1"/>
    <col min="4096" max="4096" width="16.140625" style="108" bestFit="1" customWidth="1"/>
    <col min="4097" max="4097" width="9" style="108" bestFit="1" customWidth="1"/>
    <col min="4098" max="4098" width="15.42578125" style="108" bestFit="1" customWidth="1"/>
    <col min="4099" max="4099" width="17.85546875" style="108" bestFit="1" customWidth="1"/>
    <col min="4100" max="4350" width="9.140625" style="108"/>
    <col min="4351" max="4351" width="32.42578125" style="108" bestFit="1" customWidth="1"/>
    <col min="4352" max="4352" width="16.140625" style="108" bestFit="1" customWidth="1"/>
    <col min="4353" max="4353" width="9" style="108" bestFit="1" customWidth="1"/>
    <col min="4354" max="4354" width="15.42578125" style="108" bestFit="1" customWidth="1"/>
    <col min="4355" max="4355" width="17.85546875" style="108" bestFit="1" customWidth="1"/>
    <col min="4356" max="4606" width="9.140625" style="108"/>
    <col min="4607" max="4607" width="32.42578125" style="108" bestFit="1" customWidth="1"/>
    <col min="4608" max="4608" width="16.140625" style="108" bestFit="1" customWidth="1"/>
    <col min="4609" max="4609" width="9" style="108" bestFit="1" customWidth="1"/>
    <col min="4610" max="4610" width="15.42578125" style="108" bestFit="1" customWidth="1"/>
    <col min="4611" max="4611" width="17.85546875" style="108" bestFit="1" customWidth="1"/>
    <col min="4612" max="4862" width="9.140625" style="108"/>
    <col min="4863" max="4863" width="32.42578125" style="108" bestFit="1" customWidth="1"/>
    <col min="4864" max="4864" width="16.140625" style="108" bestFit="1" customWidth="1"/>
    <col min="4865" max="4865" width="9" style="108" bestFit="1" customWidth="1"/>
    <col min="4866" max="4866" width="15.42578125" style="108" bestFit="1" customWidth="1"/>
    <col min="4867" max="4867" width="17.85546875" style="108" bestFit="1" customWidth="1"/>
    <col min="4868" max="5118" width="9.140625" style="108"/>
    <col min="5119" max="5119" width="32.42578125" style="108" bestFit="1" customWidth="1"/>
    <col min="5120" max="5120" width="16.140625" style="108" bestFit="1" customWidth="1"/>
    <col min="5121" max="5121" width="9" style="108" bestFit="1" customWidth="1"/>
    <col min="5122" max="5122" width="15.42578125" style="108" bestFit="1" customWidth="1"/>
    <col min="5123" max="5123" width="17.85546875" style="108" bestFit="1" customWidth="1"/>
    <col min="5124" max="5374" width="9.140625" style="108"/>
    <col min="5375" max="5375" width="32.42578125" style="108" bestFit="1" customWidth="1"/>
    <col min="5376" max="5376" width="16.140625" style="108" bestFit="1" customWidth="1"/>
    <col min="5377" max="5377" width="9" style="108" bestFit="1" customWidth="1"/>
    <col min="5378" max="5378" width="15.42578125" style="108" bestFit="1" customWidth="1"/>
    <col min="5379" max="5379" width="17.85546875" style="108" bestFit="1" customWidth="1"/>
    <col min="5380" max="5630" width="9.140625" style="108"/>
    <col min="5631" max="5631" width="32.42578125" style="108" bestFit="1" customWidth="1"/>
    <col min="5632" max="5632" width="16.140625" style="108" bestFit="1" customWidth="1"/>
    <col min="5633" max="5633" width="9" style="108" bestFit="1" customWidth="1"/>
    <col min="5634" max="5634" width="15.42578125" style="108" bestFit="1" customWidth="1"/>
    <col min="5635" max="5635" width="17.85546875" style="108" bestFit="1" customWidth="1"/>
    <col min="5636" max="5886" width="9.140625" style="108"/>
    <col min="5887" max="5887" width="32.42578125" style="108" bestFit="1" customWidth="1"/>
    <col min="5888" max="5888" width="16.140625" style="108" bestFit="1" customWidth="1"/>
    <col min="5889" max="5889" width="9" style="108" bestFit="1" customWidth="1"/>
    <col min="5890" max="5890" width="15.42578125" style="108" bestFit="1" customWidth="1"/>
    <col min="5891" max="5891" width="17.85546875" style="108" bestFit="1" customWidth="1"/>
    <col min="5892" max="6142" width="9.140625" style="108"/>
    <col min="6143" max="6143" width="32.42578125" style="108" bestFit="1" customWidth="1"/>
    <col min="6144" max="6144" width="16.140625" style="108" bestFit="1" customWidth="1"/>
    <col min="6145" max="6145" width="9" style="108" bestFit="1" customWidth="1"/>
    <col min="6146" max="6146" width="15.42578125" style="108" bestFit="1" customWidth="1"/>
    <col min="6147" max="6147" width="17.85546875" style="108" bestFit="1" customWidth="1"/>
    <col min="6148" max="6398" width="9.140625" style="108"/>
    <col min="6399" max="6399" width="32.42578125" style="108" bestFit="1" customWidth="1"/>
    <col min="6400" max="6400" width="16.140625" style="108" bestFit="1" customWidth="1"/>
    <col min="6401" max="6401" width="9" style="108" bestFit="1" customWidth="1"/>
    <col min="6402" max="6402" width="15.42578125" style="108" bestFit="1" customWidth="1"/>
    <col min="6403" max="6403" width="17.85546875" style="108" bestFit="1" customWidth="1"/>
    <col min="6404" max="6654" width="9.140625" style="108"/>
    <col min="6655" max="6655" width="32.42578125" style="108" bestFit="1" customWidth="1"/>
    <col min="6656" max="6656" width="16.140625" style="108" bestFit="1" customWidth="1"/>
    <col min="6657" max="6657" width="9" style="108" bestFit="1" customWidth="1"/>
    <col min="6658" max="6658" width="15.42578125" style="108" bestFit="1" customWidth="1"/>
    <col min="6659" max="6659" width="17.85546875" style="108" bestFit="1" customWidth="1"/>
    <col min="6660" max="6910" width="9.140625" style="108"/>
    <col min="6911" max="6911" width="32.42578125" style="108" bestFit="1" customWidth="1"/>
    <col min="6912" max="6912" width="16.140625" style="108" bestFit="1" customWidth="1"/>
    <col min="6913" max="6913" width="9" style="108" bestFit="1" customWidth="1"/>
    <col min="6914" max="6914" width="15.42578125" style="108" bestFit="1" customWidth="1"/>
    <col min="6915" max="6915" width="17.85546875" style="108" bestFit="1" customWidth="1"/>
    <col min="6916" max="7166" width="9.140625" style="108"/>
    <col min="7167" max="7167" width="32.42578125" style="108" bestFit="1" customWidth="1"/>
    <col min="7168" max="7168" width="16.140625" style="108" bestFit="1" customWidth="1"/>
    <col min="7169" max="7169" width="9" style="108" bestFit="1" customWidth="1"/>
    <col min="7170" max="7170" width="15.42578125" style="108" bestFit="1" customWidth="1"/>
    <col min="7171" max="7171" width="17.85546875" style="108" bestFit="1" customWidth="1"/>
    <col min="7172" max="7422" width="9.140625" style="108"/>
    <col min="7423" max="7423" width="32.42578125" style="108" bestFit="1" customWidth="1"/>
    <col min="7424" max="7424" width="16.140625" style="108" bestFit="1" customWidth="1"/>
    <col min="7425" max="7425" width="9" style="108" bestFit="1" customWidth="1"/>
    <col min="7426" max="7426" width="15.42578125" style="108" bestFit="1" customWidth="1"/>
    <col min="7427" max="7427" width="17.85546875" style="108" bestFit="1" customWidth="1"/>
    <col min="7428" max="7678" width="9.140625" style="108"/>
    <col min="7679" max="7679" width="32.42578125" style="108" bestFit="1" customWidth="1"/>
    <col min="7680" max="7680" width="16.140625" style="108" bestFit="1" customWidth="1"/>
    <col min="7681" max="7681" width="9" style="108" bestFit="1" customWidth="1"/>
    <col min="7682" max="7682" width="15.42578125" style="108" bestFit="1" customWidth="1"/>
    <col min="7683" max="7683" width="17.85546875" style="108" bestFit="1" customWidth="1"/>
    <col min="7684" max="7934" width="9.140625" style="108"/>
    <col min="7935" max="7935" width="32.42578125" style="108" bestFit="1" customWidth="1"/>
    <col min="7936" max="7936" width="16.140625" style="108" bestFit="1" customWidth="1"/>
    <col min="7937" max="7937" width="9" style="108" bestFit="1" customWidth="1"/>
    <col min="7938" max="7938" width="15.42578125" style="108" bestFit="1" customWidth="1"/>
    <col min="7939" max="7939" width="17.85546875" style="108" bestFit="1" customWidth="1"/>
    <col min="7940" max="8190" width="9.140625" style="108"/>
    <col min="8191" max="8191" width="32.42578125" style="108" bestFit="1" customWidth="1"/>
    <col min="8192" max="8192" width="16.140625" style="108" bestFit="1" customWidth="1"/>
    <col min="8193" max="8193" width="9" style="108" bestFit="1" customWidth="1"/>
    <col min="8194" max="8194" width="15.42578125" style="108" bestFit="1" customWidth="1"/>
    <col min="8195" max="8195" width="17.85546875" style="108" bestFit="1" customWidth="1"/>
    <col min="8196" max="8446" width="9.140625" style="108"/>
    <col min="8447" max="8447" width="32.42578125" style="108" bestFit="1" customWidth="1"/>
    <col min="8448" max="8448" width="16.140625" style="108" bestFit="1" customWidth="1"/>
    <col min="8449" max="8449" width="9" style="108" bestFit="1" customWidth="1"/>
    <col min="8450" max="8450" width="15.42578125" style="108" bestFit="1" customWidth="1"/>
    <col min="8451" max="8451" width="17.85546875" style="108" bestFit="1" customWidth="1"/>
    <col min="8452" max="8702" width="9.140625" style="108"/>
    <col min="8703" max="8703" width="32.42578125" style="108" bestFit="1" customWidth="1"/>
    <col min="8704" max="8704" width="16.140625" style="108" bestFit="1" customWidth="1"/>
    <col min="8705" max="8705" width="9" style="108" bestFit="1" customWidth="1"/>
    <col min="8706" max="8706" width="15.42578125" style="108" bestFit="1" customWidth="1"/>
    <col min="8707" max="8707" width="17.85546875" style="108" bestFit="1" customWidth="1"/>
    <col min="8708" max="8958" width="9.140625" style="108"/>
    <col min="8959" max="8959" width="32.42578125" style="108" bestFit="1" customWidth="1"/>
    <col min="8960" max="8960" width="16.140625" style="108" bestFit="1" customWidth="1"/>
    <col min="8961" max="8961" width="9" style="108" bestFit="1" customWidth="1"/>
    <col min="8962" max="8962" width="15.42578125" style="108" bestFit="1" customWidth="1"/>
    <col min="8963" max="8963" width="17.85546875" style="108" bestFit="1" customWidth="1"/>
    <col min="8964" max="9214" width="9.140625" style="108"/>
    <col min="9215" max="9215" width="32.42578125" style="108" bestFit="1" customWidth="1"/>
    <col min="9216" max="9216" width="16.140625" style="108" bestFit="1" customWidth="1"/>
    <col min="9217" max="9217" width="9" style="108" bestFit="1" customWidth="1"/>
    <col min="9218" max="9218" width="15.42578125" style="108" bestFit="1" customWidth="1"/>
    <col min="9219" max="9219" width="17.85546875" style="108" bestFit="1" customWidth="1"/>
    <col min="9220" max="9470" width="9.140625" style="108"/>
    <col min="9471" max="9471" width="32.42578125" style="108" bestFit="1" customWidth="1"/>
    <col min="9472" max="9472" width="16.140625" style="108" bestFit="1" customWidth="1"/>
    <col min="9473" max="9473" width="9" style="108" bestFit="1" customWidth="1"/>
    <col min="9474" max="9474" width="15.42578125" style="108" bestFit="1" customWidth="1"/>
    <col min="9475" max="9475" width="17.85546875" style="108" bestFit="1" customWidth="1"/>
    <col min="9476" max="9726" width="9.140625" style="108"/>
    <col min="9727" max="9727" width="32.42578125" style="108" bestFit="1" customWidth="1"/>
    <col min="9728" max="9728" width="16.140625" style="108" bestFit="1" customWidth="1"/>
    <col min="9729" max="9729" width="9" style="108" bestFit="1" customWidth="1"/>
    <col min="9730" max="9730" width="15.42578125" style="108" bestFit="1" customWidth="1"/>
    <col min="9731" max="9731" width="17.85546875" style="108" bestFit="1" customWidth="1"/>
    <col min="9732" max="9982" width="9.140625" style="108"/>
    <col min="9983" max="9983" width="32.42578125" style="108" bestFit="1" customWidth="1"/>
    <col min="9984" max="9984" width="16.140625" style="108" bestFit="1" customWidth="1"/>
    <col min="9985" max="9985" width="9" style="108" bestFit="1" customWidth="1"/>
    <col min="9986" max="9986" width="15.42578125" style="108" bestFit="1" customWidth="1"/>
    <col min="9987" max="9987" width="17.85546875" style="108" bestFit="1" customWidth="1"/>
    <col min="9988" max="10238" width="9.140625" style="108"/>
    <col min="10239" max="10239" width="32.42578125" style="108" bestFit="1" customWidth="1"/>
    <col min="10240" max="10240" width="16.140625" style="108" bestFit="1" customWidth="1"/>
    <col min="10241" max="10241" width="9" style="108" bestFit="1" customWidth="1"/>
    <col min="10242" max="10242" width="15.42578125" style="108" bestFit="1" customWidth="1"/>
    <col min="10243" max="10243" width="17.85546875" style="108" bestFit="1" customWidth="1"/>
    <col min="10244" max="10494" width="9.140625" style="108"/>
    <col min="10495" max="10495" width="32.42578125" style="108" bestFit="1" customWidth="1"/>
    <col min="10496" max="10496" width="16.140625" style="108" bestFit="1" customWidth="1"/>
    <col min="10497" max="10497" width="9" style="108" bestFit="1" customWidth="1"/>
    <col min="10498" max="10498" width="15.42578125" style="108" bestFit="1" customWidth="1"/>
    <col min="10499" max="10499" width="17.85546875" style="108" bestFit="1" customWidth="1"/>
    <col min="10500" max="10750" width="9.140625" style="108"/>
    <col min="10751" max="10751" width="32.42578125" style="108" bestFit="1" customWidth="1"/>
    <col min="10752" max="10752" width="16.140625" style="108" bestFit="1" customWidth="1"/>
    <col min="10753" max="10753" width="9" style="108" bestFit="1" customWidth="1"/>
    <col min="10754" max="10754" width="15.42578125" style="108" bestFit="1" customWidth="1"/>
    <col min="10755" max="10755" width="17.85546875" style="108" bestFit="1" customWidth="1"/>
    <col min="10756" max="11006" width="9.140625" style="108"/>
    <col min="11007" max="11007" width="32.42578125" style="108" bestFit="1" customWidth="1"/>
    <col min="11008" max="11008" width="16.140625" style="108" bestFit="1" customWidth="1"/>
    <col min="11009" max="11009" width="9" style="108" bestFit="1" customWidth="1"/>
    <col min="11010" max="11010" width="15.42578125" style="108" bestFit="1" customWidth="1"/>
    <col min="11011" max="11011" width="17.85546875" style="108" bestFit="1" customWidth="1"/>
    <col min="11012" max="11262" width="9.140625" style="108"/>
    <col min="11263" max="11263" width="32.42578125" style="108" bestFit="1" customWidth="1"/>
    <col min="11264" max="11264" width="16.140625" style="108" bestFit="1" customWidth="1"/>
    <col min="11265" max="11265" width="9" style="108" bestFit="1" customWidth="1"/>
    <col min="11266" max="11266" width="15.42578125" style="108" bestFit="1" customWidth="1"/>
    <col min="11267" max="11267" width="17.85546875" style="108" bestFit="1" customWidth="1"/>
    <col min="11268" max="11518" width="9.140625" style="108"/>
    <col min="11519" max="11519" width="32.42578125" style="108" bestFit="1" customWidth="1"/>
    <col min="11520" max="11520" width="16.140625" style="108" bestFit="1" customWidth="1"/>
    <col min="11521" max="11521" width="9" style="108" bestFit="1" customWidth="1"/>
    <col min="11522" max="11522" width="15.42578125" style="108" bestFit="1" customWidth="1"/>
    <col min="11523" max="11523" width="17.85546875" style="108" bestFit="1" customWidth="1"/>
    <col min="11524" max="11774" width="9.140625" style="108"/>
    <col min="11775" max="11775" width="32.42578125" style="108" bestFit="1" customWidth="1"/>
    <col min="11776" max="11776" width="16.140625" style="108" bestFit="1" customWidth="1"/>
    <col min="11777" max="11777" width="9" style="108" bestFit="1" customWidth="1"/>
    <col min="11778" max="11778" width="15.42578125" style="108" bestFit="1" customWidth="1"/>
    <col min="11779" max="11779" width="17.85546875" style="108" bestFit="1" customWidth="1"/>
    <col min="11780" max="12030" width="9.140625" style="108"/>
    <col min="12031" max="12031" width="32.42578125" style="108" bestFit="1" customWidth="1"/>
    <col min="12032" max="12032" width="16.140625" style="108" bestFit="1" customWidth="1"/>
    <col min="12033" max="12033" width="9" style="108" bestFit="1" customWidth="1"/>
    <col min="12034" max="12034" width="15.42578125" style="108" bestFit="1" customWidth="1"/>
    <col min="12035" max="12035" width="17.85546875" style="108" bestFit="1" customWidth="1"/>
    <col min="12036" max="12286" width="9.140625" style="108"/>
    <col min="12287" max="12287" width="32.42578125" style="108" bestFit="1" customWidth="1"/>
    <col min="12288" max="12288" width="16.140625" style="108" bestFit="1" customWidth="1"/>
    <col min="12289" max="12289" width="9" style="108" bestFit="1" customWidth="1"/>
    <col min="12290" max="12290" width="15.42578125" style="108" bestFit="1" customWidth="1"/>
    <col min="12291" max="12291" width="17.85546875" style="108" bestFit="1" customWidth="1"/>
    <col min="12292" max="12542" width="9.140625" style="108"/>
    <col min="12543" max="12543" width="32.42578125" style="108" bestFit="1" customWidth="1"/>
    <col min="12544" max="12544" width="16.140625" style="108" bestFit="1" customWidth="1"/>
    <col min="12545" max="12545" width="9" style="108" bestFit="1" customWidth="1"/>
    <col min="12546" max="12546" width="15.42578125" style="108" bestFit="1" customWidth="1"/>
    <col min="12547" max="12547" width="17.85546875" style="108" bestFit="1" customWidth="1"/>
    <col min="12548" max="12798" width="9.140625" style="108"/>
    <col min="12799" max="12799" width="32.42578125" style="108" bestFit="1" customWidth="1"/>
    <col min="12800" max="12800" width="16.140625" style="108" bestFit="1" customWidth="1"/>
    <col min="12801" max="12801" width="9" style="108" bestFit="1" customWidth="1"/>
    <col min="12802" max="12802" width="15.42578125" style="108" bestFit="1" customWidth="1"/>
    <col min="12803" max="12803" width="17.85546875" style="108" bestFit="1" customWidth="1"/>
    <col min="12804" max="13054" width="9.140625" style="108"/>
    <col min="13055" max="13055" width="32.42578125" style="108" bestFit="1" customWidth="1"/>
    <col min="13056" max="13056" width="16.140625" style="108" bestFit="1" customWidth="1"/>
    <col min="13057" max="13057" width="9" style="108" bestFit="1" customWidth="1"/>
    <col min="13058" max="13058" width="15.42578125" style="108" bestFit="1" customWidth="1"/>
    <col min="13059" max="13059" width="17.85546875" style="108" bestFit="1" customWidth="1"/>
    <col min="13060" max="13310" width="9.140625" style="108"/>
    <col min="13311" max="13311" width="32.42578125" style="108" bestFit="1" customWidth="1"/>
    <col min="13312" max="13312" width="16.140625" style="108" bestFit="1" customWidth="1"/>
    <col min="13313" max="13313" width="9" style="108" bestFit="1" customWidth="1"/>
    <col min="13314" max="13314" width="15.42578125" style="108" bestFit="1" customWidth="1"/>
    <col min="13315" max="13315" width="17.85546875" style="108" bestFit="1" customWidth="1"/>
    <col min="13316" max="13566" width="9.140625" style="108"/>
    <col min="13567" max="13567" width="32.42578125" style="108" bestFit="1" customWidth="1"/>
    <col min="13568" max="13568" width="16.140625" style="108" bestFit="1" customWidth="1"/>
    <col min="13569" max="13569" width="9" style="108" bestFit="1" customWidth="1"/>
    <col min="13570" max="13570" width="15.42578125" style="108" bestFit="1" customWidth="1"/>
    <col min="13571" max="13571" width="17.85546875" style="108" bestFit="1" customWidth="1"/>
    <col min="13572" max="13822" width="9.140625" style="108"/>
    <col min="13823" max="13823" width="32.42578125" style="108" bestFit="1" customWidth="1"/>
    <col min="13824" max="13824" width="16.140625" style="108" bestFit="1" customWidth="1"/>
    <col min="13825" max="13825" width="9" style="108" bestFit="1" customWidth="1"/>
    <col min="13826" max="13826" width="15.42578125" style="108" bestFit="1" customWidth="1"/>
    <col min="13827" max="13827" width="17.85546875" style="108" bestFit="1" customWidth="1"/>
    <col min="13828" max="14078" width="9.140625" style="108"/>
    <col min="14079" max="14079" width="32.42578125" style="108" bestFit="1" customWidth="1"/>
    <col min="14080" max="14080" width="16.140625" style="108" bestFit="1" customWidth="1"/>
    <col min="14081" max="14081" width="9" style="108" bestFit="1" customWidth="1"/>
    <col min="14082" max="14082" width="15.42578125" style="108" bestFit="1" customWidth="1"/>
    <col min="14083" max="14083" width="17.85546875" style="108" bestFit="1" customWidth="1"/>
    <col min="14084" max="14334" width="9.140625" style="108"/>
    <col min="14335" max="14335" width="32.42578125" style="108" bestFit="1" customWidth="1"/>
    <col min="14336" max="14336" width="16.140625" style="108" bestFit="1" customWidth="1"/>
    <col min="14337" max="14337" width="9" style="108" bestFit="1" customWidth="1"/>
    <col min="14338" max="14338" width="15.42578125" style="108" bestFit="1" customWidth="1"/>
    <col min="14339" max="14339" width="17.85546875" style="108" bestFit="1" customWidth="1"/>
    <col min="14340" max="14590" width="9.140625" style="108"/>
    <col min="14591" max="14591" width="32.42578125" style="108" bestFit="1" customWidth="1"/>
    <col min="14592" max="14592" width="16.140625" style="108" bestFit="1" customWidth="1"/>
    <col min="14593" max="14593" width="9" style="108" bestFit="1" customWidth="1"/>
    <col min="14594" max="14594" width="15.42578125" style="108" bestFit="1" customWidth="1"/>
    <col min="14595" max="14595" width="17.85546875" style="108" bestFit="1" customWidth="1"/>
    <col min="14596" max="14846" width="9.140625" style="108"/>
    <col min="14847" max="14847" width="32.42578125" style="108" bestFit="1" customWidth="1"/>
    <col min="14848" max="14848" width="16.140625" style="108" bestFit="1" customWidth="1"/>
    <col min="14849" max="14849" width="9" style="108" bestFit="1" customWidth="1"/>
    <col min="14850" max="14850" width="15.42578125" style="108" bestFit="1" customWidth="1"/>
    <col min="14851" max="14851" width="17.85546875" style="108" bestFit="1" customWidth="1"/>
    <col min="14852" max="15102" width="9.140625" style="108"/>
    <col min="15103" max="15103" width="32.42578125" style="108" bestFit="1" customWidth="1"/>
    <col min="15104" max="15104" width="16.140625" style="108" bestFit="1" customWidth="1"/>
    <col min="15105" max="15105" width="9" style="108" bestFit="1" customWidth="1"/>
    <col min="15106" max="15106" width="15.42578125" style="108" bestFit="1" customWidth="1"/>
    <col min="15107" max="15107" width="17.85546875" style="108" bestFit="1" customWidth="1"/>
    <col min="15108" max="15358" width="9.140625" style="108"/>
    <col min="15359" max="15359" width="32.42578125" style="108" bestFit="1" customWidth="1"/>
    <col min="15360" max="15360" width="16.140625" style="108" bestFit="1" customWidth="1"/>
    <col min="15361" max="15361" width="9" style="108" bestFit="1" customWidth="1"/>
    <col min="15362" max="15362" width="15.42578125" style="108" bestFit="1" customWidth="1"/>
    <col min="15363" max="15363" width="17.85546875" style="108" bestFit="1" customWidth="1"/>
    <col min="15364" max="15614" width="9.140625" style="108"/>
    <col min="15615" max="15615" width="32.42578125" style="108" bestFit="1" customWidth="1"/>
    <col min="15616" max="15616" width="16.140625" style="108" bestFit="1" customWidth="1"/>
    <col min="15617" max="15617" width="9" style="108" bestFit="1" customWidth="1"/>
    <col min="15618" max="15618" width="15.42578125" style="108" bestFit="1" customWidth="1"/>
    <col min="15619" max="15619" width="17.85546875" style="108" bestFit="1" customWidth="1"/>
    <col min="15620" max="15870" width="9.140625" style="108"/>
    <col min="15871" max="15871" width="32.42578125" style="108" bestFit="1" customWidth="1"/>
    <col min="15872" max="15872" width="16.140625" style="108" bestFit="1" customWidth="1"/>
    <col min="15873" max="15873" width="9" style="108" bestFit="1" customWidth="1"/>
    <col min="15874" max="15874" width="15.42578125" style="108" bestFit="1" customWidth="1"/>
    <col min="15875" max="15875" width="17.85546875" style="108" bestFit="1" customWidth="1"/>
    <col min="15876" max="16126" width="9.140625" style="108"/>
    <col min="16127" max="16127" width="32.42578125" style="108" bestFit="1" customWidth="1"/>
    <col min="16128" max="16128" width="16.140625" style="108" bestFit="1" customWidth="1"/>
    <col min="16129" max="16129" width="9" style="108" bestFit="1" customWidth="1"/>
    <col min="16130" max="16130" width="15.42578125" style="108" bestFit="1" customWidth="1"/>
    <col min="16131" max="16131" width="17.85546875" style="108" bestFit="1" customWidth="1"/>
    <col min="16132" max="16384" width="9.140625" style="108"/>
  </cols>
  <sheetData>
    <row r="1" spans="1:17" ht="15.75" x14ac:dyDescent="0.25">
      <c r="A1" s="110" t="s">
        <v>132</v>
      </c>
    </row>
    <row r="2" spans="1:17" ht="15.75" x14ac:dyDescent="0.25">
      <c r="A2" s="110" t="s">
        <v>131</v>
      </c>
    </row>
    <row r="3" spans="1:17" ht="15.75" x14ac:dyDescent="0.25">
      <c r="A3" s="110" t="str">
        <f ca="1">INDIRECT("SUMMARY!A3")</f>
        <v>As of November 6, 2020</v>
      </c>
    </row>
    <row r="4" spans="1:17" ht="15.75" thickBot="1" x14ac:dyDescent="0.25"/>
    <row r="5" spans="1:17" ht="16.5" thickBot="1" x14ac:dyDescent="0.3">
      <c r="A5" s="126" t="s">
        <v>130</v>
      </c>
      <c r="B5" s="219" t="s">
        <v>129</v>
      </c>
      <c r="C5" s="220"/>
      <c r="D5" s="220"/>
      <c r="E5" s="221"/>
      <c r="G5" s="219" t="s">
        <v>148</v>
      </c>
      <c r="H5" s="220"/>
      <c r="I5" s="220"/>
      <c r="J5" s="221"/>
      <c r="L5" s="207" t="s">
        <v>149</v>
      </c>
      <c r="M5" s="208"/>
      <c r="N5" s="208"/>
      <c r="O5" s="209"/>
      <c r="Q5" s="148" t="s">
        <v>128</v>
      </c>
    </row>
    <row r="6" spans="1:17" ht="15.75" x14ac:dyDescent="0.25">
      <c r="A6" s="110"/>
      <c r="B6" s="168"/>
      <c r="C6" s="168"/>
      <c r="D6" s="168"/>
      <c r="G6" s="168"/>
      <c r="H6" s="168"/>
      <c r="I6" s="168"/>
      <c r="L6" s="129"/>
      <c r="M6" s="129"/>
      <c r="N6" s="129"/>
      <c r="O6" s="142"/>
    </row>
    <row r="7" spans="1:17" ht="15.75" x14ac:dyDescent="0.25">
      <c r="A7" s="128" t="s">
        <v>127</v>
      </c>
      <c r="C7" s="169" t="s">
        <v>126</v>
      </c>
      <c r="E7" s="170" t="s">
        <v>43</v>
      </c>
      <c r="H7" s="169" t="s">
        <v>126</v>
      </c>
      <c r="J7" s="170" t="s">
        <v>43</v>
      </c>
      <c r="M7" s="149" t="s">
        <v>126</v>
      </c>
      <c r="O7" s="127" t="s">
        <v>43</v>
      </c>
    </row>
    <row r="8" spans="1:17" x14ac:dyDescent="0.2">
      <c r="A8" s="139" t="s">
        <v>147</v>
      </c>
      <c r="B8" s="135">
        <v>6165.4919999990379</v>
      </c>
      <c r="C8" s="171"/>
      <c r="D8" s="172"/>
      <c r="E8" s="137">
        <v>6165.4919999990379</v>
      </c>
      <c r="G8" s="135">
        <v>0</v>
      </c>
      <c r="H8" s="171"/>
      <c r="I8" s="172"/>
      <c r="J8" s="137">
        <v>0</v>
      </c>
      <c r="L8" s="135">
        <f ca="1">SUMMARY!C10</f>
        <v>0</v>
      </c>
      <c r="M8" s="115"/>
      <c r="N8" s="118"/>
      <c r="O8" s="137">
        <f ca="1">+L8</f>
        <v>0</v>
      </c>
      <c r="Q8" s="144">
        <f ca="1">SUMIF(A$7:P$7,"HKD",A8:P8)</f>
        <v>6165.4919999990379</v>
      </c>
    </row>
    <row r="9" spans="1:17" ht="15.75" x14ac:dyDescent="0.25">
      <c r="A9" s="113" t="s">
        <v>121</v>
      </c>
      <c r="B9" s="173"/>
      <c r="C9" s="174"/>
      <c r="D9" s="174"/>
      <c r="E9" s="136">
        <v>6165.4919999990379</v>
      </c>
      <c r="G9" s="173"/>
      <c r="H9" s="174"/>
      <c r="I9" s="174"/>
      <c r="J9" s="136">
        <v>0</v>
      </c>
      <c r="L9" s="112"/>
      <c r="M9" s="111"/>
      <c r="N9" s="111"/>
      <c r="O9" s="136">
        <f ca="1">SUM(O8:O8)</f>
        <v>0</v>
      </c>
      <c r="Q9" s="145">
        <f ca="1">SUM(Q8:Q8)</f>
        <v>6165.4919999990379</v>
      </c>
    </row>
    <row r="11" spans="1:17" x14ac:dyDescent="0.2">
      <c r="A11" s="210" t="s">
        <v>125</v>
      </c>
      <c r="B11" s="159">
        <v>202292.98166205813</v>
      </c>
      <c r="C11" s="175">
        <v>1</v>
      </c>
      <c r="D11" s="176">
        <v>202292.98166205813</v>
      </c>
      <c r="E11" s="205">
        <v>202292.98166205813</v>
      </c>
      <c r="G11" s="159">
        <v>350508.61652737338</v>
      </c>
      <c r="H11" s="175">
        <v>1</v>
      </c>
      <c r="I11" s="176">
        <v>350508.61652737338</v>
      </c>
      <c r="J11" s="205">
        <v>350508.61652737338</v>
      </c>
      <c r="L11" s="159">
        <f ca="1">SUMMARY!C14</f>
        <v>0</v>
      </c>
      <c r="M11" s="125">
        <v>1</v>
      </c>
      <c r="N11" s="116">
        <f ca="1">+L11*M11</f>
        <v>0</v>
      </c>
      <c r="O11" s="197">
        <f ca="1">SUM(N11:N14)</f>
        <v>0</v>
      </c>
      <c r="Q11" s="187">
        <f ca="1">SUMIF(A$7:P$7,"HKD",A11:P11)</f>
        <v>552801.59818943148</v>
      </c>
    </row>
    <row r="12" spans="1:17" x14ac:dyDescent="0.2">
      <c r="A12" s="211"/>
      <c r="B12" s="131">
        <v>0</v>
      </c>
      <c r="C12" s="171">
        <v>7.0000000000000007E-2</v>
      </c>
      <c r="D12" s="165">
        <v>0</v>
      </c>
      <c r="E12" s="222"/>
      <c r="G12" s="131">
        <v>0</v>
      </c>
      <c r="H12" s="171">
        <v>7.0000000000000007E-2</v>
      </c>
      <c r="I12" s="165">
        <v>0</v>
      </c>
      <c r="J12" s="222"/>
      <c r="L12" s="131">
        <f ca="1">SUMMARY!D14</f>
        <v>0</v>
      </c>
      <c r="M12" s="115">
        <v>7.0000000000000007E-2</v>
      </c>
      <c r="N12" s="124">
        <f ca="1">+L12*M12</f>
        <v>0</v>
      </c>
      <c r="O12" s="213"/>
      <c r="Q12" s="214">
        <f>SUMIF(A$7:P$7,"HKD",A12:P12)</f>
        <v>0</v>
      </c>
    </row>
    <row r="13" spans="1:17" x14ac:dyDescent="0.2">
      <c r="A13" s="211"/>
      <c r="B13" s="132">
        <v>0</v>
      </c>
      <c r="C13" s="177">
        <v>0.18</v>
      </c>
      <c r="D13" s="171">
        <v>0</v>
      </c>
      <c r="E13" s="222"/>
      <c r="G13" s="132">
        <v>0</v>
      </c>
      <c r="H13" s="177">
        <v>0.18</v>
      </c>
      <c r="I13" s="171">
        <v>0</v>
      </c>
      <c r="J13" s="222"/>
      <c r="L13" s="132">
        <f ca="1">SUMMARY!F14</f>
        <v>0</v>
      </c>
      <c r="M13" s="123">
        <v>0.18</v>
      </c>
      <c r="N13" s="115">
        <f ca="1">+L13*M13</f>
        <v>0</v>
      </c>
      <c r="O13" s="213"/>
      <c r="Q13" s="214">
        <f>SUMIF(A$7:P$7,"HKD",A13:P13)</f>
        <v>0</v>
      </c>
    </row>
    <row r="14" spans="1:17" x14ac:dyDescent="0.2">
      <c r="A14" s="212"/>
      <c r="B14" s="130"/>
      <c r="C14" s="177">
        <v>7.85</v>
      </c>
      <c r="D14" s="178">
        <v>0</v>
      </c>
      <c r="E14" s="206"/>
      <c r="G14" s="130"/>
      <c r="H14" s="177">
        <v>7.85</v>
      </c>
      <c r="I14" s="178">
        <v>0</v>
      </c>
      <c r="J14" s="206"/>
      <c r="L14" s="130"/>
      <c r="M14" s="123">
        <v>7.85</v>
      </c>
      <c r="N14" s="114">
        <f>+L14*M14</f>
        <v>0</v>
      </c>
      <c r="O14" s="198"/>
      <c r="Q14" s="188">
        <f>SUMIF(A$7:P$7,"HKD",A14:P14)</f>
        <v>0</v>
      </c>
    </row>
    <row r="15" spans="1:17" s="110" customFormat="1" ht="15.75" x14ac:dyDescent="0.25">
      <c r="A15" s="121" t="s">
        <v>121</v>
      </c>
      <c r="B15" s="179"/>
      <c r="C15" s="180"/>
      <c r="D15" s="180"/>
      <c r="E15" s="138">
        <v>202292.98166205813</v>
      </c>
      <c r="F15" s="181"/>
      <c r="G15" s="179"/>
      <c r="H15" s="180"/>
      <c r="I15" s="180"/>
      <c r="J15" s="138">
        <v>350508.61652737338</v>
      </c>
      <c r="K15" s="181"/>
      <c r="L15" s="120"/>
      <c r="M15" s="119"/>
      <c r="N15" s="119"/>
      <c r="O15" s="138">
        <f ca="1">SUM(O11)</f>
        <v>0</v>
      </c>
      <c r="Q15" s="146">
        <f ca="1">SUM(Q11)</f>
        <v>552801.59818943148</v>
      </c>
    </row>
    <row r="16" spans="1:17" ht="15.75" x14ac:dyDescent="0.25">
      <c r="A16" s="110"/>
    </row>
    <row r="17" spans="1:17" ht="15.75" x14ac:dyDescent="0.25">
      <c r="A17" s="128" t="s">
        <v>124</v>
      </c>
    </row>
    <row r="18" spans="1:17" x14ac:dyDescent="0.2">
      <c r="A18" s="215" t="s">
        <v>133</v>
      </c>
      <c r="B18" s="134">
        <v>194600.53359363481</v>
      </c>
      <c r="C18" s="171">
        <v>1</v>
      </c>
      <c r="D18" s="171">
        <v>194600.53359363481</v>
      </c>
      <c r="E18" s="201">
        <v>194600.53359363481</v>
      </c>
      <c r="G18" s="134">
        <v>469547.7973661166</v>
      </c>
      <c r="H18" s="171">
        <v>1</v>
      </c>
      <c r="I18" s="171">
        <v>469547.7973661166</v>
      </c>
      <c r="J18" s="201">
        <v>469547.7973661166</v>
      </c>
      <c r="L18" s="134">
        <f ca="1">SUMMARY!C18</f>
        <v>0</v>
      </c>
      <c r="M18" s="115">
        <v>1</v>
      </c>
      <c r="N18" s="115">
        <f ca="1">+L18*M18</f>
        <v>0</v>
      </c>
      <c r="O18" s="193">
        <f ca="1">SUM(N18:N20)</f>
        <v>0</v>
      </c>
      <c r="Q18" s="187">
        <f ca="1">SUMIF(A$7:P$7,"HKD",A18:P18)</f>
        <v>664148.33095975139</v>
      </c>
    </row>
    <row r="19" spans="1:17" x14ac:dyDescent="0.2">
      <c r="A19" s="216"/>
      <c r="B19" s="130">
        <v>0</v>
      </c>
      <c r="C19" s="171">
        <v>7.85</v>
      </c>
      <c r="D19" s="171">
        <v>0</v>
      </c>
      <c r="E19" s="223"/>
      <c r="G19" s="130">
        <v>0</v>
      </c>
      <c r="H19" s="171">
        <v>7.85</v>
      </c>
      <c r="I19" s="171">
        <v>0</v>
      </c>
      <c r="J19" s="223"/>
      <c r="L19" s="130">
        <f ca="1">SUMMARY!E18</f>
        <v>0</v>
      </c>
      <c r="M19" s="115">
        <v>7.85</v>
      </c>
      <c r="N19" s="115">
        <f ca="1">+L19*M19</f>
        <v>0</v>
      </c>
      <c r="O19" s="218"/>
      <c r="Q19" s="214">
        <f>SUMIF(A$7:P$7,"HKD",A19:P19)</f>
        <v>0</v>
      </c>
    </row>
    <row r="20" spans="1:17" x14ac:dyDescent="0.2">
      <c r="A20" s="217"/>
      <c r="B20" s="133">
        <v>0</v>
      </c>
      <c r="C20" s="171">
        <v>0.18</v>
      </c>
      <c r="D20" s="171">
        <v>0</v>
      </c>
      <c r="E20" s="202"/>
      <c r="G20" s="133">
        <v>0</v>
      </c>
      <c r="H20" s="171">
        <v>0.18</v>
      </c>
      <c r="I20" s="171">
        <v>0</v>
      </c>
      <c r="J20" s="202"/>
      <c r="L20" s="133">
        <f ca="1">SUMMARY!F18</f>
        <v>0</v>
      </c>
      <c r="M20" s="115">
        <v>0.18</v>
      </c>
      <c r="N20" s="115">
        <f ca="1">+L20*M20</f>
        <v>0</v>
      </c>
      <c r="O20" s="194"/>
      <c r="Q20" s="188">
        <f>SUMIF(A$7:P$7,"HKD",A20:P20)</f>
        <v>0</v>
      </c>
    </row>
    <row r="21" spans="1:17" x14ac:dyDescent="0.2">
      <c r="A21" s="191" t="s">
        <v>134</v>
      </c>
      <c r="B21" s="134">
        <v>23442.250546125906</v>
      </c>
      <c r="C21" s="171">
        <v>1</v>
      </c>
      <c r="D21" s="171">
        <v>23442.250546125906</v>
      </c>
      <c r="E21" s="201">
        <v>23442.250546125906</v>
      </c>
      <c r="G21" s="134">
        <v>25402.929522471262</v>
      </c>
      <c r="H21" s="171">
        <v>1</v>
      </c>
      <c r="I21" s="171">
        <v>25402.929522471262</v>
      </c>
      <c r="J21" s="201">
        <v>25402.929522471262</v>
      </c>
      <c r="L21" s="134">
        <f ca="1">SUMMARY!C19</f>
        <v>0</v>
      </c>
      <c r="M21" s="115">
        <v>1</v>
      </c>
      <c r="N21" s="115">
        <f ca="1">+L21*M21</f>
        <v>0</v>
      </c>
      <c r="O21" s="193">
        <f ca="1">SUM(N21:N22)</f>
        <v>0</v>
      </c>
      <c r="Q21" s="187">
        <f ca="1">SUMIF(A$7:P$7,"HKD",A21:P21)</f>
        <v>48845.180068597168</v>
      </c>
    </row>
    <row r="22" spans="1:17" x14ac:dyDescent="0.2">
      <c r="A22" s="192"/>
      <c r="B22" s="117"/>
      <c r="C22" s="171">
        <v>7.85</v>
      </c>
      <c r="D22" s="171">
        <v>0</v>
      </c>
      <c r="E22" s="202"/>
      <c r="G22" s="117"/>
      <c r="H22" s="171">
        <v>7.85</v>
      </c>
      <c r="I22" s="171">
        <v>0</v>
      </c>
      <c r="J22" s="202"/>
      <c r="L22" s="117"/>
      <c r="M22" s="115">
        <v>7.85</v>
      </c>
      <c r="N22" s="115">
        <f>+L22*M22</f>
        <v>0</v>
      </c>
      <c r="O22" s="194"/>
      <c r="Q22" s="188">
        <f>SUMIF(A$7:P$7,"HKD",A22:P22)</f>
        <v>0</v>
      </c>
    </row>
    <row r="23" spans="1:17" ht="15.75" x14ac:dyDescent="0.25">
      <c r="A23" s="113" t="s">
        <v>121</v>
      </c>
      <c r="B23" s="182"/>
      <c r="C23" s="172"/>
      <c r="D23" s="172"/>
      <c r="E23" s="136">
        <v>218042.78413976071</v>
      </c>
      <c r="G23" s="182"/>
      <c r="H23" s="172"/>
      <c r="I23" s="172"/>
      <c r="J23" s="136">
        <v>494950.72688858787</v>
      </c>
      <c r="L23" s="122"/>
      <c r="M23" s="118"/>
      <c r="N23" s="118"/>
      <c r="O23" s="136">
        <f ca="1">SUM(O18:O22)</f>
        <v>0</v>
      </c>
      <c r="Q23" s="146">
        <f ca="1">SUM(Q18:Q22)</f>
        <v>712993.51102834858</v>
      </c>
    </row>
    <row r="25" spans="1:17" ht="15.75" hidden="1" x14ac:dyDescent="0.25">
      <c r="A25" s="128" t="s">
        <v>123</v>
      </c>
    </row>
    <row r="26" spans="1:17" ht="15.75" hidden="1" x14ac:dyDescent="0.25">
      <c r="A26" s="140" t="s">
        <v>135</v>
      </c>
      <c r="B26" s="117"/>
      <c r="C26" s="171"/>
      <c r="D26" s="172"/>
      <c r="E26" s="150">
        <v>0</v>
      </c>
      <c r="G26" s="117"/>
      <c r="H26" s="171"/>
      <c r="I26" s="172"/>
      <c r="J26" s="150">
        <v>0</v>
      </c>
      <c r="L26" s="117"/>
      <c r="M26" s="115"/>
      <c r="N26" s="118"/>
      <c r="O26" s="150">
        <f>+L26</f>
        <v>0</v>
      </c>
      <c r="Q26" s="144">
        <f>SUMIF(A$7:P$7,"HKD",A26:P26)</f>
        <v>0</v>
      </c>
    </row>
    <row r="27" spans="1:17" s="110" customFormat="1" ht="15.75" hidden="1" x14ac:dyDescent="0.25">
      <c r="A27" s="121" t="s">
        <v>121</v>
      </c>
      <c r="B27" s="179"/>
      <c r="C27" s="180"/>
      <c r="D27" s="180"/>
      <c r="E27" s="138">
        <v>0</v>
      </c>
      <c r="F27" s="181"/>
      <c r="G27" s="179"/>
      <c r="H27" s="180"/>
      <c r="I27" s="180"/>
      <c r="J27" s="138">
        <v>0</v>
      </c>
      <c r="K27" s="181"/>
      <c r="L27" s="120"/>
      <c r="M27" s="119"/>
      <c r="N27" s="119"/>
      <c r="O27" s="138">
        <f>SUM(O26)</f>
        <v>0</v>
      </c>
      <c r="Q27" s="147">
        <f>SUM(Q26)</f>
        <v>0</v>
      </c>
    </row>
    <row r="28" spans="1:17" hidden="1" x14ac:dyDescent="0.2"/>
    <row r="29" spans="1:17" ht="15.75" x14ac:dyDescent="0.25">
      <c r="A29" s="128" t="s">
        <v>139</v>
      </c>
    </row>
    <row r="30" spans="1:17" x14ac:dyDescent="0.2">
      <c r="A30" s="140" t="s">
        <v>33</v>
      </c>
      <c r="B30" s="135">
        <v>-1663537.3383319762</v>
      </c>
      <c r="C30" s="171"/>
      <c r="D30" s="172"/>
      <c r="E30" s="137">
        <v>-1663537.3383319762</v>
      </c>
      <c r="G30" s="135">
        <v>1225125.7062901962</v>
      </c>
      <c r="H30" s="171"/>
      <c r="I30" s="172"/>
      <c r="J30" s="137">
        <v>1225125.7062901962</v>
      </c>
      <c r="L30" s="135">
        <f ca="1">SUMMARY!C27</f>
        <v>0</v>
      </c>
      <c r="M30" s="115"/>
      <c r="N30" s="118"/>
      <c r="O30" s="137">
        <f ca="1">+L30</f>
        <v>0</v>
      </c>
      <c r="Q30" s="144">
        <f ca="1">SUMIF(A$7:P$7,"HKD",A30:P30)</f>
        <v>-438411.63204178005</v>
      </c>
    </row>
    <row r="31" spans="1:17" s="110" customFormat="1" ht="15.75" x14ac:dyDescent="0.25">
      <c r="A31" s="113" t="s">
        <v>121</v>
      </c>
      <c r="B31" s="173"/>
      <c r="C31" s="174"/>
      <c r="D31" s="174"/>
      <c r="E31" s="136">
        <v>-1663537.3383319762</v>
      </c>
      <c r="F31" s="181"/>
      <c r="G31" s="173"/>
      <c r="H31" s="174"/>
      <c r="I31" s="174"/>
      <c r="J31" s="136">
        <v>1225125.7062901962</v>
      </c>
      <c r="K31" s="181"/>
      <c r="L31" s="112"/>
      <c r="M31" s="111"/>
      <c r="N31" s="111"/>
      <c r="O31" s="136">
        <f ca="1">SUM(O30)</f>
        <v>0</v>
      </c>
      <c r="Q31" s="147">
        <f ca="1">SUM(Q30)</f>
        <v>-438411.63204178005</v>
      </c>
    </row>
    <row r="33" spans="1:17" ht="15.75" x14ac:dyDescent="0.25">
      <c r="A33" s="128" t="s">
        <v>122</v>
      </c>
    </row>
    <row r="34" spans="1:17" x14ac:dyDescent="0.2">
      <c r="A34" s="140" t="s">
        <v>136</v>
      </c>
      <c r="B34" s="135">
        <v>105942.32537708519</v>
      </c>
      <c r="C34" s="171"/>
      <c r="D34" s="172"/>
      <c r="E34" s="137">
        <v>105942.32537708519</v>
      </c>
      <c r="G34" s="135">
        <v>9673.5411141533987</v>
      </c>
      <c r="H34" s="171"/>
      <c r="I34" s="172"/>
      <c r="J34" s="137">
        <v>9673.5411141533987</v>
      </c>
      <c r="L34" s="135">
        <f ca="1">SUMMARY!C31</f>
        <v>0</v>
      </c>
      <c r="M34" s="115"/>
      <c r="N34" s="118"/>
      <c r="O34" s="137">
        <f ca="1">+L34</f>
        <v>0</v>
      </c>
      <c r="Q34" s="144">
        <f ca="1">SUMIF(A$7:P$7,"HKD",A34:P34)</f>
        <v>115615.86649123859</v>
      </c>
    </row>
    <row r="35" spans="1:17" x14ac:dyDescent="0.2">
      <c r="A35" s="140" t="s">
        <v>137</v>
      </c>
      <c r="B35" s="135">
        <v>149254.87041776458</v>
      </c>
      <c r="C35" s="171"/>
      <c r="D35" s="172"/>
      <c r="E35" s="137">
        <v>149254.87041776458</v>
      </c>
      <c r="G35" s="135">
        <v>190708.32416551572</v>
      </c>
      <c r="H35" s="171"/>
      <c r="I35" s="172"/>
      <c r="J35" s="137">
        <v>190708.32416551572</v>
      </c>
      <c r="L35" s="135">
        <f ca="1">SUMMARY!C32</f>
        <v>0</v>
      </c>
      <c r="M35" s="115"/>
      <c r="N35" s="118"/>
      <c r="O35" s="137">
        <f ca="1">+L35</f>
        <v>0</v>
      </c>
      <c r="Q35" s="144">
        <f ca="1">SUMIF(A$7:P$7,"HKD",A35:P35)</f>
        <v>339963.1945832803</v>
      </c>
    </row>
    <row r="36" spans="1:17" x14ac:dyDescent="0.2">
      <c r="A36" s="189" t="s">
        <v>134</v>
      </c>
      <c r="B36" s="203">
        <v>54095.645852561516</v>
      </c>
      <c r="C36" s="204">
        <v>1</v>
      </c>
      <c r="D36" s="176">
        <v>54095.645852561516</v>
      </c>
      <c r="E36" s="205">
        <v>54095.645852561516</v>
      </c>
      <c r="G36" s="203">
        <v>180763.65717835934</v>
      </c>
      <c r="H36" s="204">
        <v>1</v>
      </c>
      <c r="I36" s="176">
        <v>180763.65717835934</v>
      </c>
      <c r="J36" s="205">
        <v>180763.65717835934</v>
      </c>
      <c r="L36" s="199">
        <f ca="1">SUMMARY!C33</f>
        <v>0</v>
      </c>
      <c r="M36" s="195">
        <v>1</v>
      </c>
      <c r="N36" s="116">
        <f ca="1">+L36*M36</f>
        <v>0</v>
      </c>
      <c r="O36" s="197">
        <f ca="1">SUM(N36:N37)</f>
        <v>0</v>
      </c>
      <c r="Q36" s="187">
        <f ca="1">SUMIF(A$7:P$7,"HKD",A36:P36)</f>
        <v>234859.30303092086</v>
      </c>
    </row>
    <row r="37" spans="1:17" x14ac:dyDescent="0.2">
      <c r="A37" s="190"/>
      <c r="B37" s="202"/>
      <c r="C37" s="202"/>
      <c r="D37" s="178">
        <v>0</v>
      </c>
      <c r="E37" s="206"/>
      <c r="G37" s="202"/>
      <c r="H37" s="202"/>
      <c r="I37" s="178">
        <v>0</v>
      </c>
      <c r="J37" s="206"/>
      <c r="L37" s="200"/>
      <c r="M37" s="196"/>
      <c r="N37" s="114">
        <f>+L37*M37</f>
        <v>0</v>
      </c>
      <c r="O37" s="198"/>
      <c r="Q37" s="188">
        <f>SUMIF(A$7:P$7,"HKD",A37:P37)</f>
        <v>0</v>
      </c>
    </row>
    <row r="38" spans="1:17" s="110" customFormat="1" ht="15.75" x14ac:dyDescent="0.25">
      <c r="A38" s="113" t="s">
        <v>121</v>
      </c>
      <c r="B38" s="173"/>
      <c r="C38" s="174"/>
      <c r="D38" s="174"/>
      <c r="E38" s="136">
        <v>309292.84164741129</v>
      </c>
      <c r="F38" s="181"/>
      <c r="G38" s="173"/>
      <c r="H38" s="174"/>
      <c r="I38" s="174"/>
      <c r="J38" s="136">
        <v>381145.52245802846</v>
      </c>
      <c r="K38" s="181"/>
      <c r="L38" s="112"/>
      <c r="M38" s="111"/>
      <c r="N38" s="111"/>
      <c r="O38" s="136">
        <f ca="1">SUM(O34:O36)</f>
        <v>0</v>
      </c>
      <c r="Q38" s="144">
        <f ca="1">SUM(Q34:Q37)</f>
        <v>690438.36410543974</v>
      </c>
    </row>
    <row r="40" spans="1:17" s="110" customFormat="1" ht="15.75" x14ac:dyDescent="0.25">
      <c r="A40" s="113" t="s">
        <v>120</v>
      </c>
      <c r="B40" s="173"/>
      <c r="C40" s="174"/>
      <c r="D40" s="174"/>
      <c r="E40" s="136">
        <v>-927743.23888274701</v>
      </c>
      <c r="F40" s="181"/>
      <c r="G40" s="173"/>
      <c r="H40" s="174"/>
      <c r="I40" s="174"/>
      <c r="J40" s="136">
        <v>2451730.5721641858</v>
      </c>
      <c r="K40" s="181"/>
      <c r="L40" s="112"/>
      <c r="M40" s="111"/>
      <c r="N40" s="111"/>
      <c r="O40" s="136">
        <f ca="1">+O9+O15+O23+O27+O31+O38</f>
        <v>0</v>
      </c>
      <c r="Q40" s="146">
        <f ca="1">+Q9+Q15+Q23+Q27+Q31+Q38</f>
        <v>1523987.3332814388</v>
      </c>
    </row>
  </sheetData>
  <mergeCells count="29">
    <mergeCell ref="L5:O5"/>
    <mergeCell ref="A11:A14"/>
    <mergeCell ref="O11:O14"/>
    <mergeCell ref="Q11:Q14"/>
    <mergeCell ref="A18:A20"/>
    <mergeCell ref="O18:O20"/>
    <mergeCell ref="Q18:Q20"/>
    <mergeCell ref="B5:E5"/>
    <mergeCell ref="E11:E14"/>
    <mergeCell ref="E18:E20"/>
    <mergeCell ref="G5:J5"/>
    <mergeCell ref="J11:J14"/>
    <mergeCell ref="J18:J20"/>
    <mergeCell ref="Q21:Q22"/>
    <mergeCell ref="A36:A37"/>
    <mergeCell ref="A21:A22"/>
    <mergeCell ref="O21:O22"/>
    <mergeCell ref="M36:M37"/>
    <mergeCell ref="O36:O37"/>
    <mergeCell ref="Q36:Q37"/>
    <mergeCell ref="L36:L37"/>
    <mergeCell ref="E21:E22"/>
    <mergeCell ref="B36:B37"/>
    <mergeCell ref="C36:C37"/>
    <mergeCell ref="E36:E37"/>
    <mergeCell ref="J21:J22"/>
    <mergeCell ref="G36:G37"/>
    <mergeCell ref="H36:H37"/>
    <mergeCell ref="J36:J37"/>
  </mergeCells>
  <printOptions verticalCentered="1"/>
  <pageMargins left="0" right="0" top="0" bottom="0" header="0" footer="0"/>
  <pageSetup paperSize="10001" scale="91" fitToWidth="1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1"/>
  <sheetViews>
    <sheetView showOutlineSymbols="0" showWhiteSpace="0" view="pageBreakPreview" zoomScaleNormal="100" zoomScaleSheetLayoutView="100" workbookViewId="0">
      <selection activeCell="A11" sqref="A11"/>
    </sheetView>
  </sheetViews>
  <sheetFormatPr defaultRowHeight="14.25" x14ac:dyDescent="0.2"/>
  <cols>
    <col min="1" max="1" width="27.42578125" style="4" bestFit="1" customWidth="1"/>
    <col min="2" max="6" width="33.42578125" style="4" customWidth="1"/>
    <col min="7" max="7" width="9.140625" style="4" customWidth="1"/>
    <col min="8" max="8" width="10.140625" style="4" customWidth="1"/>
    <col min="9" max="9" width="14.28515625" style="4" customWidth="1"/>
    <col min="10" max="10" width="13.5703125" style="4" customWidth="1"/>
    <col min="11" max="11" width="5.5703125" style="4" customWidth="1"/>
    <col min="12" max="12" width="14.42578125" style="4" bestFit="1" customWidth="1"/>
    <col min="13" max="13" width="14.28515625" style="4" customWidth="1"/>
    <col min="14" max="15" width="9.140625" style="4" customWidth="1"/>
    <col min="16" max="16" width="13.42578125" style="21" bestFit="1" customWidth="1"/>
    <col min="17" max="17" width="24.5703125" style="21" bestFit="1" customWidth="1"/>
    <col min="18" max="18" width="9.140625" style="4" customWidth="1"/>
    <col min="19" max="16384" width="9.140625" style="4"/>
  </cols>
  <sheetData>
    <row r="1" spans="1:17" ht="15" customHeight="1" x14ac:dyDescent="0.25">
      <c r="A1" s="10" t="s">
        <v>64</v>
      </c>
    </row>
    <row r="2" spans="1:17" ht="15" customHeight="1" x14ac:dyDescent="0.25">
      <c r="A2" s="10" t="s">
        <v>65</v>
      </c>
    </row>
    <row r="3" spans="1:17" ht="15" customHeight="1" x14ac:dyDescent="0.25">
      <c r="A3" s="3" t="s">
        <v>84</v>
      </c>
    </row>
    <row r="6" spans="1:17" ht="15" customHeight="1" x14ac:dyDescent="0.25">
      <c r="A6" s="224" t="s">
        <v>66</v>
      </c>
      <c r="B6" s="225" t="s">
        <v>85</v>
      </c>
      <c r="C6" s="225"/>
      <c r="D6" s="225"/>
      <c r="E6" s="225"/>
      <c r="F6" s="225"/>
      <c r="H6" s="4" t="s">
        <v>43</v>
      </c>
      <c r="I6" s="4" t="s">
        <v>43</v>
      </c>
      <c r="J6" s="4" t="s">
        <v>43</v>
      </c>
      <c r="K6" s="4" t="s">
        <v>43</v>
      </c>
      <c r="L6" s="4" t="s">
        <v>43</v>
      </c>
    </row>
    <row r="7" spans="1:17" ht="15" customHeight="1" x14ac:dyDescent="0.25">
      <c r="A7" s="223"/>
      <c r="B7" s="36" t="s">
        <v>86</v>
      </c>
      <c r="C7" s="36" t="s">
        <v>1</v>
      </c>
      <c r="D7" s="36" t="s">
        <v>87</v>
      </c>
      <c r="E7" s="36" t="s">
        <v>88</v>
      </c>
      <c r="F7" s="84" t="s">
        <v>106</v>
      </c>
      <c r="H7" s="4">
        <f>D40</f>
        <v>5.5</v>
      </c>
      <c r="I7" s="4">
        <v>1</v>
      </c>
      <c r="J7" s="4">
        <f>D39</f>
        <v>7.0000000000000007E-2</v>
      </c>
      <c r="K7" s="4">
        <f>D41</f>
        <v>7.85</v>
      </c>
      <c r="L7" s="86">
        <f>D42</f>
        <v>0.18</v>
      </c>
    </row>
    <row r="8" spans="1:17" ht="15" customHeight="1" x14ac:dyDescent="0.25">
      <c r="A8" s="202"/>
      <c r="B8" s="104" t="s">
        <v>111</v>
      </c>
      <c r="C8" s="104" t="s">
        <v>111</v>
      </c>
      <c r="D8" s="104" t="s">
        <v>111</v>
      </c>
      <c r="E8" s="104" t="s">
        <v>111</v>
      </c>
      <c r="F8" s="104" t="s">
        <v>111</v>
      </c>
      <c r="H8" s="4" t="s">
        <v>89</v>
      </c>
      <c r="I8" s="4" t="s">
        <v>43</v>
      </c>
      <c r="J8" s="4" t="s">
        <v>90</v>
      </c>
      <c r="K8" s="4" t="s">
        <v>91</v>
      </c>
      <c r="L8" s="4" t="s">
        <v>107</v>
      </c>
      <c r="M8" s="4" t="s">
        <v>92</v>
      </c>
    </row>
    <row r="9" spans="1:17" ht="15" customHeight="1" x14ac:dyDescent="0.25">
      <c r="A9" s="18" t="s">
        <v>13</v>
      </c>
    </row>
    <row r="10" spans="1:17" x14ac:dyDescent="0.2">
      <c r="A10" s="19" t="s">
        <v>143</v>
      </c>
      <c r="B10" s="63">
        <f ca="1">IFERROR(SUMIF(INDIRECT("'"&amp;$N10&amp;"-"&amp;B$46&amp;"'!L:L"),"TOTAL",INDIRECT("'"&amp;$N10&amp;"-"&amp;B$46&amp;"'!K:K")),0)</f>
        <v>0</v>
      </c>
      <c r="C10" s="63">
        <f ca="1">IFERROR(SUMIF(INDIRECT("'"&amp;$N10&amp;"-"&amp;C$46&amp;"'!L:L"),"TOTAL",INDIRECT("'"&amp;$N10&amp;"-"&amp;C$46&amp;"'!K:K")),0)</f>
        <v>0</v>
      </c>
      <c r="D10" s="63">
        <f ca="1">IFERROR(SUMIF(INDIRECT("'"&amp;$N10&amp;"-"&amp;D$46&amp;"'!L:L"),"TOTAL",INDIRECT("'"&amp;$N10&amp;"-"&amp;D$46&amp;"'!K:K")),0)</f>
        <v>0</v>
      </c>
      <c r="E10" s="63">
        <f ca="1">IFERROR(SUMIF(INDIRECT("'"&amp;$N10&amp;"-"&amp;E$46&amp;"'!L:L"),"TOTAL",INDIRECT("'"&amp;$N10&amp;"-"&amp;E$46&amp;"'!K:K")),0)</f>
        <v>0</v>
      </c>
      <c r="F10" s="63">
        <f ca="1">IFERROR(SUMIF(INDIRECT("'"&amp;$N10&amp;"-"&amp;F$46&amp;"'!L:L"),"TOTAL",INDIRECT("'"&amp;$N10&amp;"-"&amp;F$46&amp;"'!K:K")),0)</f>
        <v>0</v>
      </c>
      <c r="H10" s="4">
        <f t="shared" ref="H10:L10" ca="1" si="0">B10*H$7</f>
        <v>0</v>
      </c>
      <c r="I10" s="4">
        <f t="shared" ca="1" si="0"/>
        <v>0</v>
      </c>
      <c r="J10" s="4">
        <f t="shared" ca="1" si="0"/>
        <v>0</v>
      </c>
      <c r="K10" s="4">
        <f t="shared" ca="1" si="0"/>
        <v>0</v>
      </c>
      <c r="L10" s="4">
        <f t="shared" ca="1" si="0"/>
        <v>0</v>
      </c>
      <c r="M10" s="4">
        <f t="shared" ref="M10" ca="1" si="1">SUM(H10:L10)</f>
        <v>0</v>
      </c>
      <c r="N10" s="4" t="s">
        <v>144</v>
      </c>
      <c r="Q10" s="21">
        <f t="shared" ref="Q10" ca="1" si="2">C10-P10</f>
        <v>0</v>
      </c>
    </row>
    <row r="11" spans="1:17" ht="15" customHeight="1" x14ac:dyDescent="0.25">
      <c r="A11" s="17" t="s">
        <v>20</v>
      </c>
      <c r="B11" s="64">
        <f ca="1">SUM(B10:B10)</f>
        <v>0</v>
      </c>
      <c r="C11" s="64">
        <f ca="1">SUM(C10:C10)</f>
        <v>0</v>
      </c>
      <c r="D11" s="64">
        <f ca="1">SUM(D10:D10)</f>
        <v>0</v>
      </c>
      <c r="E11" s="64">
        <f ca="1">SUM(E10:E10)</f>
        <v>0</v>
      </c>
      <c r="F11" s="64">
        <f ca="1">SUM(F10:F10)</f>
        <v>0</v>
      </c>
    </row>
    <row r="13" spans="1:17" ht="15" customHeight="1" x14ac:dyDescent="0.25">
      <c r="A13" s="18" t="s">
        <v>21</v>
      </c>
    </row>
    <row r="14" spans="1:17" x14ac:dyDescent="0.2">
      <c r="A14" s="19" t="s">
        <v>22</v>
      </c>
      <c r="B14" s="63">
        <f ca="1">IFERROR(SUMIF(INDIRECT("'"&amp;$N14&amp;"-"&amp;B$46&amp;"'!L:L"),"TOTAL",INDIRECT("'"&amp;$N14&amp;"-"&amp;B$46&amp;"'!K:K")),0)</f>
        <v>0</v>
      </c>
      <c r="C14" s="63">
        <f t="shared" ref="C14:F14" ca="1" si="3">IFERROR(SUMIF(INDIRECT("'"&amp;$N14&amp;"-"&amp;C$46&amp;"'!L:L"),"TOTAL",INDIRECT("'"&amp;$N14&amp;"-"&amp;C$46&amp;"'!K:K")),0)</f>
        <v>0</v>
      </c>
      <c r="D14" s="63">
        <f t="shared" ca="1" si="3"/>
        <v>0</v>
      </c>
      <c r="E14" s="63">
        <f t="shared" ca="1" si="3"/>
        <v>0</v>
      </c>
      <c r="F14" s="63">
        <f t="shared" ca="1" si="3"/>
        <v>0</v>
      </c>
      <c r="H14" s="4">
        <f ca="1">B14*H$7</f>
        <v>0</v>
      </c>
      <c r="I14" s="4">
        <f ca="1">C14*I$7</f>
        <v>0</v>
      </c>
      <c r="J14" s="4">
        <f ca="1">D14*J$7</f>
        <v>0</v>
      </c>
      <c r="K14" s="4">
        <f ca="1">E14*K$7</f>
        <v>0</v>
      </c>
      <c r="L14" s="4">
        <f ca="1">F14*L$7</f>
        <v>0</v>
      </c>
      <c r="M14" s="4">
        <f ca="1">SUM(H14:L14)</f>
        <v>0</v>
      </c>
      <c r="N14" s="4" t="s">
        <v>22</v>
      </c>
      <c r="Q14" s="21">
        <f ca="1">C14-P14</f>
        <v>0</v>
      </c>
    </row>
    <row r="15" spans="1:17" ht="15" customHeight="1" x14ac:dyDescent="0.25">
      <c r="A15" s="17" t="s">
        <v>20</v>
      </c>
      <c r="B15" s="64">
        <f ca="1">SUM(B14:B14)</f>
        <v>0</v>
      </c>
      <c r="C15" s="64">
        <f ca="1">SUM(C14:C14)</f>
        <v>0</v>
      </c>
      <c r="D15" s="64">
        <f ca="1">SUM(D14:D14)</f>
        <v>0</v>
      </c>
      <c r="E15" s="64">
        <f ca="1">SUM(E14:E14)</f>
        <v>0</v>
      </c>
      <c r="F15" s="64">
        <f ca="1">SUM(F14:F14)</f>
        <v>0</v>
      </c>
    </row>
    <row r="17" spans="1:17" ht="15" customHeight="1" x14ac:dyDescent="0.25">
      <c r="A17" s="18" t="s">
        <v>24</v>
      </c>
    </row>
    <row r="18" spans="1:17" x14ac:dyDescent="0.2">
      <c r="A18" s="19" t="s">
        <v>25</v>
      </c>
      <c r="B18" s="63">
        <f t="shared" ref="B18:F19" ca="1" si="4">IFERROR(SUMIF(INDIRECT("'"&amp;$N18&amp;"-"&amp;B$46&amp;"'!L:L"),"TOTAL",INDIRECT("'"&amp;$N18&amp;"-"&amp;B$46&amp;"'!K:K")),0)</f>
        <v>0</v>
      </c>
      <c r="C18" s="63">
        <f t="shared" ca="1" si="4"/>
        <v>0</v>
      </c>
      <c r="D18" s="63">
        <f t="shared" ca="1" si="4"/>
        <v>0</v>
      </c>
      <c r="E18" s="63">
        <f t="shared" ca="1" si="4"/>
        <v>0</v>
      </c>
      <c r="F18" s="63">
        <f t="shared" ca="1" si="4"/>
        <v>0</v>
      </c>
      <c r="H18" s="4">
        <f t="shared" ref="H18:L19" ca="1" si="5">B18*H$7</f>
        <v>0</v>
      </c>
      <c r="I18" s="4">
        <f t="shared" ca="1" si="5"/>
        <v>0</v>
      </c>
      <c r="J18" s="4">
        <f t="shared" ca="1" si="5"/>
        <v>0</v>
      </c>
      <c r="K18" s="4">
        <f t="shared" ca="1" si="5"/>
        <v>0</v>
      </c>
      <c r="L18" s="4">
        <f t="shared" ca="1" si="5"/>
        <v>0</v>
      </c>
      <c r="M18" s="4">
        <f t="shared" ref="M18:M19" ca="1" si="6">SUM(H18:L18)</f>
        <v>0</v>
      </c>
      <c r="N18" s="4" t="s">
        <v>77</v>
      </c>
      <c r="Q18" s="21">
        <f ca="1">C18-P18</f>
        <v>0</v>
      </c>
    </row>
    <row r="19" spans="1:17" x14ac:dyDescent="0.2">
      <c r="A19" s="19" t="s">
        <v>27</v>
      </c>
      <c r="B19" s="63">
        <f t="shared" ca="1" si="4"/>
        <v>0</v>
      </c>
      <c r="C19" s="63">
        <f t="shared" ca="1" si="4"/>
        <v>0</v>
      </c>
      <c r="D19" s="63">
        <f t="shared" ca="1" si="4"/>
        <v>0</v>
      </c>
      <c r="E19" s="63">
        <f t="shared" ca="1" si="4"/>
        <v>0</v>
      </c>
      <c r="F19" s="63">
        <f t="shared" ca="1" si="4"/>
        <v>0</v>
      </c>
      <c r="H19" s="4">
        <f t="shared" ca="1" si="5"/>
        <v>0</v>
      </c>
      <c r="I19" s="4">
        <f t="shared" ca="1" si="5"/>
        <v>0</v>
      </c>
      <c r="J19" s="4">
        <f t="shared" ca="1" si="5"/>
        <v>0</v>
      </c>
      <c r="K19" s="4">
        <f t="shared" ca="1" si="5"/>
        <v>0</v>
      </c>
      <c r="L19" s="4">
        <f t="shared" ca="1" si="5"/>
        <v>0</v>
      </c>
      <c r="M19" s="4">
        <f t="shared" ca="1" si="6"/>
        <v>0</v>
      </c>
      <c r="N19" s="4" t="s">
        <v>78</v>
      </c>
      <c r="Q19" s="21">
        <f ca="1">C19-P19</f>
        <v>0</v>
      </c>
    </row>
    <row r="20" spans="1:17" ht="15" customHeight="1" x14ac:dyDescent="0.25">
      <c r="A20" s="17" t="s">
        <v>20</v>
      </c>
      <c r="B20" s="64">
        <f ca="1">SUM(B18:B19)</f>
        <v>0</v>
      </c>
      <c r="C20" s="64">
        <f ca="1">SUM(C18:C19)</f>
        <v>0</v>
      </c>
      <c r="D20" s="64">
        <f ca="1">SUM(D18:D19)</f>
        <v>0</v>
      </c>
      <c r="E20" s="64">
        <f ca="1">SUM(E18:E19)</f>
        <v>0</v>
      </c>
      <c r="F20" s="64">
        <f ca="1">SUM(F18:F19)</f>
        <v>0</v>
      </c>
    </row>
    <row r="22" spans="1:17" ht="15" hidden="1" customHeight="1" x14ac:dyDescent="0.25">
      <c r="A22" s="18" t="s">
        <v>29</v>
      </c>
    </row>
    <row r="23" spans="1:17" hidden="1" x14ac:dyDescent="0.2">
      <c r="A23" s="19" t="s">
        <v>30</v>
      </c>
      <c r="B23" s="63">
        <f ca="1">IFERROR(SUMIF(INDIRECT("'"&amp;$N23&amp;"-"&amp;B$46&amp;"'!L:L"),"TOTAL",INDIRECT("'"&amp;$N23&amp;"-"&amp;B$46&amp;"'!K:K")),0)</f>
        <v>0</v>
      </c>
      <c r="C23" s="63">
        <f t="shared" ref="C23:F23" ca="1" si="7">IFERROR(SUMIF(INDIRECT("'"&amp;$N23&amp;"-"&amp;C$46&amp;"'!L:L"),"TOTAL",INDIRECT("'"&amp;$N23&amp;"-"&amp;C$46&amp;"'!K:K")),0)</f>
        <v>0</v>
      </c>
      <c r="D23" s="63">
        <f t="shared" ca="1" si="7"/>
        <v>0</v>
      </c>
      <c r="E23" s="63">
        <f t="shared" ca="1" si="7"/>
        <v>0</v>
      </c>
      <c r="F23" s="63">
        <f t="shared" ca="1" si="7"/>
        <v>0</v>
      </c>
      <c r="H23" s="4">
        <f ca="1">B23*H$7</f>
        <v>0</v>
      </c>
      <c r="I23" s="4">
        <f ca="1">C23*I$7</f>
        <v>0</v>
      </c>
      <c r="J23" s="4">
        <f ca="1">D23*J$7</f>
        <v>0</v>
      </c>
      <c r="K23" s="4">
        <f ca="1">E23*K$7</f>
        <v>0</v>
      </c>
      <c r="L23" s="4">
        <f ca="1">F23*L$7</f>
        <v>0</v>
      </c>
      <c r="M23" s="4">
        <f ca="1">SUM(H23:L23)</f>
        <v>0</v>
      </c>
      <c r="N23" s="4" t="s">
        <v>79</v>
      </c>
      <c r="Q23" s="21">
        <f ca="1">C23-P23</f>
        <v>0</v>
      </c>
    </row>
    <row r="24" spans="1:17" ht="15" hidden="1" customHeight="1" x14ac:dyDescent="0.25">
      <c r="A24" s="17" t="s">
        <v>20</v>
      </c>
      <c r="B24" s="64">
        <f ca="1">SUM(B23:B23)</f>
        <v>0</v>
      </c>
      <c r="C24" s="64">
        <f ca="1">SUM(C23:C23)</f>
        <v>0</v>
      </c>
      <c r="D24" s="64">
        <f ca="1">SUM(D23:D23)</f>
        <v>0</v>
      </c>
      <c r="E24" s="64">
        <f ca="1">SUM(E23:E23)</f>
        <v>0</v>
      </c>
      <c r="F24" s="64">
        <f ca="1">SUM(F23:F23)</f>
        <v>0</v>
      </c>
    </row>
    <row r="25" spans="1:17" hidden="1" x14ac:dyDescent="0.2"/>
    <row r="26" spans="1:17" ht="15" customHeight="1" x14ac:dyDescent="0.25">
      <c r="A26" s="157" t="s">
        <v>139</v>
      </c>
    </row>
    <row r="27" spans="1:17" x14ac:dyDescent="0.2">
      <c r="A27" s="19" t="s">
        <v>33</v>
      </c>
      <c r="B27" s="63">
        <f ca="1">IFERROR(SUMIF(INDIRECT("'"&amp;$N27&amp;"-"&amp;B$46&amp;"'!L:L"),"TOTAL",INDIRECT("'"&amp;$N27&amp;"-"&amp;B$46&amp;"'!K:K")),0)</f>
        <v>0</v>
      </c>
      <c r="C27" s="63">
        <f t="shared" ref="C27:F27" ca="1" si="8">IFERROR(SUMIF(INDIRECT("'"&amp;$N27&amp;"-"&amp;C$46&amp;"'!L:L"),"TOTAL",INDIRECT("'"&amp;$N27&amp;"-"&amp;C$46&amp;"'!K:K")),0)</f>
        <v>0</v>
      </c>
      <c r="D27" s="63">
        <f t="shared" ca="1" si="8"/>
        <v>0</v>
      </c>
      <c r="E27" s="63">
        <f t="shared" ca="1" si="8"/>
        <v>0</v>
      </c>
      <c r="F27" s="63">
        <f t="shared" ca="1" si="8"/>
        <v>0</v>
      </c>
      <c r="H27" s="4">
        <f ca="1">B27*H$7</f>
        <v>0</v>
      </c>
      <c r="I27" s="4">
        <f ca="1">C27*I$7</f>
        <v>0</v>
      </c>
      <c r="J27" s="4">
        <f ca="1">D27*J$7</f>
        <v>0</v>
      </c>
      <c r="K27" s="4">
        <f ca="1">E27*K$7</f>
        <v>0</v>
      </c>
      <c r="L27" s="4">
        <f ca="1">F27*L$7</f>
        <v>0</v>
      </c>
      <c r="M27" s="4">
        <f ca="1">SUM(H27:L27)</f>
        <v>0</v>
      </c>
      <c r="N27" s="4" t="s">
        <v>80</v>
      </c>
      <c r="Q27" s="21">
        <f ca="1">C27-P27</f>
        <v>0</v>
      </c>
    </row>
    <row r="28" spans="1:17" ht="15" customHeight="1" x14ac:dyDescent="0.25">
      <c r="A28" s="17" t="s">
        <v>20</v>
      </c>
      <c r="B28" s="64">
        <f ca="1">SUM(B27:B27)</f>
        <v>0</v>
      </c>
      <c r="C28" s="64">
        <f ca="1">SUM(C27:C27)</f>
        <v>0</v>
      </c>
      <c r="D28" s="64">
        <f ca="1">SUM(D27:D27)</f>
        <v>0</v>
      </c>
      <c r="E28" s="64">
        <f ca="1">SUM(E27:E27)</f>
        <v>0</v>
      </c>
      <c r="F28" s="64">
        <f ca="1">SUM(F27:F27)</f>
        <v>0</v>
      </c>
    </row>
    <row r="30" spans="1:17" ht="15" customHeight="1" x14ac:dyDescent="0.25">
      <c r="A30" s="18" t="s">
        <v>35</v>
      </c>
    </row>
    <row r="31" spans="1:17" x14ac:dyDescent="0.2">
      <c r="A31" s="19" t="s">
        <v>36</v>
      </c>
      <c r="B31" s="63">
        <f t="shared" ref="B31:F33" ca="1" si="9">IFERROR(SUMIF(INDIRECT("'"&amp;$N31&amp;"-"&amp;B$46&amp;"'!L:L"),"TOTAL",INDIRECT("'"&amp;$N31&amp;"-"&amp;B$46&amp;"'!K:K")),0)</f>
        <v>0</v>
      </c>
      <c r="C31" s="63">
        <f t="shared" ca="1" si="9"/>
        <v>0</v>
      </c>
      <c r="D31" s="63">
        <f t="shared" ca="1" si="9"/>
        <v>0</v>
      </c>
      <c r="E31" s="63">
        <f t="shared" ca="1" si="9"/>
        <v>0</v>
      </c>
      <c r="F31" s="63">
        <f t="shared" ca="1" si="9"/>
        <v>0</v>
      </c>
      <c r="H31" s="4">
        <f t="shared" ref="H31:L33" ca="1" si="10">B31*H$7</f>
        <v>0</v>
      </c>
      <c r="I31" s="4">
        <f t="shared" ca="1" si="10"/>
        <v>0</v>
      </c>
      <c r="J31" s="4">
        <f t="shared" ca="1" si="10"/>
        <v>0</v>
      </c>
      <c r="K31" s="4">
        <f t="shared" ca="1" si="10"/>
        <v>0</v>
      </c>
      <c r="L31" s="4">
        <f t="shared" ca="1" si="10"/>
        <v>0</v>
      </c>
      <c r="M31" s="4">
        <f t="shared" ref="M31:M33" ca="1" si="11">SUM(H31:L31)</f>
        <v>0</v>
      </c>
      <c r="N31" s="4" t="s">
        <v>81</v>
      </c>
      <c r="Q31" s="21">
        <f ca="1">C31-P31</f>
        <v>0</v>
      </c>
    </row>
    <row r="32" spans="1:17" x14ac:dyDescent="0.2">
      <c r="A32" s="19" t="s">
        <v>38</v>
      </c>
      <c r="B32" s="63">
        <f t="shared" ca="1" si="9"/>
        <v>0</v>
      </c>
      <c r="C32" s="63">
        <f t="shared" ca="1" si="9"/>
        <v>0</v>
      </c>
      <c r="D32" s="63">
        <f t="shared" ca="1" si="9"/>
        <v>0</v>
      </c>
      <c r="E32" s="63">
        <f t="shared" ca="1" si="9"/>
        <v>0</v>
      </c>
      <c r="F32" s="63">
        <f t="shared" ca="1" si="9"/>
        <v>0</v>
      </c>
      <c r="H32" s="4">
        <f t="shared" ca="1" si="10"/>
        <v>0</v>
      </c>
      <c r="I32" s="4">
        <f t="shared" ca="1" si="10"/>
        <v>0</v>
      </c>
      <c r="J32" s="4">
        <f t="shared" ca="1" si="10"/>
        <v>0</v>
      </c>
      <c r="K32" s="4">
        <f t="shared" ca="1" si="10"/>
        <v>0</v>
      </c>
      <c r="L32" s="4">
        <f t="shared" ca="1" si="10"/>
        <v>0</v>
      </c>
      <c r="M32" s="4">
        <f t="shared" ca="1" si="11"/>
        <v>0</v>
      </c>
      <c r="N32" s="4" t="s">
        <v>82</v>
      </c>
      <c r="Q32" s="21">
        <f ca="1">C32-P32</f>
        <v>0</v>
      </c>
    </row>
    <row r="33" spans="1:17" x14ac:dyDescent="0.2">
      <c r="A33" s="19" t="s">
        <v>27</v>
      </c>
      <c r="B33" s="63">
        <f t="shared" ca="1" si="9"/>
        <v>0</v>
      </c>
      <c r="C33" s="63">
        <f t="shared" ca="1" si="9"/>
        <v>0</v>
      </c>
      <c r="D33" s="63">
        <f t="shared" ca="1" si="9"/>
        <v>0</v>
      </c>
      <c r="E33" s="63">
        <f t="shared" ca="1" si="9"/>
        <v>0</v>
      </c>
      <c r="F33" s="63">
        <f t="shared" ca="1" si="9"/>
        <v>0</v>
      </c>
      <c r="H33" s="4">
        <f t="shared" ca="1" si="10"/>
        <v>0</v>
      </c>
      <c r="I33" s="4">
        <f t="shared" ca="1" si="10"/>
        <v>0</v>
      </c>
      <c r="J33" s="4">
        <f t="shared" ca="1" si="10"/>
        <v>0</v>
      </c>
      <c r="K33" s="4">
        <f t="shared" ca="1" si="10"/>
        <v>0</v>
      </c>
      <c r="L33" s="4">
        <f t="shared" ca="1" si="10"/>
        <v>0</v>
      </c>
      <c r="M33" s="4">
        <f t="shared" ca="1" si="11"/>
        <v>0</v>
      </c>
      <c r="N33" s="4" t="s">
        <v>83</v>
      </c>
      <c r="Q33" s="21">
        <f ca="1">C33-P33</f>
        <v>0</v>
      </c>
    </row>
    <row r="34" spans="1:17" ht="15" customHeight="1" x14ac:dyDescent="0.25">
      <c r="A34" s="17" t="s">
        <v>20</v>
      </c>
      <c r="B34" s="64">
        <f ca="1">SUM(B31:B33)</f>
        <v>0</v>
      </c>
      <c r="C34" s="64">
        <f ca="1">SUM(C31:C33)</f>
        <v>0</v>
      </c>
      <c r="D34" s="64">
        <f ca="1">SUM(D31:D33)</f>
        <v>0</v>
      </c>
      <c r="E34" s="64">
        <f ca="1">SUM(E31:E33)</f>
        <v>0</v>
      </c>
      <c r="F34" s="64">
        <f ca="1">SUM(F31:F33)</f>
        <v>0</v>
      </c>
    </row>
    <row r="36" spans="1:17" ht="15" customHeight="1" x14ac:dyDescent="0.25">
      <c r="A36" s="17" t="s">
        <v>41</v>
      </c>
      <c r="B36" s="65">
        <f ca="1">SUM(B11, B15, B20, B24, B34, B28)</f>
        <v>0</v>
      </c>
      <c r="C36" s="66">
        <f ca="1">SUM(C11, C15, C20, C24, C34, C28)</f>
        <v>0</v>
      </c>
      <c r="D36" s="67">
        <f ca="1">SUM(D11, D15, D20, D24, D34, D28)</f>
        <v>0</v>
      </c>
      <c r="E36" s="68">
        <f ca="1">SUM(E11, E15, E20, E24, E34, E28)</f>
        <v>0</v>
      </c>
      <c r="F36" s="85">
        <f ca="1">SUM(F11, F15, F20, F24, F34, F28)</f>
        <v>0</v>
      </c>
      <c r="M36" s="4">
        <f ca="1">SUM(M8:M35)</f>
        <v>0</v>
      </c>
    </row>
    <row r="38" spans="1:17" ht="15" customHeight="1" x14ac:dyDescent="0.2">
      <c r="B38" s="160" t="s">
        <v>43</v>
      </c>
      <c r="C38" s="161">
        <f ca="1">C36</f>
        <v>0</v>
      </c>
      <c r="D38" s="162"/>
      <c r="E38" s="163">
        <f ca="1">C38</f>
        <v>0</v>
      </c>
    </row>
    <row r="39" spans="1:17" ht="15" customHeight="1" x14ac:dyDescent="0.2">
      <c r="B39" s="160" t="s">
        <v>90</v>
      </c>
      <c r="C39" s="161">
        <f ca="1">D36</f>
        <v>0</v>
      </c>
      <c r="D39" s="164">
        <v>7.0000000000000007E-2</v>
      </c>
      <c r="E39" s="163">
        <f ca="1">C39*D39</f>
        <v>0</v>
      </c>
    </row>
    <row r="40" spans="1:17" ht="15" customHeight="1" x14ac:dyDescent="0.2">
      <c r="B40" s="160" t="s">
        <v>89</v>
      </c>
      <c r="C40" s="161">
        <f ca="1">B36</f>
        <v>0</v>
      </c>
      <c r="D40" s="164">
        <v>5.5</v>
      </c>
      <c r="E40" s="163">
        <f ca="1">C40*D40</f>
        <v>0</v>
      </c>
    </row>
    <row r="41" spans="1:17" ht="15" customHeight="1" x14ac:dyDescent="0.2">
      <c r="B41" s="160" t="s">
        <v>91</v>
      </c>
      <c r="C41" s="161">
        <f ca="1">E36</f>
        <v>0</v>
      </c>
      <c r="D41" s="164">
        <v>7.85</v>
      </c>
      <c r="E41" s="163">
        <f ca="1">C41*D41</f>
        <v>0</v>
      </c>
    </row>
    <row r="42" spans="1:17" ht="15" customHeight="1" x14ac:dyDescent="0.2">
      <c r="B42" s="160" t="s">
        <v>107</v>
      </c>
      <c r="C42" s="161">
        <f ca="1">F36</f>
        <v>0</v>
      </c>
      <c r="D42" s="164">
        <v>0.18</v>
      </c>
      <c r="E42" s="163">
        <f ca="1">C42*D42</f>
        <v>0</v>
      </c>
    </row>
    <row r="43" spans="1:17" ht="15" customHeight="1" x14ac:dyDescent="0.25">
      <c r="B43" s="153" t="s">
        <v>92</v>
      </c>
      <c r="C43" s="154"/>
      <c r="D43" s="155"/>
      <c r="E43" s="156">
        <f ca="1">SUM(E38:E42)</f>
        <v>0</v>
      </c>
    </row>
    <row r="46" spans="1:17" x14ac:dyDescent="0.2">
      <c r="B46" s="4" t="s">
        <v>89</v>
      </c>
      <c r="C46" s="4" t="s">
        <v>43</v>
      </c>
      <c r="D46" s="4" t="s">
        <v>90</v>
      </c>
      <c r="E46" s="4" t="s">
        <v>91</v>
      </c>
      <c r="F46" s="4" t="s">
        <v>107</v>
      </c>
    </row>
    <row r="51" spans="3:3" x14ac:dyDescent="0.2">
      <c r="C51" s="69"/>
    </row>
  </sheetData>
  <mergeCells count="2">
    <mergeCell ref="A6:A8"/>
    <mergeCell ref="B6:F6"/>
  </mergeCells>
  <pageMargins left="1.25" right="0.25" top="0.25" bottom="0.25" header="0.5" footer="0.5"/>
  <pageSetup paperSize="10002" scale="4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39"/>
  <sheetViews>
    <sheetView showOutlineSymbols="0" showWhiteSpace="0" view="pageBreakPreview" topLeftCell="A10" zoomScaleNormal="100" zoomScaleSheetLayoutView="100" workbookViewId="0">
      <selection activeCell="A26" sqref="A26"/>
    </sheetView>
  </sheetViews>
  <sheetFormatPr defaultRowHeight="14.25" x14ac:dyDescent="0.2"/>
  <cols>
    <col min="1" max="1" width="27.42578125" style="4" bestFit="1" customWidth="1"/>
    <col min="2" max="4" width="22.5703125" style="4" customWidth="1"/>
    <col min="5" max="5" width="3.5703125" style="4" bestFit="1" customWidth="1"/>
    <col min="6" max="8" width="22.5703125" style="4" customWidth="1"/>
    <col min="9" max="9" width="3.5703125" style="4" bestFit="1" customWidth="1"/>
    <col min="10" max="10" width="22.5703125" style="4" customWidth="1"/>
    <col min="11" max="11" width="9.140625" style="4" customWidth="1"/>
    <col min="12" max="16384" width="9.140625" style="4"/>
  </cols>
  <sheetData>
    <row r="1" spans="1:12" ht="15" customHeight="1" x14ac:dyDescent="0.25">
      <c r="A1" s="3" t="s">
        <v>0</v>
      </c>
    </row>
    <row r="2" spans="1:12" ht="15" customHeight="1" x14ac:dyDescent="0.25">
      <c r="A2" s="3" t="s">
        <v>1</v>
      </c>
    </row>
    <row r="3" spans="1:12" ht="15" customHeight="1" x14ac:dyDescent="0.25">
      <c r="A3" s="3" t="str">
        <f ca="1">INDIRECT("SUMMARY!A3")</f>
        <v>As of November 6, 2020</v>
      </c>
    </row>
    <row r="6" spans="1:12" ht="15" customHeight="1" x14ac:dyDescent="0.2">
      <c r="A6" s="5" t="s">
        <v>4</v>
      </c>
      <c r="B6" s="5" t="s">
        <v>93</v>
      </c>
      <c r="C6" s="5" t="s">
        <v>94</v>
      </c>
      <c r="D6" s="5" t="s">
        <v>20</v>
      </c>
      <c r="E6" s="5"/>
      <c r="F6" s="5" t="s">
        <v>95</v>
      </c>
      <c r="G6" s="5" t="s">
        <v>96</v>
      </c>
      <c r="H6" s="5" t="s">
        <v>20</v>
      </c>
      <c r="I6" s="5"/>
      <c r="J6" s="5" t="s">
        <v>41</v>
      </c>
    </row>
    <row r="7" spans="1:12" ht="15" customHeight="1" x14ac:dyDescent="0.25">
      <c r="A7" s="6" t="s">
        <v>13</v>
      </c>
    </row>
    <row r="8" spans="1:12" x14ac:dyDescent="0.2">
      <c r="A8" s="34" t="s">
        <v>145</v>
      </c>
      <c r="B8" s="70">
        <f t="shared" ref="B8" ca="1" si="0">IFERROR(SUMIF(INDIRECT("'"&amp;L8&amp;"'!D:D"),"Buy (Accu)",INDIRECT("'"&amp;L8&amp;"'!G:G"))+SUMIF(INDIRECT("'"&amp;L8&amp;"'!D:D"),"Buy (Accu-KO)",INDIRECT("'"&amp;L8&amp;"'!G:G")),0)</f>
        <v>0</v>
      </c>
      <c r="C8" s="70">
        <f t="shared" ref="C8" ca="1" si="1">IFERROR(SUMIF(INDIRECT("'"&amp;L8&amp;"'!D:D"),"Buy (Spot)",INDIRECT("'"&amp;L8&amp;"'!G:G")),0)</f>
        <v>0</v>
      </c>
      <c r="D8" s="71">
        <f t="shared" ref="D8" ca="1" si="2">SUM(B8:C8)</f>
        <v>0</v>
      </c>
      <c r="E8" s="7"/>
      <c r="F8" s="70">
        <f t="shared" ref="F8" ca="1" si="3">IFERROR(SUMIF(INDIRECT("'"&amp;L8&amp;"'!D:D"),"Sell (Decu)",INDIRECT("'"&amp;L8&amp;"'!G:G"))+SUMIF(INDIRECT("'"&amp;L8&amp;"'!D:D"),"Sell (Decu-KO)",INDIRECT("'"&amp;L8&amp;"'!G:G")),0)</f>
        <v>0</v>
      </c>
      <c r="G8" s="70">
        <f t="shared" ref="G8" ca="1" si="4">IFERROR(SUMIF(INDIRECT("'"&amp;L8&amp;"'!D:D"),"Sell (Spot)",INDIRECT("'"&amp;L8&amp;"'!G:G")),0)</f>
        <v>0</v>
      </c>
      <c r="H8" s="71">
        <f t="shared" ref="H8" ca="1" si="5">SUM(F8:G8)</f>
        <v>0</v>
      </c>
      <c r="I8" s="7"/>
      <c r="J8" s="71">
        <f t="shared" ref="J8" ca="1" si="6">SUM(D8,H8)</f>
        <v>0</v>
      </c>
      <c r="L8" s="4" t="s">
        <v>146</v>
      </c>
    </row>
    <row r="9" spans="1:12" ht="15" customHeight="1" x14ac:dyDescent="0.25">
      <c r="A9" s="8" t="s">
        <v>20</v>
      </c>
      <c r="B9" s="72">
        <f ca="1">SUM(B8:B8)</f>
        <v>0</v>
      </c>
      <c r="C9" s="72">
        <f ca="1">SUM(C8:C8)</f>
        <v>0</v>
      </c>
      <c r="D9" s="73">
        <f ca="1">SUM(D8:D8)</f>
        <v>0</v>
      </c>
      <c r="E9" s="8"/>
      <c r="F9" s="72">
        <f ca="1">SUM(F8:F8)</f>
        <v>0</v>
      </c>
      <c r="G9" s="72">
        <f ca="1">SUM(G8:G8)</f>
        <v>0</v>
      </c>
      <c r="H9" s="73">
        <f ca="1">SUM(H8:H8)</f>
        <v>0</v>
      </c>
      <c r="I9" s="8"/>
      <c r="J9" s="73">
        <f ca="1">SUM(J8:J8)</f>
        <v>0</v>
      </c>
    </row>
    <row r="11" spans="1:12" ht="15" customHeight="1" x14ac:dyDescent="0.25">
      <c r="A11" s="6" t="s">
        <v>21</v>
      </c>
    </row>
    <row r="12" spans="1:12" x14ac:dyDescent="0.2">
      <c r="A12" s="34" t="s">
        <v>22</v>
      </c>
      <c r="B12" s="70">
        <f ca="1">IFERROR(SUMIF(INDIRECT("'"&amp;L12&amp;"'!D:D"),"Buy (Accu)",INDIRECT("'"&amp;L12&amp;"'!G:G"))+SUMIF(INDIRECT("'"&amp;L12&amp;"'!D:D"),"Buy (Accu-KO)",INDIRECT("'"&amp;L12&amp;"'!G:G")),0)</f>
        <v>0</v>
      </c>
      <c r="C12" s="70">
        <f ca="1">IFERROR(SUMIF(INDIRECT("'"&amp;L12&amp;"'!D:D"),"Buy (Spot)",INDIRECT("'"&amp;L12&amp;"'!G:G")),0)</f>
        <v>0</v>
      </c>
      <c r="D12" s="71">
        <f ca="1">SUM(B12:C12)</f>
        <v>0</v>
      </c>
      <c r="E12" s="7"/>
      <c r="F12" s="70">
        <f ca="1">IFERROR(SUMIF(INDIRECT("'"&amp;L12&amp;"'!D:D"),"Sell (Decu)",INDIRECT("'"&amp;L12&amp;"'!G:G"))+SUMIF(INDIRECT("'"&amp;L12&amp;"'!D:D"),"Sell (Decu-KO)",INDIRECT("'"&amp;L12&amp;"'!G:G")),0)</f>
        <v>0</v>
      </c>
      <c r="G12" s="70">
        <f ca="1">IFERROR(SUMIF(INDIRECT("'"&amp;L12&amp;"'!D:D"),"Sell (Spot)",INDIRECT("'"&amp;L12&amp;"'!G:G")),0)</f>
        <v>0</v>
      </c>
      <c r="H12" s="71">
        <f ca="1">SUM(F12:G12)</f>
        <v>0</v>
      </c>
      <c r="I12" s="7"/>
      <c r="J12" s="71">
        <f ca="1">SUM(D12,H12)</f>
        <v>0</v>
      </c>
      <c r="L12" s="4" t="s">
        <v>23</v>
      </c>
    </row>
    <row r="13" spans="1:12" ht="15" customHeight="1" x14ac:dyDescent="0.25">
      <c r="A13" s="8" t="s">
        <v>20</v>
      </c>
      <c r="B13" s="72">
        <f ca="1">SUM(B12:B12)</f>
        <v>0</v>
      </c>
      <c r="C13" s="72">
        <f ca="1">SUM(C12:C12)</f>
        <v>0</v>
      </c>
      <c r="D13" s="73">
        <f ca="1">SUM(D12:D12)</f>
        <v>0</v>
      </c>
      <c r="E13" s="8"/>
      <c r="F13" s="72">
        <f ca="1">SUM(F12:F12)</f>
        <v>0</v>
      </c>
      <c r="G13" s="72">
        <f ca="1">SUM(G12:G12)</f>
        <v>0</v>
      </c>
      <c r="H13" s="73">
        <f ca="1">SUM(H12:H12)</f>
        <v>0</v>
      </c>
      <c r="I13" s="8"/>
      <c r="J13" s="73">
        <f ca="1">SUM(J12:J12)</f>
        <v>0</v>
      </c>
    </row>
    <row r="15" spans="1:12" ht="15" customHeight="1" x14ac:dyDescent="0.25">
      <c r="A15" s="6" t="s">
        <v>24</v>
      </c>
    </row>
    <row r="16" spans="1:12" x14ac:dyDescent="0.2">
      <c r="A16" s="34" t="s">
        <v>25</v>
      </c>
      <c r="B16" s="70">
        <f ca="1">IFERROR(SUMIF(INDIRECT("'"&amp;L16&amp;"'!D:D"),"Buy (Accu)",INDIRECT("'"&amp;L16&amp;"'!G:G"))+SUMIF(INDIRECT("'"&amp;L16&amp;"'!D:D"),"Buy (Accu-KO)",INDIRECT("'"&amp;L16&amp;"'!G:G")),0)</f>
        <v>0</v>
      </c>
      <c r="C16" s="70">
        <f ca="1">IFERROR(SUMIF(INDIRECT("'"&amp;L16&amp;"'!D:D"),"Buy (Spot)",INDIRECT("'"&amp;L16&amp;"'!G:G")),0)</f>
        <v>0</v>
      </c>
      <c r="D16" s="71">
        <f ca="1">SUM(B16:C16)</f>
        <v>0</v>
      </c>
      <c r="E16" s="7"/>
      <c r="F16" s="70">
        <f ca="1">IFERROR(SUMIF(INDIRECT("'"&amp;L16&amp;"'!D:D"),"Sell (Decu)",INDIRECT("'"&amp;L16&amp;"'!G:G"))+SUMIF(INDIRECT("'"&amp;L16&amp;"'!D:D"),"Sell (Decu-KO)",INDIRECT("'"&amp;L16&amp;"'!G:G")),0)</f>
        <v>0</v>
      </c>
      <c r="G16" s="70">
        <f ca="1">IFERROR(SUMIF(INDIRECT("'"&amp;L16&amp;"'!D:D"),"Sell (Spot)",INDIRECT("'"&amp;L16&amp;"'!G:G")),0)</f>
        <v>0</v>
      </c>
      <c r="H16" s="71">
        <f ca="1">SUM(F16:G16)</f>
        <v>0</v>
      </c>
      <c r="I16" s="7"/>
      <c r="J16" s="71">
        <f ca="1">SUM(D16,H16)</f>
        <v>0</v>
      </c>
      <c r="L16" s="4" t="s">
        <v>26</v>
      </c>
    </row>
    <row r="17" spans="1:12" x14ac:dyDescent="0.2">
      <c r="A17" s="34" t="s">
        <v>27</v>
      </c>
      <c r="B17" s="70">
        <f ca="1">IFERROR(SUMIF(INDIRECT("'"&amp;L17&amp;"'!D:D"),"Buy (Accu)",INDIRECT("'"&amp;L17&amp;"'!G:G"))+SUMIF(INDIRECT("'"&amp;L17&amp;"'!D:D"),"Buy (Accu-KO)",INDIRECT("'"&amp;L17&amp;"'!G:G")),0)</f>
        <v>0</v>
      </c>
      <c r="C17" s="70">
        <f ca="1">IFERROR(SUMIF(INDIRECT("'"&amp;L17&amp;"'!D:D"),"Buy (Spot)",INDIRECT("'"&amp;L17&amp;"'!G:G")),0)</f>
        <v>0</v>
      </c>
      <c r="D17" s="71">
        <f ca="1">SUM(B17:C17)</f>
        <v>0</v>
      </c>
      <c r="E17" s="7"/>
      <c r="F17" s="70">
        <f ca="1">IFERROR(SUMIF(INDIRECT("'"&amp;L17&amp;"'!D:D"),"Sell (Decu)",INDIRECT("'"&amp;L17&amp;"'!G:G"))+SUMIF(INDIRECT("'"&amp;L17&amp;"'!D:D"),"Sell (Decu-KO)",INDIRECT("'"&amp;L17&amp;"'!G:G")),0)</f>
        <v>0</v>
      </c>
      <c r="G17" s="70">
        <f ca="1">IFERROR(SUMIF(INDIRECT("'"&amp;L17&amp;"'!D:D"),"Sell (Spot)",INDIRECT("'"&amp;L17&amp;"'!G:G")),0)</f>
        <v>0</v>
      </c>
      <c r="H17" s="71">
        <f ca="1">SUM(F17:G17)</f>
        <v>0</v>
      </c>
      <c r="I17" s="7"/>
      <c r="J17" s="71">
        <f ca="1">SUM(D17,H17)</f>
        <v>0</v>
      </c>
      <c r="L17" s="4" t="s">
        <v>28</v>
      </c>
    </row>
    <row r="18" spans="1:12" ht="15" customHeight="1" x14ac:dyDescent="0.25">
      <c r="A18" s="8" t="s">
        <v>20</v>
      </c>
      <c r="B18" s="72">
        <f ca="1">SUM(B16:B17)</f>
        <v>0</v>
      </c>
      <c r="C18" s="72">
        <f ca="1">SUM(C16:C17)</f>
        <v>0</v>
      </c>
      <c r="D18" s="73">
        <f ca="1">SUM(D16:D17)</f>
        <v>0</v>
      </c>
      <c r="E18" s="8"/>
      <c r="F18" s="72">
        <f ca="1">SUM(F16:F17)</f>
        <v>0</v>
      </c>
      <c r="G18" s="72">
        <f ca="1">SUM(G16:G17)</f>
        <v>0</v>
      </c>
      <c r="H18" s="73">
        <f ca="1">SUM(H16:H17)</f>
        <v>0</v>
      </c>
      <c r="I18" s="8"/>
      <c r="J18" s="73">
        <f ca="1">SUM(J16:J17)</f>
        <v>0</v>
      </c>
    </row>
    <row r="20" spans="1:12" ht="15" hidden="1" customHeight="1" x14ac:dyDescent="0.25">
      <c r="A20" s="6" t="s">
        <v>29</v>
      </c>
    </row>
    <row r="21" spans="1:12" hidden="1" x14ac:dyDescent="0.2">
      <c r="A21" s="34" t="s">
        <v>30</v>
      </c>
      <c r="B21" s="70">
        <f ca="1">IFERROR(SUMIF(INDIRECT("'"&amp;L21&amp;"'!D:D"),"Buy (Accu)",INDIRECT("'"&amp;L21&amp;"'!G:G"))+SUMIF(INDIRECT("'"&amp;L21&amp;"'!D:D"),"Buy (Accu-KO)",INDIRECT("'"&amp;L21&amp;"'!G:G")),0)</f>
        <v>0</v>
      </c>
      <c r="C21" s="70">
        <f ca="1">IFERROR(SUMIF(INDIRECT("'"&amp;L21&amp;"'!D:D"),"Buy (Spot)",INDIRECT("'"&amp;L21&amp;"'!G:G")),0)</f>
        <v>0</v>
      </c>
      <c r="D21" s="71">
        <f ca="1">SUM(B21:C21)</f>
        <v>0</v>
      </c>
      <c r="E21" s="7"/>
      <c r="F21" s="70">
        <f ca="1">IFERROR(SUMIF(INDIRECT("'"&amp;L21&amp;"'!D:D"),"Sell (Decu)",INDIRECT("'"&amp;L21&amp;"'!G:G"))+SUMIF(INDIRECT("'"&amp;L21&amp;"'!D:D"),"Sell (Decu-KO)",INDIRECT("'"&amp;L21&amp;"'!G:G")),0)</f>
        <v>0</v>
      </c>
      <c r="G21" s="70">
        <f ca="1">IFERROR(SUMIF(INDIRECT("'"&amp;L21&amp;"'!D:D"),"Sell (Spot)",INDIRECT("'"&amp;L21&amp;"'!G:G")),0)</f>
        <v>0</v>
      </c>
      <c r="H21" s="71">
        <f ca="1">SUM(F21:G21)</f>
        <v>0</v>
      </c>
      <c r="I21" s="7"/>
      <c r="J21" s="71">
        <f ca="1">SUM(D21,H21)</f>
        <v>0</v>
      </c>
      <c r="L21" s="4" t="s">
        <v>31</v>
      </c>
    </row>
    <row r="22" spans="1:12" ht="15" hidden="1" customHeight="1" x14ac:dyDescent="0.25">
      <c r="A22" s="8" t="s">
        <v>20</v>
      </c>
      <c r="B22" s="72">
        <f ca="1">SUM(B21:B21)</f>
        <v>0</v>
      </c>
      <c r="C22" s="72">
        <f ca="1">SUM(C21:C21)</f>
        <v>0</v>
      </c>
      <c r="D22" s="73">
        <f ca="1">SUM(D21:D21)</f>
        <v>0</v>
      </c>
      <c r="E22" s="8"/>
      <c r="F22" s="72">
        <f ca="1">SUM(F21:F21)</f>
        <v>0</v>
      </c>
      <c r="G22" s="72">
        <f ca="1">SUM(G21:G21)</f>
        <v>0</v>
      </c>
      <c r="H22" s="73">
        <f ca="1">SUM(H21:H21)</f>
        <v>0</v>
      </c>
      <c r="I22" s="8"/>
      <c r="J22" s="73">
        <f ca="1">SUM(J21:J21)</f>
        <v>0</v>
      </c>
    </row>
    <row r="23" spans="1:12" hidden="1" x14ac:dyDescent="0.2"/>
    <row r="24" spans="1:12" ht="15" customHeight="1" x14ac:dyDescent="0.25">
      <c r="A24" s="6" t="s">
        <v>139</v>
      </c>
    </row>
    <row r="25" spans="1:12" x14ac:dyDescent="0.2">
      <c r="A25" s="34" t="s">
        <v>33</v>
      </c>
      <c r="B25" s="70">
        <f ca="1">IFERROR(SUMIF(INDIRECT("'"&amp;L25&amp;"'!D:D"),"Buy (Accu)",INDIRECT("'"&amp;L25&amp;"'!G:G"))+SUMIF(INDIRECT("'"&amp;L25&amp;"'!D:D"),"Buy (Accu-KO)",INDIRECT("'"&amp;L25&amp;"'!G:G")),0)</f>
        <v>0</v>
      </c>
      <c r="C25" s="70">
        <f ca="1">IFERROR(SUMIF(INDIRECT("'"&amp;L25&amp;"'!D:D"),"Buy (Spot)",INDIRECT("'"&amp;L25&amp;"'!G:G")),0)</f>
        <v>0</v>
      </c>
      <c r="D25" s="71">
        <f ca="1">SUM(B25:C25)</f>
        <v>0</v>
      </c>
      <c r="E25" s="7"/>
      <c r="F25" s="70">
        <f ca="1">IFERROR(SUMIF(INDIRECT("'"&amp;L25&amp;"'!D:D"),"Sell (Decu)",INDIRECT("'"&amp;L25&amp;"'!G:G"))+SUMIF(INDIRECT("'"&amp;L25&amp;"'!D:D"),"Sell (Decu-KO)",INDIRECT("'"&amp;L25&amp;"'!G:G")),0)</f>
        <v>0</v>
      </c>
      <c r="G25" s="70">
        <f ca="1">IFERROR(SUMIF(INDIRECT("'"&amp;L25&amp;"'!D:D"),"Sell (Spot)",INDIRECT("'"&amp;L25&amp;"'!G:G")),0)</f>
        <v>0</v>
      </c>
      <c r="H25" s="71">
        <f ca="1">SUM(F25:G25)</f>
        <v>0</v>
      </c>
      <c r="I25" s="7"/>
      <c r="J25" s="71">
        <f ca="1">SUM(D25,H25)</f>
        <v>0</v>
      </c>
      <c r="L25" s="4" t="s">
        <v>34</v>
      </c>
    </row>
    <row r="26" spans="1:12" ht="15" customHeight="1" x14ac:dyDescent="0.25">
      <c r="A26" s="8" t="s">
        <v>20</v>
      </c>
      <c r="B26" s="72">
        <f ca="1">SUM(B25:B25)</f>
        <v>0</v>
      </c>
      <c r="C26" s="72">
        <f ca="1">SUM(C25:C25)</f>
        <v>0</v>
      </c>
      <c r="D26" s="73">
        <f ca="1">SUM(D25:D25)</f>
        <v>0</v>
      </c>
      <c r="E26" s="8"/>
      <c r="F26" s="72">
        <f ca="1">SUM(F25:F25)</f>
        <v>0</v>
      </c>
      <c r="G26" s="72">
        <f ca="1">SUM(G25:G25)</f>
        <v>0</v>
      </c>
      <c r="H26" s="73">
        <f ca="1">SUM(H25:H25)</f>
        <v>0</v>
      </c>
      <c r="I26" s="8"/>
      <c r="J26" s="73">
        <f ca="1">SUM(J25:J25)</f>
        <v>0</v>
      </c>
    </row>
    <row r="28" spans="1:12" ht="15" customHeight="1" x14ac:dyDescent="0.25">
      <c r="A28" s="6" t="s">
        <v>35</v>
      </c>
    </row>
    <row r="29" spans="1:12" x14ac:dyDescent="0.2">
      <c r="A29" s="34" t="s">
        <v>36</v>
      </c>
      <c r="B29" s="70">
        <f ca="1">IFERROR(SUMIF(INDIRECT("'"&amp;L29&amp;"'!D:D"),"Buy (Accu)",INDIRECT("'"&amp;L29&amp;"'!G:G"))+SUMIF(INDIRECT("'"&amp;L29&amp;"'!D:D"),"Buy (Accu-KO)",INDIRECT("'"&amp;L29&amp;"'!G:G")),0)</f>
        <v>0</v>
      </c>
      <c r="C29" s="70">
        <f ca="1">IFERROR(SUMIF(INDIRECT("'"&amp;L29&amp;"'!D:D"),"Buy (Spot)",INDIRECT("'"&amp;L29&amp;"'!G:G")),0)</f>
        <v>0</v>
      </c>
      <c r="D29" s="71">
        <f ca="1">SUM(B29:C29)</f>
        <v>0</v>
      </c>
      <c r="E29" s="7"/>
      <c r="F29" s="70">
        <f ca="1">IFERROR(SUMIF(INDIRECT("'"&amp;L29&amp;"'!D:D"),"Sell (Decu)",INDIRECT("'"&amp;L29&amp;"'!G:G"))+SUMIF(INDIRECT("'"&amp;L29&amp;"'!D:D"),"Sell (Decu-KO)",INDIRECT("'"&amp;L29&amp;"'!G:G")),0)</f>
        <v>0</v>
      </c>
      <c r="G29" s="70">
        <f ca="1">IFERROR(SUMIF(INDIRECT("'"&amp;L29&amp;"'!D:D"),"Sell (Spot)",INDIRECT("'"&amp;L29&amp;"'!G:G")),0)</f>
        <v>0</v>
      </c>
      <c r="H29" s="71">
        <f ca="1">SUM(F29:G29)</f>
        <v>0</v>
      </c>
      <c r="I29" s="7"/>
      <c r="J29" s="71">
        <f ca="1">SUM(D29,H29)</f>
        <v>0</v>
      </c>
      <c r="L29" s="4" t="s">
        <v>37</v>
      </c>
    </row>
    <row r="30" spans="1:12" x14ac:dyDescent="0.2">
      <c r="A30" s="34" t="s">
        <v>38</v>
      </c>
      <c r="B30" s="70">
        <f ca="1">IFERROR(SUMIF(INDIRECT("'"&amp;L30&amp;"'!D:D"),"Buy (Accu)",INDIRECT("'"&amp;L30&amp;"'!G:G"))+SUMIF(INDIRECT("'"&amp;L30&amp;"'!D:D"),"Buy (Accu-KO)",INDIRECT("'"&amp;L30&amp;"'!G:G")),0)</f>
        <v>0</v>
      </c>
      <c r="C30" s="70">
        <f ca="1">IFERROR(SUMIF(INDIRECT("'"&amp;L30&amp;"'!D:D"),"Buy (Spot)",INDIRECT("'"&amp;L30&amp;"'!G:G")),0)</f>
        <v>0</v>
      </c>
      <c r="D30" s="71">
        <f ca="1">SUM(B30:C30)</f>
        <v>0</v>
      </c>
      <c r="E30" s="7"/>
      <c r="F30" s="70">
        <f ca="1">IFERROR(SUMIF(INDIRECT("'"&amp;L30&amp;"'!D:D"),"Sell (Decu)",INDIRECT("'"&amp;L30&amp;"'!G:G"))+SUMIF(INDIRECT("'"&amp;L30&amp;"'!D:D"),"Sell (Decu-KO)",INDIRECT("'"&amp;L30&amp;"'!G:G")),0)</f>
        <v>0</v>
      </c>
      <c r="G30" s="70">
        <f ca="1">IFERROR(SUMIF(INDIRECT("'"&amp;L30&amp;"'!D:D"),"Sell (Spot)",INDIRECT("'"&amp;L30&amp;"'!G:G")),0)</f>
        <v>0</v>
      </c>
      <c r="H30" s="71">
        <f ca="1">SUM(F30:G30)</f>
        <v>0</v>
      </c>
      <c r="I30" s="7"/>
      <c r="J30" s="71">
        <f ca="1">SUM(D30,H30)</f>
        <v>0</v>
      </c>
      <c r="L30" s="4" t="s">
        <v>39</v>
      </c>
    </row>
    <row r="31" spans="1:12" x14ac:dyDescent="0.2">
      <c r="A31" s="34" t="s">
        <v>27</v>
      </c>
      <c r="B31" s="70">
        <f ca="1">IFERROR(SUMIF(INDIRECT("'"&amp;L31&amp;"'!D:D"),"Buy (Accu)",INDIRECT("'"&amp;L31&amp;"'!G:G"))+SUMIF(INDIRECT("'"&amp;L31&amp;"'!D:D"),"Buy (Accu-KO)",INDIRECT("'"&amp;L31&amp;"'!G:G")),0)</f>
        <v>0</v>
      </c>
      <c r="C31" s="70">
        <f ca="1">IFERROR(SUMIF(INDIRECT("'"&amp;L31&amp;"'!D:D"),"Buy (Spot)",INDIRECT("'"&amp;L31&amp;"'!G:G")),0)</f>
        <v>0</v>
      </c>
      <c r="D31" s="71">
        <f ca="1">SUM(B31:C31)</f>
        <v>0</v>
      </c>
      <c r="E31" s="7"/>
      <c r="F31" s="70">
        <f ca="1">IFERROR(SUMIF(INDIRECT("'"&amp;L31&amp;"'!D:D"),"Sell (Decu)",INDIRECT("'"&amp;L31&amp;"'!G:G"))+SUMIF(INDIRECT("'"&amp;L31&amp;"'!D:D"),"Sell (Decu-KO)",INDIRECT("'"&amp;L31&amp;"'!G:G")),0)</f>
        <v>0</v>
      </c>
      <c r="G31" s="70">
        <f ca="1">IFERROR(SUMIF(INDIRECT("'"&amp;L31&amp;"'!D:D"),"Sell (Spot)",INDIRECT("'"&amp;L31&amp;"'!G:G")),0)</f>
        <v>0</v>
      </c>
      <c r="H31" s="71">
        <f ca="1">SUM(F31:G31)</f>
        <v>0</v>
      </c>
      <c r="I31" s="7"/>
      <c r="J31" s="71">
        <f ca="1">SUM(D31,H31)</f>
        <v>0</v>
      </c>
      <c r="L31" s="4" t="s">
        <v>40</v>
      </c>
    </row>
    <row r="32" spans="1:12" ht="15" customHeight="1" x14ac:dyDescent="0.25">
      <c r="A32" s="8" t="s">
        <v>20</v>
      </c>
      <c r="B32" s="72">
        <f ca="1">SUM(B29:B31)</f>
        <v>0</v>
      </c>
      <c r="C32" s="72">
        <f ca="1">SUM(C29:C31)</f>
        <v>0</v>
      </c>
      <c r="D32" s="73">
        <f ca="1">SUM(D29:D31)</f>
        <v>0</v>
      </c>
      <c r="E32" s="8"/>
      <c r="F32" s="72">
        <f ca="1">SUM(F29:F31)</f>
        <v>0</v>
      </c>
      <c r="G32" s="72">
        <f ca="1">SUM(G29:G31)</f>
        <v>0</v>
      </c>
      <c r="H32" s="73">
        <f ca="1">SUM(H29:H31)</f>
        <v>0</v>
      </c>
      <c r="I32" s="8"/>
      <c r="J32" s="73">
        <f ca="1">SUM(J29:J31)</f>
        <v>0</v>
      </c>
    </row>
    <row r="34" spans="1:10" ht="15" customHeight="1" x14ac:dyDescent="0.25">
      <c r="A34" s="73" t="s">
        <v>41</v>
      </c>
      <c r="B34" s="73">
        <f ca="1">SUM(B9, B13, B18, B22, B32, B26)</f>
        <v>0</v>
      </c>
      <c r="C34" s="73">
        <f ca="1">SUM(C9, C13, C18, C22, C32, C26)</f>
        <v>0</v>
      </c>
      <c r="D34" s="73">
        <f ca="1">SUM(D9, D13, D18, D22, D32, D26)</f>
        <v>0</v>
      </c>
      <c r="E34" s="73"/>
      <c r="F34" s="73">
        <f ca="1">SUM(F9, F13, F18, F22, F32, F26)</f>
        <v>0</v>
      </c>
      <c r="G34" s="73">
        <f ca="1">SUM(G9, G13, G18, G22, G32, G26)</f>
        <v>0</v>
      </c>
      <c r="H34" s="73">
        <f ca="1">SUM(H9, H13, H18, H22, H32, H26)</f>
        <v>0</v>
      </c>
      <c r="I34" s="73"/>
      <c r="J34" s="73">
        <f ca="1">SUM(J9, J13, J18, J22, J32, J26)</f>
        <v>0</v>
      </c>
    </row>
    <row r="35" spans="1:10" ht="15" customHeight="1" x14ac:dyDescent="0.25">
      <c r="D35" s="9" t="s">
        <v>97</v>
      </c>
      <c r="H35" s="9" t="s">
        <v>98</v>
      </c>
    </row>
    <row r="39" spans="1:10" x14ac:dyDescent="0.2">
      <c r="B39" s="69"/>
      <c r="C39" s="69"/>
      <c r="D39" s="69"/>
      <c r="F39" s="69"/>
      <c r="G39" s="69"/>
      <c r="H39" s="69"/>
      <c r="J39" s="69"/>
    </row>
  </sheetData>
  <pageMargins left="0.25" right="0.25" top="0.25" bottom="0.25" header="0.5" footer="0.5"/>
  <pageSetup paperSize="10001"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showOutlineSymbols="0" showWhiteSpace="0" view="pageBreakPreview" zoomScaleNormal="100" zoomScaleSheetLayoutView="100" workbookViewId="0">
      <selection activeCell="A9" sqref="A9"/>
    </sheetView>
  </sheetViews>
  <sheetFormatPr defaultRowHeight="14.25" x14ac:dyDescent="0.2"/>
  <cols>
    <col min="1" max="1" width="23.7109375" style="4" bestFit="1" customWidth="1"/>
    <col min="2" max="4" width="22.5703125" style="4" customWidth="1"/>
    <col min="5" max="5" width="3.5703125" style="4" bestFit="1" customWidth="1"/>
    <col min="6" max="8" width="22.5703125" style="4" customWidth="1"/>
    <col min="9" max="9" width="3.5703125" style="4" bestFit="1" customWidth="1"/>
    <col min="10" max="10" width="22.5703125" style="4" customWidth="1"/>
    <col min="11" max="11" width="9.140625" style="4" customWidth="1"/>
    <col min="12" max="16384" width="9.140625" style="4"/>
  </cols>
  <sheetData>
    <row r="1" spans="1:12" ht="15" customHeight="1" x14ac:dyDescent="0.25">
      <c r="A1" s="10" t="s">
        <v>0</v>
      </c>
    </row>
    <row r="2" spans="1:12" ht="15" customHeight="1" x14ac:dyDescent="0.25">
      <c r="A2" s="10" t="s">
        <v>87</v>
      </c>
    </row>
    <row r="3" spans="1:12" ht="15" customHeight="1" x14ac:dyDescent="0.25">
      <c r="A3" s="10" t="str">
        <f ca="1">INDIRECT("SUMMARY!A3")</f>
        <v>As of November 6, 2020</v>
      </c>
    </row>
    <row r="6" spans="1:12" ht="15" customHeight="1" x14ac:dyDescent="0.2">
      <c r="A6" s="11" t="s">
        <v>4</v>
      </c>
      <c r="B6" s="11" t="s">
        <v>93</v>
      </c>
      <c r="C6" s="11" t="s">
        <v>94</v>
      </c>
      <c r="D6" s="11" t="s">
        <v>20</v>
      </c>
      <c r="E6" s="11"/>
      <c r="F6" s="11" t="s">
        <v>95</v>
      </c>
      <c r="G6" s="11" t="s">
        <v>96</v>
      </c>
      <c r="H6" s="11" t="s">
        <v>20</v>
      </c>
      <c r="I6" s="11"/>
      <c r="J6" s="11" t="s">
        <v>41</v>
      </c>
    </row>
    <row r="7" spans="1:12" ht="15" customHeight="1" x14ac:dyDescent="0.25">
      <c r="A7" s="6" t="s">
        <v>21</v>
      </c>
    </row>
    <row r="8" spans="1:12" x14ac:dyDescent="0.2">
      <c r="A8" s="34" t="s">
        <v>22</v>
      </c>
      <c r="B8" s="74">
        <f ca="1">IFERROR(SUMIF(INDIRECT("'"&amp;L8&amp;"'!D:D"),"Buy (Accu)",INDIRECT("'"&amp;L8&amp;"'!G:G"))+SUMIF(INDIRECT("'"&amp;L8&amp;"'!D:D"),"Buy (Accu-KO)",INDIRECT("'"&amp;L8&amp;"'!G:G")),0)</f>
        <v>0</v>
      </c>
      <c r="C8" s="74">
        <f ca="1">IFERROR(SUMIF(INDIRECT("'"&amp;L8&amp;"'!D:D"),"Buy (Spot)",INDIRECT("'"&amp;L8&amp;"'!G:G")),0)</f>
        <v>0</v>
      </c>
      <c r="D8" s="75">
        <f ca="1">SUM(B8:C8)</f>
        <v>0</v>
      </c>
      <c r="E8" s="13"/>
      <c r="F8" s="74">
        <f ca="1">IFERROR(SUMIF(INDIRECT("'"&amp;L8&amp;"'!D:D"),"Sell (Decu)",INDIRECT("'"&amp;L8&amp;"'!G:G"))+SUMIF(INDIRECT("'"&amp;L8&amp;"'!D:D"),"Sell (Decu-KO)",INDIRECT("'"&amp;L8&amp;"'!G:G")),0)</f>
        <v>0</v>
      </c>
      <c r="G8" s="74">
        <f ca="1">IFERROR(SUMIF(INDIRECT("'"&amp;L8&amp;"'!D:D"),"Sell (Spot)",INDIRECT("'"&amp;L8&amp;"'!G:G")),0)</f>
        <v>0</v>
      </c>
      <c r="H8" s="75">
        <f ca="1">SUM(F8:G8)</f>
        <v>0</v>
      </c>
      <c r="I8" s="13"/>
      <c r="J8" s="75">
        <f ca="1">SUM(D8,H8)</f>
        <v>0</v>
      </c>
      <c r="L8" s="4" t="s">
        <v>108</v>
      </c>
    </row>
    <row r="9" spans="1:12" ht="15" customHeight="1" x14ac:dyDescent="0.25">
      <c r="A9" s="14" t="s">
        <v>20</v>
      </c>
      <c r="B9" s="76">
        <f ca="1">SUM(B8:B8)</f>
        <v>0</v>
      </c>
      <c r="C9" s="76">
        <f ca="1">SUM(C8:C8)</f>
        <v>0</v>
      </c>
      <c r="D9" s="77">
        <f ca="1">SUM(D8:D8)</f>
        <v>0</v>
      </c>
      <c r="E9" s="14"/>
      <c r="F9" s="76">
        <f ca="1">SUM(F8:F8)</f>
        <v>0</v>
      </c>
      <c r="G9" s="76">
        <f ca="1">SUM(G8:G8)</f>
        <v>0</v>
      </c>
      <c r="H9" s="77">
        <f ca="1">SUM(H8:H8)</f>
        <v>0</v>
      </c>
      <c r="I9" s="14"/>
      <c r="J9" s="77">
        <f ca="1">SUM(J8:J8)</f>
        <v>0</v>
      </c>
    </row>
    <row r="11" spans="1:12" ht="15" customHeight="1" x14ac:dyDescent="0.25">
      <c r="A11" s="77" t="s">
        <v>41</v>
      </c>
      <c r="B11" s="77">
        <f ca="1">SUM(B9)</f>
        <v>0</v>
      </c>
      <c r="C11" s="77">
        <f ca="1">SUM(C9)</f>
        <v>0</v>
      </c>
      <c r="D11" s="77">
        <f ca="1">SUM(D9)</f>
        <v>0</v>
      </c>
      <c r="E11" s="77"/>
      <c r="F11" s="77">
        <f ca="1">SUM(F9)</f>
        <v>0</v>
      </c>
      <c r="G11" s="77">
        <f ca="1">SUM(G9)</f>
        <v>0</v>
      </c>
      <c r="H11" s="77">
        <f ca="1">SUM(H9)</f>
        <v>0</v>
      </c>
      <c r="I11" s="77"/>
      <c r="J11" s="77">
        <f ca="1">SUM(J9)</f>
        <v>0</v>
      </c>
    </row>
    <row r="12" spans="1:12" ht="15" customHeight="1" x14ac:dyDescent="0.25">
      <c r="D12" s="9" t="s">
        <v>97</v>
      </c>
      <c r="H12" s="9" t="s">
        <v>98</v>
      </c>
    </row>
  </sheetData>
  <pageMargins left="0.25" right="0.25" top="0.75" bottom="0.25" header="0.5" footer="0.5"/>
  <pageSetup paperSize="10001" scale="85" fitToHeight="10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2"/>
  <sheetViews>
    <sheetView showOutlineSymbols="0" showWhiteSpace="0" view="pageBreakPreview" zoomScaleNormal="100" zoomScaleSheetLayoutView="100" workbookViewId="0">
      <selection activeCell="A17" sqref="A17"/>
    </sheetView>
  </sheetViews>
  <sheetFormatPr defaultRowHeight="14.25" x14ac:dyDescent="0.2"/>
  <cols>
    <col min="1" max="1" width="23.7109375" style="4" bestFit="1" customWidth="1"/>
    <col min="2" max="4" width="22.5703125" style="4" customWidth="1"/>
    <col min="5" max="5" width="3.5703125" style="4" bestFit="1" customWidth="1"/>
    <col min="6" max="8" width="22.5703125" style="4" customWidth="1"/>
    <col min="9" max="9" width="3.5703125" style="4" bestFit="1" customWidth="1"/>
    <col min="10" max="10" width="22.5703125" style="4" customWidth="1"/>
    <col min="11" max="11" width="9.140625" style="4" customWidth="1"/>
    <col min="12" max="16384" width="9.140625" style="4"/>
  </cols>
  <sheetData>
    <row r="1" spans="1:12" ht="15" customHeight="1" x14ac:dyDescent="0.25">
      <c r="A1" s="10" t="s">
        <v>0</v>
      </c>
    </row>
    <row r="2" spans="1:12" ht="15" customHeight="1" x14ac:dyDescent="0.25">
      <c r="A2" s="10" t="s">
        <v>86</v>
      </c>
    </row>
    <row r="3" spans="1:12" ht="15" customHeight="1" x14ac:dyDescent="0.25">
      <c r="A3" s="10" t="str">
        <f ca="1">INDIRECT("SUMMARY!A3")</f>
        <v>As of November 6, 2020</v>
      </c>
    </row>
    <row r="6" spans="1:12" ht="15" customHeight="1" x14ac:dyDescent="0.2">
      <c r="A6" s="11" t="s">
        <v>4</v>
      </c>
      <c r="B6" s="11" t="s">
        <v>93</v>
      </c>
      <c r="C6" s="11" t="s">
        <v>94</v>
      </c>
      <c r="D6" s="11" t="s">
        <v>20</v>
      </c>
      <c r="E6" s="11"/>
      <c r="F6" s="11" t="s">
        <v>95</v>
      </c>
      <c r="G6" s="11" t="s">
        <v>96</v>
      </c>
      <c r="H6" s="11" t="s">
        <v>20</v>
      </c>
      <c r="I6" s="11"/>
      <c r="J6" s="11" t="s">
        <v>41</v>
      </c>
    </row>
    <row r="7" spans="1:12" ht="15" customHeight="1" x14ac:dyDescent="0.25">
      <c r="A7" s="12" t="s">
        <v>35</v>
      </c>
    </row>
    <row r="8" spans="1:12" x14ac:dyDescent="0.2">
      <c r="A8" s="20" t="s">
        <v>27</v>
      </c>
      <c r="B8" s="74">
        <f ca="1">IFERROR(SUMIF(INDIRECT("'"&amp;L8&amp;"'!D:D"),"Buy (Accu)",INDIRECT("'"&amp;L8&amp;"'!G:G"))+SUMIF(INDIRECT("'"&amp;L8&amp;"'!D:D"),"Buy (Accu-KO)",INDIRECT("'"&amp;L8&amp;"'!G:G")),0)</f>
        <v>0</v>
      </c>
      <c r="C8" s="74">
        <f ca="1">IFERROR(SUMIF(INDIRECT("'"&amp;L8&amp;"'!D:D"),"Buy (Spot)",INDIRECT("'"&amp;L8&amp;"'!G:G")),0)</f>
        <v>0</v>
      </c>
      <c r="D8" s="78">
        <f ca="1">SUM(B8:C8)</f>
        <v>0</v>
      </c>
      <c r="E8" s="13"/>
      <c r="F8" s="74">
        <f ca="1">IFERROR(SUMIF(INDIRECT("'"&amp;L8&amp;"'!D:D"),"Sell (Decu)",INDIRECT("'"&amp;L8&amp;"'!G:G"))+SUMIF(INDIRECT("'"&amp;L8&amp;"'!D:D"),"Sell (Decu-KO)",INDIRECT("'"&amp;L8&amp;"'!G:G")),0)</f>
        <v>0</v>
      </c>
      <c r="G8" s="74">
        <f ca="1">IFERROR(SUMIF(INDIRECT("'"&amp;L8&amp;"'!D:D"),"Sell (Spot)",INDIRECT("'"&amp;L8&amp;"'!G:G")),0)</f>
        <v>0</v>
      </c>
      <c r="H8" s="78">
        <f ca="1">SUM(F8:G8)</f>
        <v>0</v>
      </c>
      <c r="I8" s="13"/>
      <c r="J8" s="78">
        <f ca="1">SUM(D8,H8)</f>
        <v>0</v>
      </c>
      <c r="L8" s="4" t="s">
        <v>99</v>
      </c>
    </row>
    <row r="9" spans="1:12" ht="15" customHeight="1" x14ac:dyDescent="0.25">
      <c r="A9" s="14" t="s">
        <v>20</v>
      </c>
      <c r="B9" s="76">
        <f ca="1">SUM(B8:B8)</f>
        <v>0</v>
      </c>
      <c r="C9" s="76">
        <f ca="1">SUM(C8:C8)</f>
        <v>0</v>
      </c>
      <c r="D9" s="79">
        <f ca="1">SUM(D8:D8)</f>
        <v>0</v>
      </c>
      <c r="E9" s="14"/>
      <c r="F9" s="76">
        <f ca="1">SUM(F8:F8)</f>
        <v>0</v>
      </c>
      <c r="G9" s="76">
        <f ca="1">SUM(G8:G8)</f>
        <v>0</v>
      </c>
      <c r="H9" s="79">
        <f ca="1">SUM(H8:H8)</f>
        <v>0</v>
      </c>
      <c r="I9" s="14"/>
      <c r="J9" s="79">
        <f ca="1">SUM(J8:J8)</f>
        <v>0</v>
      </c>
    </row>
    <row r="11" spans="1:12" ht="15" customHeight="1" x14ac:dyDescent="0.25">
      <c r="A11" s="79" t="s">
        <v>41</v>
      </c>
      <c r="B11" s="79">
        <f ca="1">SUM(B9)</f>
        <v>0</v>
      </c>
      <c r="C11" s="79">
        <f ca="1">SUM(C9)</f>
        <v>0</v>
      </c>
      <c r="D11" s="79">
        <f ca="1">SUM(D9)</f>
        <v>0</v>
      </c>
      <c r="E11" s="79"/>
      <c r="F11" s="79">
        <f ca="1">SUM(F9)</f>
        <v>0</v>
      </c>
      <c r="G11" s="79">
        <f ca="1">SUM(G9)</f>
        <v>0</v>
      </c>
      <c r="H11" s="79">
        <f ca="1">SUM(H9)</f>
        <v>0</v>
      </c>
      <c r="I11" s="79"/>
      <c r="J11" s="79">
        <f ca="1">SUM(J9)</f>
        <v>0</v>
      </c>
    </row>
    <row r="12" spans="1:12" ht="15" customHeight="1" x14ac:dyDescent="0.25">
      <c r="D12" s="9" t="s">
        <v>97</v>
      </c>
      <c r="H12" s="9" t="s">
        <v>98</v>
      </c>
    </row>
  </sheetData>
  <pageMargins left="0.25" right="0.25" top="0.75" bottom="0.25" header="0.5" footer="0.5"/>
  <pageSetup paperSize="10001" scale="85" fitToHeight="10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27"/>
  <sheetViews>
    <sheetView showOutlineSymbols="0" showWhiteSpace="0" view="pageBreakPreview" zoomScaleNormal="100" zoomScaleSheetLayoutView="100" workbookViewId="0">
      <selection activeCell="D24" sqref="D24"/>
    </sheetView>
  </sheetViews>
  <sheetFormatPr defaultRowHeight="14.25" x14ac:dyDescent="0.2"/>
  <cols>
    <col min="1" max="1" width="23.7109375" style="4" bestFit="1" customWidth="1"/>
    <col min="2" max="4" width="22.5703125" style="4" customWidth="1"/>
    <col min="5" max="5" width="3.5703125" style="4" bestFit="1" customWidth="1"/>
    <col min="6" max="8" width="22.5703125" style="4" customWidth="1"/>
    <col min="9" max="9" width="3.5703125" style="4" bestFit="1" customWidth="1"/>
    <col min="10" max="10" width="22.5703125" style="4" customWidth="1"/>
    <col min="11" max="11" width="9.140625" style="4" customWidth="1"/>
    <col min="12" max="16384" width="9.140625" style="4"/>
  </cols>
  <sheetData>
    <row r="1" spans="1:12" ht="15" customHeight="1" x14ac:dyDescent="0.25">
      <c r="A1" s="10" t="s">
        <v>0</v>
      </c>
    </row>
    <row r="2" spans="1:12" ht="15" customHeight="1" x14ac:dyDescent="0.25">
      <c r="A2" s="10" t="s">
        <v>88</v>
      </c>
    </row>
    <row r="3" spans="1:12" ht="15" customHeight="1" x14ac:dyDescent="0.25">
      <c r="A3" s="10" t="str">
        <f ca="1">INDIRECT("SUMMARY!A3")</f>
        <v>As of November 6, 2020</v>
      </c>
    </row>
    <row r="6" spans="1:12" ht="15" customHeight="1" x14ac:dyDescent="0.2">
      <c r="A6" s="11" t="s">
        <v>4</v>
      </c>
      <c r="B6" s="11" t="s">
        <v>93</v>
      </c>
      <c r="C6" s="11" t="s">
        <v>94</v>
      </c>
      <c r="D6" s="11" t="s">
        <v>20</v>
      </c>
      <c r="E6" s="11"/>
      <c r="F6" s="11" t="s">
        <v>95</v>
      </c>
      <c r="G6" s="11" t="s">
        <v>96</v>
      </c>
      <c r="H6" s="11" t="s">
        <v>20</v>
      </c>
      <c r="I6" s="11"/>
      <c r="J6" s="11" t="s">
        <v>41</v>
      </c>
    </row>
    <row r="7" spans="1:12" ht="15" customHeight="1" x14ac:dyDescent="0.25">
      <c r="A7" s="12" t="s">
        <v>21</v>
      </c>
    </row>
    <row r="8" spans="1:12" x14ac:dyDescent="0.2">
      <c r="A8" s="20" t="s">
        <v>22</v>
      </c>
      <c r="B8" s="74">
        <f ca="1">IFERROR(SUMIF(INDIRECT("'"&amp;L8&amp;"'!D:D"),"Buy (Accu)",INDIRECT("'"&amp;L8&amp;"'!G:G"))+SUMIF(INDIRECT("'"&amp;L8&amp;"'!D:D"),"Buy (Accu-KO)",INDIRECT("'"&amp;L8&amp;"'!G:G")),0)</f>
        <v>0</v>
      </c>
      <c r="C8" s="74">
        <f ca="1">IFERROR(SUMIF(INDIRECT("'"&amp;L8&amp;"'!D:D"),"Buy (Spot)",INDIRECT("'"&amp;L8&amp;"'!G:G")),0)</f>
        <v>0</v>
      </c>
      <c r="D8" s="80">
        <f ca="1">SUM(B8:C8)</f>
        <v>0</v>
      </c>
      <c r="E8" s="13"/>
      <c r="F8" s="74">
        <f ca="1">IFERROR(SUMIF(INDIRECT("'"&amp;L8&amp;"'!D:D"),"Sell (Decu)",INDIRECT("'"&amp;L8&amp;"'!G:G"))+SUMIF(INDIRECT("'"&amp;L8&amp;"'!D:D"),"Sell (Decu-KO)",INDIRECT("'"&amp;L8&amp;"'!G:G")),0)</f>
        <v>0</v>
      </c>
      <c r="G8" s="74">
        <f ca="1">IFERROR(SUMIF(INDIRECT("'"&amp;L8&amp;"'!D:D"),"Sell (Spot)",INDIRECT("'"&amp;L8&amp;"'!G:G")),0)</f>
        <v>0</v>
      </c>
      <c r="H8" s="80">
        <f ca="1">SUM(F8:G8)</f>
        <v>0</v>
      </c>
      <c r="I8" s="13"/>
      <c r="J8" s="80">
        <f ca="1">SUM(D8,H8)</f>
        <v>0</v>
      </c>
      <c r="L8" s="4" t="s">
        <v>100</v>
      </c>
    </row>
    <row r="9" spans="1:12" ht="15" customHeight="1" x14ac:dyDescent="0.25">
      <c r="A9" s="14" t="s">
        <v>20</v>
      </c>
      <c r="B9" s="76">
        <f ca="1">SUM(B8:B8)</f>
        <v>0</v>
      </c>
      <c r="C9" s="76">
        <f ca="1">SUM(C8:C8)</f>
        <v>0</v>
      </c>
      <c r="D9" s="81">
        <f ca="1">SUM(D8:D8)</f>
        <v>0</v>
      </c>
      <c r="E9" s="14"/>
      <c r="F9" s="76">
        <f ca="1">SUM(F8:F8)</f>
        <v>0</v>
      </c>
      <c r="G9" s="76">
        <f ca="1">SUM(G8:G8)</f>
        <v>0</v>
      </c>
      <c r="H9" s="81">
        <f ca="1">SUM(H8:H8)</f>
        <v>0</v>
      </c>
      <c r="I9" s="14"/>
      <c r="J9" s="81">
        <f ca="1">SUM(J8:J8)</f>
        <v>0</v>
      </c>
    </row>
    <row r="10" spans="1:12" hidden="1" x14ac:dyDescent="0.2"/>
    <row r="11" spans="1:12" ht="15" hidden="1" customHeight="1" x14ac:dyDescent="0.25">
      <c r="A11" s="12" t="s">
        <v>101</v>
      </c>
    </row>
    <row r="12" spans="1:12" hidden="1" x14ac:dyDescent="0.2">
      <c r="A12" s="20" t="s">
        <v>79</v>
      </c>
      <c r="B12" s="74">
        <f ca="1">IFERROR(SUMIF(INDIRECT("'"&amp;L12&amp;"'!D:D"),"Buy (Accu)",INDIRECT("'"&amp;L12&amp;"'!G:G"))+SUMIF(INDIRECT("'"&amp;L12&amp;"'!D:D"),"Buy (Accu-KO)",INDIRECT("'"&amp;L12&amp;"'!G:G")),0)</f>
        <v>0</v>
      </c>
      <c r="C12" s="74">
        <f ca="1">IFERROR(SUMIF(INDIRECT("'"&amp;L12&amp;"'!D:D"),"Buy (Spot)",INDIRECT("'"&amp;L12&amp;"'!G:G")),0)</f>
        <v>0</v>
      </c>
      <c r="D12" s="80">
        <f ca="1">SUM(B12:C12)</f>
        <v>0</v>
      </c>
      <c r="E12" s="13"/>
      <c r="F12" s="74">
        <f ca="1">IFERROR(SUMIF(INDIRECT("'"&amp;L12&amp;"'!D:D"),"Sell (Decu)",INDIRECT("'"&amp;L12&amp;"'!G:G"))+SUMIF(INDIRECT("'"&amp;L12&amp;"'!D:D"),"Sell (Decu-KO)",INDIRECT("'"&amp;L12&amp;"'!G:G")),0)</f>
        <v>0</v>
      </c>
      <c r="G12" s="74">
        <f ca="1">IFERROR(SUMIF(INDIRECT("'"&amp;L12&amp;"'!D:D"),"Sell (Spot)",INDIRECT("'"&amp;L12&amp;"'!G:G")),0)</f>
        <v>0</v>
      </c>
      <c r="H12" s="80">
        <f ca="1">SUM(F12:G12)</f>
        <v>0</v>
      </c>
      <c r="I12" s="13"/>
      <c r="J12" s="80">
        <f ca="1">SUM(D12,H12)</f>
        <v>0</v>
      </c>
      <c r="L12" s="4" t="s">
        <v>102</v>
      </c>
    </row>
    <row r="13" spans="1:12" ht="15" hidden="1" customHeight="1" x14ac:dyDescent="0.25">
      <c r="A13" s="14" t="s">
        <v>20</v>
      </c>
      <c r="B13" s="76">
        <f ca="1">SUM(B12:B12)</f>
        <v>0</v>
      </c>
      <c r="C13" s="76">
        <f ca="1">SUM(C12:C12)</f>
        <v>0</v>
      </c>
      <c r="D13" s="81">
        <f ca="1">SUM(D12:D12)</f>
        <v>0</v>
      </c>
      <c r="E13" s="14"/>
      <c r="F13" s="76">
        <f ca="1">SUM(F12:F12)</f>
        <v>0</v>
      </c>
      <c r="G13" s="76">
        <f ca="1">SUM(G12:G12)</f>
        <v>0</v>
      </c>
      <c r="H13" s="81">
        <f ca="1">SUM(H12:H12)</f>
        <v>0</v>
      </c>
      <c r="I13" s="14"/>
      <c r="J13" s="81">
        <f ca="1">SUM(J12:J12)</f>
        <v>0</v>
      </c>
    </row>
    <row r="14" spans="1:12" hidden="1" x14ac:dyDescent="0.2"/>
    <row r="15" spans="1:12" ht="15" hidden="1" customHeight="1" x14ac:dyDescent="0.25">
      <c r="A15" s="6" t="s">
        <v>35</v>
      </c>
    </row>
    <row r="16" spans="1:12" hidden="1" x14ac:dyDescent="0.2">
      <c r="A16" s="20" t="s">
        <v>36</v>
      </c>
      <c r="B16" s="74">
        <f ca="1">IFERROR(SUMIF(INDIRECT("'"&amp;L16&amp;"'!D:D"),"Buy (Accu)",INDIRECT("'"&amp;L16&amp;"'!G:G"))+SUMIF(INDIRECT("'"&amp;L16&amp;"'!D:D"),"Buy (Accu-KO)",INDIRECT("'"&amp;L16&amp;"'!G:G")),0)</f>
        <v>0</v>
      </c>
      <c r="C16" s="74">
        <f ca="1">IFERROR(SUMIF(INDIRECT("'"&amp;L16&amp;"'!D:D"),"Buy (Spot)",INDIRECT("'"&amp;L16&amp;"'!G:G")),0)</f>
        <v>0</v>
      </c>
      <c r="D16" s="80">
        <f ca="1">SUM(B16:C16)</f>
        <v>0</v>
      </c>
      <c r="E16" s="13"/>
      <c r="F16" s="74">
        <f ca="1">IFERROR(SUMIF(INDIRECT("'"&amp;L16&amp;"'!D:D"),"Sell (Decu)",INDIRECT("'"&amp;L16&amp;"'!G:G"))+SUMIF(INDIRECT("'"&amp;L16&amp;"'!D:D"),"Sell (Decu-KO)",INDIRECT("'"&amp;L16&amp;"'!G:G")),0)</f>
        <v>0</v>
      </c>
      <c r="G16" s="74">
        <f ca="1">IFERROR(SUMIF(INDIRECT("'"&amp;L16&amp;"'!D:D"),"Sell (Spot)",INDIRECT("'"&amp;L16&amp;"'!G:G")),0)</f>
        <v>0</v>
      </c>
      <c r="H16" s="80">
        <f ca="1">SUM(F16:G16)</f>
        <v>0</v>
      </c>
      <c r="I16" s="13"/>
      <c r="J16" s="80">
        <f ca="1">SUM(D16,H16)</f>
        <v>0</v>
      </c>
      <c r="L16" s="4" t="s">
        <v>103</v>
      </c>
    </row>
    <row r="17" spans="1:12" hidden="1" x14ac:dyDescent="0.2">
      <c r="A17" s="20" t="s">
        <v>38</v>
      </c>
      <c r="B17" s="74">
        <f ca="1">IFERROR(SUMIF(INDIRECT("'"&amp;L17&amp;"'!D:D"),"Buy (Accu)",INDIRECT("'"&amp;L17&amp;"'!G:G"))+SUMIF(INDIRECT("'"&amp;L17&amp;"'!D:D"),"Buy (Accu-KO)",INDIRECT("'"&amp;L17&amp;"'!G:G")),0)</f>
        <v>0</v>
      </c>
      <c r="C17" s="74">
        <f ca="1">IFERROR(SUMIF(INDIRECT("'"&amp;L17&amp;"'!D:D"),"Buy (Spot)",INDIRECT("'"&amp;L17&amp;"'!G:G")),0)</f>
        <v>0</v>
      </c>
      <c r="D17" s="80">
        <f ca="1">SUM(B17:C17)</f>
        <v>0</v>
      </c>
      <c r="E17" s="13"/>
      <c r="F17" s="74">
        <f ca="1">IFERROR(SUMIF(INDIRECT("'"&amp;L17&amp;"'!D:D"),"Sell (Decu)",INDIRECT("'"&amp;L17&amp;"'!G:G"))+SUMIF(INDIRECT("'"&amp;L17&amp;"'!D:D"),"Sell (Decu-KO)",INDIRECT("'"&amp;L17&amp;"'!G:G")),0)</f>
        <v>0</v>
      </c>
      <c r="G17" s="74">
        <f ca="1">IFERROR(SUMIF(INDIRECT("'"&amp;L17&amp;"'!D:D"),"Sell (Spot)",INDIRECT("'"&amp;L17&amp;"'!G:G")),0)</f>
        <v>0</v>
      </c>
      <c r="H17" s="80">
        <f ca="1">SUM(F17:G17)</f>
        <v>0</v>
      </c>
      <c r="I17" s="13"/>
      <c r="J17" s="80">
        <f ca="1">SUM(D17,H17)</f>
        <v>0</v>
      </c>
      <c r="L17" s="4" t="s">
        <v>104</v>
      </c>
    </row>
    <row r="18" spans="1:12" hidden="1" x14ac:dyDescent="0.2">
      <c r="A18" s="20" t="s">
        <v>27</v>
      </c>
      <c r="B18" s="74">
        <f ca="1">IFERROR(SUMIF(INDIRECT("'"&amp;L18&amp;"'!D:D"),"Buy (Accu)",INDIRECT("'"&amp;L18&amp;"'!G:G"))+SUMIF(INDIRECT("'"&amp;L18&amp;"'!D:D"),"Buy (Accu-KO)",INDIRECT("'"&amp;L18&amp;"'!G:G")),0)</f>
        <v>0</v>
      </c>
      <c r="C18" s="74">
        <f ca="1">IFERROR(SUMIF(INDIRECT("'"&amp;L18&amp;"'!D:D"),"Buy (Spot)",INDIRECT("'"&amp;L18&amp;"'!G:G")),0)</f>
        <v>0</v>
      </c>
      <c r="D18" s="80">
        <f ca="1">SUM(B18:C18)</f>
        <v>0</v>
      </c>
      <c r="E18" s="13"/>
      <c r="F18" s="74">
        <f ca="1">IFERROR(SUMIF(INDIRECT("'"&amp;L18&amp;"'!D:D"),"Sell (Decu)",INDIRECT("'"&amp;L18&amp;"'!G:G"))+SUMIF(INDIRECT("'"&amp;L18&amp;"'!D:D"),"Sell (Decu-KO)",INDIRECT("'"&amp;L18&amp;"'!G:G")),0)</f>
        <v>0</v>
      </c>
      <c r="G18" s="74">
        <f ca="1">IFERROR(SUMIF(INDIRECT("'"&amp;L18&amp;"'!D:D"),"Sell (Spot)",INDIRECT("'"&amp;L18&amp;"'!G:G")),0)</f>
        <v>0</v>
      </c>
      <c r="H18" s="80">
        <f ca="1">SUM(F18:G18)</f>
        <v>0</v>
      </c>
      <c r="I18" s="13"/>
      <c r="J18" s="80">
        <f ca="1">SUM(D18,H18)</f>
        <v>0</v>
      </c>
      <c r="L18" s="4" t="s">
        <v>105</v>
      </c>
    </row>
    <row r="19" spans="1:12" ht="15" hidden="1" customHeight="1" x14ac:dyDescent="0.25">
      <c r="A19" s="14" t="s">
        <v>20</v>
      </c>
      <c r="B19" s="76">
        <f ca="1">SUM(B16:B18)</f>
        <v>0</v>
      </c>
      <c r="C19" s="76">
        <f ca="1">SUM(C16:C18)</f>
        <v>0</v>
      </c>
      <c r="D19" s="81">
        <f ca="1">SUM(D16:D18)</f>
        <v>0</v>
      </c>
      <c r="E19" s="14"/>
      <c r="F19" s="76">
        <f ca="1">SUM(F16:F18)</f>
        <v>0</v>
      </c>
      <c r="G19" s="76">
        <f ca="1">SUM(G16:G18)</f>
        <v>0</v>
      </c>
      <c r="H19" s="81">
        <f ca="1">SUM(H16:H18)</f>
        <v>0</v>
      </c>
      <c r="I19" s="14"/>
      <c r="J19" s="81">
        <f ca="1">SUM(J16:J18)</f>
        <v>0</v>
      </c>
    </row>
    <row r="21" spans="1:12" ht="15" customHeight="1" x14ac:dyDescent="0.25">
      <c r="A21" s="12" t="s">
        <v>24</v>
      </c>
    </row>
    <row r="22" spans="1:12" x14ac:dyDescent="0.2">
      <c r="A22" s="34" t="s">
        <v>25</v>
      </c>
      <c r="B22" s="74">
        <f ca="1">IFERROR(SUMIF(INDIRECT("'"&amp;L22&amp;"'!D:D"),"Buy (Accu)",INDIRECT("'"&amp;L22&amp;"'!G:G"))+SUMIF(INDIRECT("'"&amp;L22&amp;"'!D:D"),"Buy (Accu-KO)",INDIRECT("'"&amp;L22&amp;"'!G:G")),0)</f>
        <v>0</v>
      </c>
      <c r="C22" s="74">
        <f ca="1">IFERROR(SUMIF(INDIRECT("'"&amp;L22&amp;"'!D:D"),"Buy (Spot)",INDIRECT("'"&amp;L22&amp;"'!G:G")),0)</f>
        <v>0</v>
      </c>
      <c r="D22" s="80">
        <f ca="1">SUM(B22:C22)</f>
        <v>0</v>
      </c>
      <c r="E22" s="13"/>
      <c r="F22" s="74">
        <f ca="1">IFERROR(SUMIF(INDIRECT("'"&amp;L22&amp;"'!D:D"),"Sell (Decu)",INDIRECT("'"&amp;L22&amp;"'!G:G"))+SUMIF(INDIRECT("'"&amp;L22&amp;"'!D:D"),"Sell (Decu-KO)",INDIRECT("'"&amp;L22&amp;"'!G:G")),0)</f>
        <v>0</v>
      </c>
      <c r="G22" s="74">
        <f ca="1">IFERROR(SUMIF(INDIRECT("'"&amp;L22&amp;"'!D:D"),"Sell (Spot)",INDIRECT("'"&amp;L22&amp;"'!G:G")),0)</f>
        <v>0</v>
      </c>
      <c r="H22" s="80">
        <f ca="1">SUM(F22:G22)</f>
        <v>0</v>
      </c>
      <c r="I22" s="13"/>
      <c r="J22" s="80">
        <f ca="1">SUM(D22,H22)</f>
        <v>0</v>
      </c>
      <c r="L22" s="4" t="s">
        <v>114</v>
      </c>
    </row>
    <row r="23" spans="1:12" x14ac:dyDescent="0.2">
      <c r="A23" s="20" t="s">
        <v>27</v>
      </c>
      <c r="B23" s="74">
        <f ca="1">IFERROR(SUMIF(INDIRECT("'"&amp;L23&amp;"'!D:D"),"Buy (Accu)",INDIRECT("'"&amp;L23&amp;"'!G:G"))+SUMIF(INDIRECT("'"&amp;L23&amp;"'!D:D"),"Buy (Accu-KO)",INDIRECT("'"&amp;L23&amp;"'!G:G")),0)</f>
        <v>0</v>
      </c>
      <c r="C23" s="74">
        <f ca="1">IFERROR(SUMIF(INDIRECT("'"&amp;L23&amp;"'!D:D"),"Buy (Spot)",INDIRECT("'"&amp;L23&amp;"'!G:G")),0)</f>
        <v>0</v>
      </c>
      <c r="D23" s="80">
        <f ca="1">SUM(B23:C23)</f>
        <v>0</v>
      </c>
      <c r="E23" s="13"/>
      <c r="F23" s="74">
        <f ca="1">IFERROR(SUMIF(INDIRECT("'"&amp;L23&amp;"'!D:D"),"Sell (Decu)",INDIRECT("'"&amp;L23&amp;"'!G:G"))+SUMIF(INDIRECT("'"&amp;L23&amp;"'!D:D"),"Sell (Decu-KO)",INDIRECT("'"&amp;L23&amp;"'!G:G")),0)</f>
        <v>0</v>
      </c>
      <c r="G23" s="74">
        <f ca="1">IFERROR(SUMIF(INDIRECT("'"&amp;L23&amp;"'!D:D"),"Sell (Spot)",INDIRECT("'"&amp;L23&amp;"'!G:G")),0)</f>
        <v>0</v>
      </c>
      <c r="H23" s="80">
        <f ca="1">SUM(F23:G23)</f>
        <v>0</v>
      </c>
      <c r="I23" s="13"/>
      <c r="J23" s="80">
        <f ca="1">SUM(D23,H23)</f>
        <v>0</v>
      </c>
      <c r="L23" s="4" t="s">
        <v>115</v>
      </c>
    </row>
    <row r="24" spans="1:12" ht="15" customHeight="1" x14ac:dyDescent="0.25">
      <c r="A24" s="14" t="s">
        <v>20</v>
      </c>
      <c r="B24" s="76">
        <f ca="1">SUM(B22:B23)</f>
        <v>0</v>
      </c>
      <c r="C24" s="76">
        <f ca="1">SUM(C22:C23)</f>
        <v>0</v>
      </c>
      <c r="D24" s="81">
        <f ca="1">SUM(D22:D23)</f>
        <v>0</v>
      </c>
      <c r="E24" s="14"/>
      <c r="F24" s="76">
        <f ca="1">SUM(F22:F23)</f>
        <v>0</v>
      </c>
      <c r="G24" s="76">
        <f ca="1">SUM(G22:G23)</f>
        <v>0</v>
      </c>
      <c r="H24" s="81">
        <f ca="1">SUM(H22:H23)</f>
        <v>0</v>
      </c>
      <c r="I24" s="14"/>
      <c r="J24" s="81">
        <f ca="1">SUM(J22:J23)</f>
        <v>0</v>
      </c>
    </row>
    <row r="26" spans="1:12" ht="15" customHeight="1" x14ac:dyDescent="0.25">
      <c r="A26" s="81" t="s">
        <v>41</v>
      </c>
      <c r="B26" s="81">
        <f ca="1">SUM(B24,B9, B13,B19)</f>
        <v>0</v>
      </c>
      <c r="C26" s="81">
        <f ca="1">SUM(C24,C9, C13,C19)</f>
        <v>0</v>
      </c>
      <c r="D26" s="81">
        <f ca="1">SUM(D24,D9, D13,D19)</f>
        <v>0</v>
      </c>
      <c r="E26" s="81"/>
      <c r="F26" s="81">
        <f ca="1">SUM(F24,F9, F13,F19)</f>
        <v>0</v>
      </c>
      <c r="G26" s="81">
        <f ca="1">SUM(G24,G9, G13,G19)</f>
        <v>0</v>
      </c>
      <c r="H26" s="81">
        <f ca="1">SUM(H24,H9, H13,H19)</f>
        <v>0</v>
      </c>
      <c r="I26" s="81"/>
      <c r="J26" s="81">
        <f ca="1">SUM(J24,J9, J13,J19)</f>
        <v>0</v>
      </c>
    </row>
    <row r="27" spans="1:12" ht="15" customHeight="1" x14ac:dyDescent="0.25">
      <c r="D27" s="9" t="s">
        <v>97</v>
      </c>
      <c r="H27" s="9" t="s">
        <v>98</v>
      </c>
    </row>
  </sheetData>
  <pageMargins left="0.25" right="0.25" top="0.75" bottom="0.25" header="0.5" footer="0.5"/>
  <pageSetup paperSize="10001" scale="85" fitToHeight="10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6"/>
  <sheetViews>
    <sheetView showOutlineSymbols="0" showWhiteSpace="0" view="pageBreakPreview" zoomScaleNormal="100" zoomScaleSheetLayoutView="100" workbookViewId="0">
      <selection activeCell="A15" sqref="A15"/>
    </sheetView>
  </sheetViews>
  <sheetFormatPr defaultRowHeight="14.25" x14ac:dyDescent="0.2"/>
  <cols>
    <col min="1" max="1" width="23.7109375" style="4" bestFit="1" customWidth="1"/>
    <col min="2" max="4" width="22.5703125" style="4" customWidth="1"/>
    <col min="5" max="5" width="3.5703125" style="4" bestFit="1" customWidth="1"/>
    <col min="6" max="8" width="22.5703125" style="4" customWidth="1"/>
    <col min="9" max="9" width="3.5703125" style="4" bestFit="1" customWidth="1"/>
    <col min="10" max="10" width="22.5703125" style="4" customWidth="1"/>
    <col min="11" max="11" width="9.140625" style="4" customWidth="1"/>
    <col min="12" max="16384" width="9.140625" style="4"/>
  </cols>
  <sheetData>
    <row r="1" spans="1:12" ht="15" customHeight="1" x14ac:dyDescent="0.25">
      <c r="A1" s="10" t="s">
        <v>0</v>
      </c>
    </row>
    <row r="2" spans="1:12" ht="15" customHeight="1" x14ac:dyDescent="0.25">
      <c r="A2" s="3" t="s">
        <v>106</v>
      </c>
    </row>
    <row r="3" spans="1:12" ht="15" customHeight="1" x14ac:dyDescent="0.25">
      <c r="A3" s="10" t="str">
        <f ca="1">INDIRECT("SUMMARY!A3")</f>
        <v>As of November 6, 2020</v>
      </c>
    </row>
    <row r="6" spans="1:12" ht="15" customHeight="1" x14ac:dyDescent="0.2">
      <c r="A6" s="11" t="s">
        <v>4</v>
      </c>
      <c r="B6" s="11" t="s">
        <v>93</v>
      </c>
      <c r="C6" s="11" t="s">
        <v>94</v>
      </c>
      <c r="D6" s="11" t="s">
        <v>20</v>
      </c>
      <c r="E6" s="11"/>
      <c r="F6" s="11" t="s">
        <v>95</v>
      </c>
      <c r="G6" s="11" t="s">
        <v>96</v>
      </c>
      <c r="H6" s="11" t="s">
        <v>20</v>
      </c>
      <c r="I6" s="11"/>
      <c r="J6" s="11" t="s">
        <v>41</v>
      </c>
    </row>
    <row r="7" spans="1:12" ht="15" customHeight="1" x14ac:dyDescent="0.25">
      <c r="A7" s="6" t="s">
        <v>21</v>
      </c>
    </row>
    <row r="8" spans="1:12" x14ac:dyDescent="0.2">
      <c r="A8" s="20" t="s">
        <v>22</v>
      </c>
      <c r="B8" s="74">
        <f ca="1">IFERROR(SUMIF(INDIRECT("'"&amp;L8&amp;"'!D:D"),"Buy (Accu)",INDIRECT("'"&amp;L8&amp;"'!G:G"))+SUMIF(INDIRECT("'"&amp;L8&amp;"'!D:D"),"Buy (Accu-KO)",INDIRECT("'"&amp;L8&amp;"'!G:G")),0)</f>
        <v>0</v>
      </c>
      <c r="C8" s="74">
        <f ca="1">IFERROR(SUMIF(INDIRECT("'"&amp;L8&amp;"'!D:D"),"Buy (Spot)",INDIRECT("'"&amp;L8&amp;"'!G:G")),0)</f>
        <v>0</v>
      </c>
      <c r="D8" s="82">
        <f ca="1">SUM(B8:C8)</f>
        <v>0</v>
      </c>
      <c r="E8" s="13"/>
      <c r="F8" s="74">
        <f ca="1">IFERROR(SUMIF(INDIRECT("'"&amp;L8&amp;"'!D:D"),"Sell (Decu)",INDIRECT("'"&amp;L8&amp;"'!G:G"))+SUMIF(INDIRECT("'"&amp;L8&amp;"'!D:D"),"Sell (Decu-KO)",INDIRECT("'"&amp;L8&amp;"'!G:G")),0)</f>
        <v>0</v>
      </c>
      <c r="G8" s="74">
        <f ca="1">IFERROR(SUMIF(INDIRECT("'"&amp;L8&amp;"'!D:D"),"Sell (Spot)",INDIRECT("'"&amp;L8&amp;"'!G:G")),0)</f>
        <v>0</v>
      </c>
      <c r="H8" s="82">
        <f ca="1">SUM(F8:G8)</f>
        <v>0</v>
      </c>
      <c r="I8" s="13"/>
      <c r="J8" s="82">
        <f ca="1">SUM(D8,H8)</f>
        <v>0</v>
      </c>
      <c r="L8" s="4" t="s">
        <v>116</v>
      </c>
    </row>
    <row r="9" spans="1:12" ht="15" customHeight="1" x14ac:dyDescent="0.25">
      <c r="A9" s="14" t="s">
        <v>20</v>
      </c>
      <c r="B9" s="76">
        <f ca="1">SUM(B8:B8)</f>
        <v>0</v>
      </c>
      <c r="C9" s="76">
        <f ca="1">SUM(C8:C8)</f>
        <v>0</v>
      </c>
      <c r="D9" s="83">
        <f ca="1">SUM(D8:D8)</f>
        <v>0</v>
      </c>
      <c r="E9" s="14"/>
      <c r="F9" s="76">
        <f ca="1">SUM(F8:F8)</f>
        <v>0</v>
      </c>
      <c r="G9" s="76">
        <f ca="1">SUM(G8:G8)</f>
        <v>0</v>
      </c>
      <c r="H9" s="83">
        <f ca="1">SUM(H8:H8)</f>
        <v>0</v>
      </c>
      <c r="I9" s="14"/>
      <c r="J9" s="83">
        <f ca="1">SUM(J8:J8)</f>
        <v>0</v>
      </c>
    </row>
    <row r="11" spans="1:12" ht="15" customHeight="1" x14ac:dyDescent="0.25">
      <c r="A11" s="6" t="s">
        <v>24</v>
      </c>
    </row>
    <row r="12" spans="1:12" x14ac:dyDescent="0.2">
      <c r="A12" s="20" t="s">
        <v>25</v>
      </c>
      <c r="B12" s="74">
        <f ca="1">IFERROR(SUMIF(INDIRECT("'"&amp;L12&amp;"'!D:D"),"Buy (Accu)",INDIRECT("'"&amp;L12&amp;"'!G:G"))+SUMIF(INDIRECT("'"&amp;L12&amp;"'!D:D"),"Buy (Accu-KO)",INDIRECT("'"&amp;L12&amp;"'!G:G")),0)</f>
        <v>0</v>
      </c>
      <c r="C12" s="74">
        <f ca="1">IFERROR(SUMIF(INDIRECT("'"&amp;L12&amp;"'!D:D"),"Buy (Spot)",INDIRECT("'"&amp;L12&amp;"'!G:G")),0)</f>
        <v>0</v>
      </c>
      <c r="D12" s="82">
        <f ca="1">SUM(B12:C12)</f>
        <v>0</v>
      </c>
      <c r="E12" s="13"/>
      <c r="F12" s="74">
        <f ca="1">IFERROR(SUMIF(INDIRECT("'"&amp;L12&amp;"'!D:D"),"Sell (Decu)",INDIRECT("'"&amp;L12&amp;"'!G:G"))+SUMIF(INDIRECT("'"&amp;L12&amp;"'!D:D"),"Sell (Decu-KO)",INDIRECT("'"&amp;L12&amp;"'!G:G")),0)</f>
        <v>0</v>
      </c>
      <c r="G12" s="74">
        <f ca="1">IFERROR(SUMIF(INDIRECT("'"&amp;L12&amp;"'!D:D"),"Sell (Spot)",INDIRECT("'"&amp;L12&amp;"'!G:G")),0)</f>
        <v>0</v>
      </c>
      <c r="H12" s="82">
        <f ca="1">SUM(F12:G12)</f>
        <v>0</v>
      </c>
      <c r="I12" s="13"/>
      <c r="J12" s="82">
        <f ca="1">SUM(D12,H12)</f>
        <v>0</v>
      </c>
      <c r="L12" s="4" t="s">
        <v>117</v>
      </c>
    </row>
    <row r="13" spans="1:12" ht="15" customHeight="1" x14ac:dyDescent="0.25">
      <c r="A13" s="14" t="s">
        <v>20</v>
      </c>
      <c r="B13" s="76">
        <f ca="1">SUM(B12:B12)</f>
        <v>0</v>
      </c>
      <c r="C13" s="76">
        <f ca="1">SUM(C12:C12)</f>
        <v>0</v>
      </c>
      <c r="D13" s="83">
        <f ca="1">SUM(D12:D12)</f>
        <v>0</v>
      </c>
      <c r="E13" s="14"/>
      <c r="F13" s="76">
        <f ca="1">SUM(F12:F12)</f>
        <v>0</v>
      </c>
      <c r="G13" s="76">
        <f ca="1">SUM(G12:G12)</f>
        <v>0</v>
      </c>
      <c r="H13" s="83">
        <f ca="1">SUM(H12:H12)</f>
        <v>0</v>
      </c>
      <c r="I13" s="14"/>
      <c r="J13" s="83">
        <f ca="1">SUM(J12:J12)</f>
        <v>0</v>
      </c>
    </row>
    <row r="15" spans="1:12" ht="15" customHeight="1" x14ac:dyDescent="0.25">
      <c r="A15" s="81" t="s">
        <v>41</v>
      </c>
      <c r="B15" s="83">
        <f ca="1">SUM(B13,B9)</f>
        <v>0</v>
      </c>
      <c r="C15" s="83">
        <f t="shared" ref="C15:D15" ca="1" si="0">SUM(C13,C9)</f>
        <v>0</v>
      </c>
      <c r="D15" s="83">
        <f t="shared" ca="1" si="0"/>
        <v>0</v>
      </c>
      <c r="E15" s="81"/>
      <c r="F15" s="83">
        <f t="shared" ref="F15:H15" ca="1" si="1">SUM(F13,F9)</f>
        <v>0</v>
      </c>
      <c r="G15" s="83">
        <f t="shared" ca="1" si="1"/>
        <v>0</v>
      </c>
      <c r="H15" s="83">
        <f t="shared" ca="1" si="1"/>
        <v>0</v>
      </c>
      <c r="I15" s="81"/>
      <c r="J15" s="83">
        <f ca="1">SUM(J13,J9)</f>
        <v>0</v>
      </c>
    </row>
    <row r="16" spans="1:12" ht="15" customHeight="1" x14ac:dyDescent="0.25">
      <c r="D16" s="9" t="s">
        <v>97</v>
      </c>
      <c r="H16" s="9" t="s">
        <v>98</v>
      </c>
    </row>
  </sheetData>
  <pageMargins left="0.25" right="0.25" top="0.75" bottom="0.25" header="0.5" footer="0.5"/>
  <pageSetup paperSize="10001" scale="85" fitToHeight="10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DD57-E876-43B5-B82A-7410DC1FFB86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M64"/>
  <sheetViews>
    <sheetView workbookViewId="0"/>
  </sheetViews>
  <sheetFormatPr defaultRowHeight="15" x14ac:dyDescent="0.25"/>
  <cols>
    <col min="2" max="2" width="14.42578125" bestFit="1" customWidth="1"/>
    <col min="3" max="3" width="17.5703125" bestFit="1" customWidth="1"/>
    <col min="4" max="4" width="20.28515625" bestFit="1" customWidth="1"/>
    <col min="5" max="5" width="12.140625" bestFit="1" customWidth="1"/>
    <col min="6" max="6" width="10.85546875" bestFit="1" customWidth="1"/>
    <col min="7" max="7" width="22.7109375" bestFit="1" customWidth="1"/>
    <col min="8" max="8" width="10.85546875" bestFit="1" customWidth="1"/>
    <col min="9" max="9" width="21.28515625" bestFit="1" customWidth="1"/>
    <col min="10" max="10" width="11.28515625" bestFit="1" customWidth="1"/>
    <col min="11" max="11" width="20.140625" bestFit="1" customWidth="1"/>
    <col min="12" max="12" width="18.140625" bestFit="1" customWidth="1"/>
    <col min="13" max="13" width="10.28515625" bestFit="1" customWidth="1"/>
  </cols>
  <sheetData>
    <row r="1" spans="1:12" x14ac:dyDescent="0.25">
      <c r="A1" s="99"/>
    </row>
    <row r="2" spans="1:12" x14ac:dyDescent="0.25">
      <c r="A2" s="99"/>
    </row>
    <row r="4" spans="1:12" ht="20.25" x14ac:dyDescent="0.25">
      <c r="A4" s="87"/>
    </row>
    <row r="6" spans="1:12" x14ac:dyDescent="0.25">
      <c r="D6" s="89"/>
      <c r="E6" s="88"/>
    </row>
    <row r="8" spans="1:12" x14ac:dyDescent="0.25">
      <c r="D8" s="103"/>
    </row>
    <row r="9" spans="1:12" x14ac:dyDescent="0.25">
      <c r="D9" s="103"/>
      <c r="K9" s="102"/>
    </row>
    <row r="10" spans="1:12" x14ac:dyDescent="0.25">
      <c r="A10" s="102"/>
      <c r="B10" s="102"/>
      <c r="D10" s="102"/>
      <c r="E10" s="102"/>
      <c r="F10" s="102"/>
      <c r="G10" s="102"/>
      <c r="H10" s="102"/>
      <c r="K10" s="102"/>
      <c r="L10" s="102"/>
    </row>
    <row r="11" spans="1:12" x14ac:dyDescent="0.25">
      <c r="A11" s="90"/>
      <c r="B11" s="99"/>
      <c r="D11" s="91"/>
      <c r="E11" s="92"/>
      <c r="F11" s="93"/>
      <c r="G11" s="101"/>
      <c r="H11" s="101"/>
      <c r="K11" s="101"/>
      <c r="L11" s="99"/>
    </row>
    <row r="12" spans="1:12" x14ac:dyDescent="0.25">
      <c r="A12" s="90"/>
      <c r="B12" s="99"/>
      <c r="D12" s="91"/>
      <c r="E12" s="92"/>
      <c r="F12" s="93"/>
      <c r="G12" s="101"/>
      <c r="H12" s="101"/>
      <c r="K12" s="101"/>
      <c r="L12" s="99"/>
    </row>
    <row r="13" spans="1:12" x14ac:dyDescent="0.25">
      <c r="A13" s="90"/>
      <c r="B13" s="99"/>
      <c r="D13" s="91"/>
      <c r="E13" s="92"/>
      <c r="F13" s="93"/>
      <c r="G13" s="101"/>
      <c r="H13" s="101"/>
      <c r="K13" s="99"/>
      <c r="L13" s="99"/>
    </row>
    <row r="14" spans="1:12" x14ac:dyDescent="0.25">
      <c r="A14" s="90"/>
      <c r="B14" s="99"/>
      <c r="D14" s="91"/>
      <c r="E14" s="92"/>
      <c r="F14" s="93"/>
      <c r="G14" s="101"/>
      <c r="H14" s="101"/>
      <c r="K14" s="101"/>
      <c r="L14" s="99"/>
    </row>
    <row r="15" spans="1:12" x14ac:dyDescent="0.25">
      <c r="A15" s="90"/>
      <c r="B15" s="99"/>
      <c r="D15" s="91"/>
      <c r="E15" s="92"/>
      <c r="F15" s="93"/>
      <c r="G15" s="101"/>
      <c r="H15" s="101"/>
      <c r="K15" s="101"/>
      <c r="L15" s="99"/>
    </row>
    <row r="16" spans="1:12" x14ac:dyDescent="0.25">
      <c r="A16" s="90"/>
      <c r="B16" s="99"/>
      <c r="D16" s="91"/>
      <c r="E16" s="92"/>
      <c r="F16" s="93"/>
      <c r="G16" s="101"/>
      <c r="H16" s="101"/>
      <c r="K16" s="101"/>
      <c r="L16" s="99"/>
    </row>
    <row r="17" spans="1:13" x14ac:dyDescent="0.25">
      <c r="A17" s="90"/>
      <c r="B17" s="99"/>
      <c r="D17" s="91"/>
      <c r="E17" s="92"/>
      <c r="F17" s="93"/>
      <c r="G17" s="101"/>
      <c r="H17" s="101"/>
      <c r="K17" s="101"/>
      <c r="L17" s="99"/>
    </row>
    <row r="18" spans="1:13" x14ac:dyDescent="0.25">
      <c r="A18" s="90"/>
      <c r="B18" s="99"/>
      <c r="D18" s="91"/>
      <c r="E18" s="92"/>
      <c r="F18" s="93"/>
      <c r="G18" s="101"/>
      <c r="H18" s="101"/>
      <c r="K18" s="99"/>
      <c r="L18" s="99"/>
    </row>
    <row r="19" spans="1:13" x14ac:dyDescent="0.25">
      <c r="A19" s="99"/>
      <c r="B19" s="99"/>
      <c r="D19" s="99"/>
      <c r="E19" s="92"/>
      <c r="F19" s="99"/>
      <c r="G19" s="94"/>
      <c r="H19" s="100"/>
      <c r="K19" s="94"/>
      <c r="L19" s="99"/>
    </row>
    <row r="21" spans="1:13" x14ac:dyDescent="0.25">
      <c r="A21" s="99"/>
      <c r="E21" s="95"/>
      <c r="F21" s="96"/>
    </row>
    <row r="22" spans="1:13" x14ac:dyDescent="0.25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</row>
    <row r="23" spans="1:13" x14ac:dyDescent="0.25">
      <c r="A23" s="90"/>
      <c r="B23" s="97"/>
      <c r="C23" s="97"/>
      <c r="D23" s="99"/>
      <c r="E23" s="92"/>
      <c r="F23" s="93"/>
      <c r="G23" s="101"/>
      <c r="H23" s="101"/>
      <c r="I23" s="101"/>
      <c r="J23" s="93"/>
      <c r="K23" s="101"/>
      <c r="L23" s="101"/>
      <c r="M23" s="98"/>
    </row>
    <row r="24" spans="1:13" x14ac:dyDescent="0.25">
      <c r="A24" s="90"/>
      <c r="B24" s="97"/>
      <c r="C24" s="97"/>
      <c r="D24" s="99"/>
      <c r="E24" s="92"/>
      <c r="F24" s="93"/>
      <c r="G24" s="101"/>
      <c r="H24" s="101"/>
      <c r="I24" s="101"/>
      <c r="J24" s="93"/>
      <c r="K24" s="101"/>
      <c r="L24" s="101"/>
      <c r="M24" s="98"/>
    </row>
    <row r="25" spans="1:13" x14ac:dyDescent="0.25">
      <c r="A25" s="90"/>
      <c r="B25" s="97"/>
      <c r="C25" s="97"/>
      <c r="D25" s="99"/>
      <c r="E25" s="92"/>
      <c r="F25" s="93"/>
      <c r="G25" s="101"/>
      <c r="H25" s="101"/>
      <c r="I25" s="101"/>
      <c r="J25" s="93"/>
      <c r="K25" s="101"/>
      <c r="L25" s="101"/>
      <c r="M25" s="98"/>
    </row>
    <row r="26" spans="1:13" x14ac:dyDescent="0.25">
      <c r="A26" s="99"/>
      <c r="B26" s="99"/>
      <c r="C26" s="99"/>
      <c r="D26" s="99"/>
      <c r="E26" s="92"/>
      <c r="F26" s="99"/>
      <c r="G26" s="94"/>
      <c r="H26" s="99"/>
      <c r="I26" s="94"/>
      <c r="J26" s="99"/>
      <c r="K26" s="94"/>
      <c r="L26" s="94"/>
      <c r="M26" s="99"/>
    </row>
    <row r="28" spans="1:13" x14ac:dyDescent="0.25">
      <c r="A28" s="99"/>
      <c r="E28" s="95"/>
      <c r="F28" s="96"/>
    </row>
    <row r="29" spans="1:13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</row>
    <row r="30" spans="1:13" x14ac:dyDescent="0.25">
      <c r="A30" s="90"/>
      <c r="B30" s="97"/>
      <c r="C30" s="97"/>
      <c r="D30" s="99"/>
      <c r="E30" s="92"/>
      <c r="F30" s="93"/>
      <c r="G30" s="101"/>
      <c r="H30" s="101"/>
      <c r="I30" s="101"/>
      <c r="J30" s="93"/>
      <c r="K30" s="101"/>
      <c r="L30" s="101"/>
      <c r="M30" s="98"/>
    </row>
    <row r="31" spans="1:13" x14ac:dyDescent="0.25">
      <c r="A31" s="90"/>
      <c r="B31" s="97"/>
      <c r="C31" s="97"/>
      <c r="D31" s="99"/>
      <c r="E31" s="92"/>
      <c r="F31" s="93"/>
      <c r="G31" s="101"/>
      <c r="H31" s="101"/>
      <c r="I31" s="101"/>
      <c r="J31" s="93"/>
      <c r="K31" s="101"/>
      <c r="L31" s="101"/>
      <c r="M31" s="98"/>
    </row>
    <row r="32" spans="1:13" x14ac:dyDescent="0.25">
      <c r="A32" s="99"/>
      <c r="B32" s="99"/>
      <c r="C32" s="99"/>
      <c r="D32" s="99"/>
      <c r="E32" s="92"/>
      <c r="F32" s="99"/>
      <c r="G32" s="94"/>
      <c r="H32" s="99"/>
      <c r="I32" s="94"/>
      <c r="J32" s="99"/>
      <c r="K32" s="94"/>
      <c r="L32" s="94"/>
      <c r="M32" s="99"/>
    </row>
    <row r="34" spans="1:13" x14ac:dyDescent="0.25">
      <c r="A34" s="99"/>
      <c r="E34" s="95"/>
      <c r="F34" s="96"/>
    </row>
    <row r="35" spans="1:13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</row>
    <row r="36" spans="1:13" x14ac:dyDescent="0.25">
      <c r="A36" s="90"/>
      <c r="B36" s="97"/>
      <c r="C36" s="97"/>
      <c r="D36" s="99"/>
      <c r="E36" s="92"/>
      <c r="F36" s="93"/>
      <c r="G36" s="101"/>
      <c r="H36" s="101"/>
      <c r="I36" s="101"/>
      <c r="J36" s="93"/>
      <c r="K36" s="101"/>
      <c r="L36" s="101"/>
      <c r="M36" s="98"/>
    </row>
    <row r="37" spans="1:13" x14ac:dyDescent="0.25">
      <c r="A37" s="90"/>
      <c r="B37" s="97"/>
      <c r="C37" s="97"/>
      <c r="D37" s="99"/>
      <c r="E37" s="92"/>
      <c r="F37" s="93"/>
      <c r="G37" s="101"/>
      <c r="H37" s="101"/>
      <c r="I37" s="101"/>
      <c r="J37" s="93"/>
      <c r="K37" s="101"/>
      <c r="L37" s="101"/>
      <c r="M37" s="98"/>
    </row>
    <row r="38" spans="1:13" x14ac:dyDescent="0.25">
      <c r="A38" s="90"/>
      <c r="B38" s="97"/>
      <c r="C38" s="97"/>
      <c r="D38" s="99"/>
      <c r="E38" s="92"/>
      <c r="F38" s="93"/>
      <c r="G38" s="101"/>
      <c r="H38" s="101"/>
      <c r="I38" s="101"/>
      <c r="J38" s="93"/>
      <c r="K38" s="101"/>
      <c r="L38" s="101"/>
      <c r="M38" s="98"/>
    </row>
    <row r="39" spans="1:13" x14ac:dyDescent="0.25">
      <c r="A39" s="90"/>
      <c r="B39" s="97"/>
      <c r="C39" s="97"/>
      <c r="D39" s="99"/>
      <c r="E39" s="92"/>
      <c r="F39" s="93"/>
      <c r="G39" s="101"/>
      <c r="H39" s="101"/>
      <c r="I39" s="101"/>
      <c r="J39" s="93"/>
      <c r="K39" s="101"/>
      <c r="L39" s="101"/>
      <c r="M39" s="98"/>
    </row>
    <row r="40" spans="1:13" x14ac:dyDescent="0.25">
      <c r="A40" s="99"/>
      <c r="B40" s="99"/>
      <c r="C40" s="99"/>
      <c r="D40" s="99"/>
      <c r="E40" s="92"/>
      <c r="F40" s="99"/>
      <c r="G40" s="94"/>
      <c r="H40" s="99"/>
      <c r="I40" s="94"/>
      <c r="J40" s="99"/>
      <c r="K40" s="94"/>
      <c r="L40" s="94"/>
      <c r="M40" s="99"/>
    </row>
    <row r="42" spans="1:13" x14ac:dyDescent="0.25">
      <c r="A42" s="99"/>
      <c r="E42" s="95"/>
      <c r="F42" s="96"/>
    </row>
    <row r="43" spans="1:13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</row>
    <row r="44" spans="1:13" x14ac:dyDescent="0.25">
      <c r="A44" s="90"/>
      <c r="B44" s="97"/>
      <c r="C44" s="97"/>
      <c r="D44" s="99"/>
      <c r="E44" s="92"/>
      <c r="F44" s="93"/>
      <c r="G44" s="101"/>
      <c r="H44" s="101"/>
      <c r="I44" s="101"/>
      <c r="J44" s="93"/>
      <c r="K44" s="101"/>
      <c r="L44" s="101"/>
      <c r="M44" s="98"/>
    </row>
    <row r="45" spans="1:13" x14ac:dyDescent="0.25">
      <c r="A45" s="90"/>
      <c r="B45" s="97"/>
      <c r="C45" s="97"/>
      <c r="D45" s="99"/>
      <c r="E45" s="92"/>
      <c r="F45" s="93"/>
      <c r="G45" s="101"/>
      <c r="H45" s="101"/>
      <c r="I45" s="101"/>
      <c r="J45" s="93"/>
      <c r="K45" s="101"/>
      <c r="L45" s="101"/>
      <c r="M45" s="98"/>
    </row>
    <row r="46" spans="1:13" x14ac:dyDescent="0.25">
      <c r="A46" s="90"/>
      <c r="B46" s="97"/>
      <c r="C46" s="97"/>
      <c r="D46" s="99"/>
      <c r="E46" s="92"/>
      <c r="F46" s="93"/>
      <c r="G46" s="101"/>
      <c r="H46" s="101"/>
      <c r="I46" s="101"/>
      <c r="J46" s="93"/>
      <c r="K46" s="101"/>
      <c r="L46" s="101"/>
      <c r="M46" s="98"/>
    </row>
    <row r="47" spans="1:13" x14ac:dyDescent="0.25">
      <c r="A47" s="90"/>
      <c r="B47" s="97"/>
      <c r="C47" s="97"/>
      <c r="D47" s="99"/>
      <c r="E47" s="92"/>
      <c r="F47" s="93"/>
      <c r="G47" s="101"/>
      <c r="H47" s="101"/>
      <c r="I47" s="101"/>
      <c r="J47" s="93"/>
      <c r="K47" s="101"/>
      <c r="L47" s="101"/>
      <c r="M47" s="98"/>
    </row>
    <row r="48" spans="1:13" x14ac:dyDescent="0.25">
      <c r="A48" s="90"/>
      <c r="B48" s="97"/>
      <c r="C48" s="97"/>
      <c r="D48" s="99"/>
      <c r="E48" s="92"/>
      <c r="F48" s="93"/>
      <c r="G48" s="101"/>
      <c r="H48" s="101"/>
      <c r="I48" s="101"/>
      <c r="J48" s="93"/>
      <c r="K48" s="101"/>
      <c r="L48" s="101"/>
      <c r="M48" s="98"/>
    </row>
    <row r="49" spans="1:13" x14ac:dyDescent="0.25">
      <c r="A49" s="90"/>
      <c r="B49" s="97"/>
      <c r="C49" s="97"/>
      <c r="D49" s="99"/>
      <c r="E49" s="92"/>
      <c r="F49" s="93"/>
      <c r="G49" s="101"/>
      <c r="H49" s="101"/>
      <c r="I49" s="101"/>
      <c r="J49" s="93"/>
      <c r="K49" s="101"/>
      <c r="L49" s="101"/>
      <c r="M49" s="98"/>
    </row>
    <row r="50" spans="1:13" x14ac:dyDescent="0.25">
      <c r="A50" s="99"/>
      <c r="B50" s="99"/>
      <c r="C50" s="99"/>
      <c r="D50" s="99"/>
      <c r="E50" s="92"/>
      <c r="F50" s="99"/>
      <c r="G50" s="94"/>
      <c r="H50" s="99"/>
      <c r="I50" s="94"/>
      <c r="J50" s="99"/>
      <c r="K50" s="94"/>
      <c r="L50" s="94"/>
      <c r="M50" s="99"/>
    </row>
    <row r="52" spans="1:13" x14ac:dyDescent="0.25">
      <c r="A52" s="99"/>
      <c r="E52" s="95"/>
      <c r="F52" s="96"/>
    </row>
    <row r="53" spans="1:13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</row>
    <row r="54" spans="1:13" x14ac:dyDescent="0.25">
      <c r="A54" s="90"/>
      <c r="B54" s="97"/>
      <c r="C54" s="97"/>
      <c r="D54" s="99"/>
      <c r="E54" s="92"/>
      <c r="F54" s="93"/>
      <c r="G54" s="101"/>
      <c r="H54" s="101"/>
      <c r="I54" s="101"/>
      <c r="J54" s="93"/>
      <c r="K54" s="101"/>
      <c r="L54" s="101"/>
      <c r="M54" s="98"/>
    </row>
    <row r="55" spans="1:13" x14ac:dyDescent="0.25">
      <c r="A55" s="90"/>
      <c r="B55" s="97"/>
      <c r="C55" s="97"/>
      <c r="D55" s="99"/>
      <c r="E55" s="92"/>
      <c r="F55" s="93"/>
      <c r="G55" s="101"/>
      <c r="H55" s="101"/>
      <c r="I55" s="101"/>
      <c r="J55" s="93"/>
      <c r="K55" s="101"/>
      <c r="L55" s="101"/>
      <c r="M55" s="98"/>
    </row>
    <row r="56" spans="1:13" x14ac:dyDescent="0.25">
      <c r="A56" s="90"/>
      <c r="B56" s="97"/>
      <c r="C56" s="97"/>
      <c r="D56" s="99"/>
      <c r="E56" s="92"/>
      <c r="F56" s="93"/>
      <c r="G56" s="101"/>
      <c r="H56" s="101"/>
      <c r="I56" s="101"/>
      <c r="J56" s="93"/>
      <c r="K56" s="101"/>
      <c r="L56" s="101"/>
      <c r="M56" s="98"/>
    </row>
    <row r="57" spans="1:13" x14ac:dyDescent="0.25">
      <c r="A57" s="99"/>
      <c r="B57" s="99"/>
      <c r="C57" s="99"/>
      <c r="D57" s="99"/>
      <c r="E57" s="92"/>
      <c r="F57" s="99"/>
      <c r="G57" s="94"/>
      <c r="H57" s="99"/>
      <c r="I57" s="94"/>
      <c r="J57" s="99"/>
      <c r="K57" s="94"/>
      <c r="L57" s="94"/>
      <c r="M57" s="99"/>
    </row>
    <row r="59" spans="1:13" x14ac:dyDescent="0.25">
      <c r="A59" s="99"/>
      <c r="E59" s="95"/>
      <c r="F59" s="96"/>
    </row>
    <row r="60" spans="1:13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</row>
    <row r="61" spans="1:13" x14ac:dyDescent="0.25">
      <c r="A61" s="90"/>
      <c r="B61" s="97"/>
      <c r="C61" s="97"/>
      <c r="D61" s="99"/>
      <c r="E61" s="92"/>
      <c r="F61" s="93"/>
      <c r="G61" s="101"/>
      <c r="H61" s="101"/>
      <c r="I61" s="101"/>
      <c r="J61" s="93"/>
      <c r="K61" s="101"/>
      <c r="L61" s="101"/>
      <c r="M61" s="98"/>
    </row>
    <row r="62" spans="1:13" x14ac:dyDescent="0.25">
      <c r="A62" s="90"/>
      <c r="B62" s="97"/>
      <c r="C62" s="97"/>
      <c r="D62" s="99"/>
      <c r="E62" s="92"/>
      <c r="F62" s="93"/>
      <c r="G62" s="101"/>
      <c r="H62" s="101"/>
      <c r="I62" s="101"/>
      <c r="J62" s="93"/>
      <c r="K62" s="101"/>
      <c r="L62" s="101"/>
      <c r="M62" s="98"/>
    </row>
    <row r="63" spans="1:13" x14ac:dyDescent="0.25">
      <c r="A63" s="90"/>
      <c r="B63" s="97"/>
      <c r="C63" s="97"/>
      <c r="D63" s="99"/>
      <c r="E63" s="92"/>
      <c r="F63" s="93"/>
      <c r="G63" s="101"/>
      <c r="H63" s="101"/>
      <c r="I63" s="101"/>
      <c r="J63" s="93"/>
      <c r="K63" s="101"/>
      <c r="L63" s="101"/>
      <c r="M63" s="98"/>
    </row>
    <row r="64" spans="1:13" x14ac:dyDescent="0.25">
      <c r="A64" s="99"/>
      <c r="B64" s="99"/>
      <c r="C64" s="99"/>
      <c r="D64" s="99"/>
      <c r="E64" s="92"/>
      <c r="F64" s="99"/>
      <c r="G64" s="94"/>
      <c r="H64" s="99"/>
      <c r="I64" s="94"/>
      <c r="J64" s="99"/>
      <c r="K64" s="94"/>
      <c r="L64" s="94"/>
      <c r="M64" s="99"/>
    </row>
  </sheetData>
  <pageMargins left="0.5" right="0.2" top="1" bottom="0.2" header="0.8" footer="0.8"/>
  <pageSetup paperSize="10002" scale="79" fitToHeight="1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77</vt:i4>
      </vt:variant>
      <vt:variant>
        <vt:lpstr>Named Ranges</vt:lpstr>
      </vt:variant>
      <vt:variant>
        <vt:i4>14</vt:i4>
      </vt:variant>
    </vt:vector>
  </HeadingPairs>
  <TitlesOfParts>
    <vt:vector size="91" baseType="lpstr">
      <vt:lpstr>SpotOnly</vt:lpstr>
      <vt:lpstr>AQDQSpot</vt:lpstr>
      <vt:lpstr>Sheet1</vt:lpstr>
      <vt:lpstr>Top Sheet</vt:lpstr>
      <vt:lpstr>Marissa Page</vt:lpstr>
      <vt:lpstr>SUMMARY</vt:lpstr>
      <vt:lpstr>SUM-HK</vt:lpstr>
      <vt:lpstr>SUM-JP</vt:lpstr>
      <vt:lpstr>SUM-AU</vt:lpstr>
      <vt:lpstr>SUM-US</vt:lpstr>
      <vt:lpstr>SUM-SG</vt:lpstr>
      <vt:lpstr>CB1-HKD</vt:lpstr>
      <vt:lpstr>CB2-HKD</vt:lpstr>
      <vt:lpstr>CB3-HKD</vt:lpstr>
      <vt:lpstr>CBBH-HKD</vt:lpstr>
      <vt:lpstr>CBBH2-HKD</vt:lpstr>
      <vt:lpstr>CBSG-HKD</vt:lpstr>
      <vt:lpstr>BOS-HKD</vt:lpstr>
      <vt:lpstr>DBPe-HKD</vt:lpstr>
      <vt:lpstr>DBPL-HKD</vt:lpstr>
      <vt:lpstr>SC-HKD</vt:lpstr>
      <vt:lpstr>SHK-HKD</vt:lpstr>
      <vt:lpstr>MST1-HKD</vt:lpstr>
      <vt:lpstr>MST2-HKD</vt:lpstr>
      <vt:lpstr>MSPL-HKD</vt:lpstr>
      <vt:lpstr>CB1-JPY</vt:lpstr>
      <vt:lpstr>CB2-JPY</vt:lpstr>
      <vt:lpstr>CB3-JPY</vt:lpstr>
      <vt:lpstr>CBBH-JPY</vt:lpstr>
      <vt:lpstr>CBBH2-JPY</vt:lpstr>
      <vt:lpstr>BOS-JPY</vt:lpstr>
      <vt:lpstr>DBPe-JPY</vt:lpstr>
      <vt:lpstr>DBPL-JPY</vt:lpstr>
      <vt:lpstr>SC-JPY</vt:lpstr>
      <vt:lpstr>SHK-JPY</vt:lpstr>
      <vt:lpstr>MST1-JPY</vt:lpstr>
      <vt:lpstr>MST2-JPY</vt:lpstr>
      <vt:lpstr>MSPL-JPY</vt:lpstr>
      <vt:lpstr>CB1-AUD</vt:lpstr>
      <vt:lpstr>CB2-AUD</vt:lpstr>
      <vt:lpstr>CB3-AUD</vt:lpstr>
      <vt:lpstr>CBBH-AUD</vt:lpstr>
      <vt:lpstr>CBBH2-AUD</vt:lpstr>
      <vt:lpstr>BOS-AUD</vt:lpstr>
      <vt:lpstr>DBPe-AUD</vt:lpstr>
      <vt:lpstr>DBPL-AUD</vt:lpstr>
      <vt:lpstr>SC-AUD</vt:lpstr>
      <vt:lpstr>SHK-AUD</vt:lpstr>
      <vt:lpstr>MST1-AUD</vt:lpstr>
      <vt:lpstr>MST2-AUD</vt:lpstr>
      <vt:lpstr>MSPL-AUD</vt:lpstr>
      <vt:lpstr>CB1-USD</vt:lpstr>
      <vt:lpstr>CB2-USD</vt:lpstr>
      <vt:lpstr>CB3-USD</vt:lpstr>
      <vt:lpstr>CBBH-USD</vt:lpstr>
      <vt:lpstr>CBBH2-USD</vt:lpstr>
      <vt:lpstr>BOS-USD</vt:lpstr>
      <vt:lpstr>DBPe-USD</vt:lpstr>
      <vt:lpstr>DBPL-USD</vt:lpstr>
      <vt:lpstr>SC-USD</vt:lpstr>
      <vt:lpstr>SHK-USD</vt:lpstr>
      <vt:lpstr>MST1-USD</vt:lpstr>
      <vt:lpstr>MST2-USD</vt:lpstr>
      <vt:lpstr>MSPL-USD</vt:lpstr>
      <vt:lpstr>CB1-SGD</vt:lpstr>
      <vt:lpstr>CB2-SGD</vt:lpstr>
      <vt:lpstr>CB3-SGD</vt:lpstr>
      <vt:lpstr>CBBH-SGD</vt:lpstr>
      <vt:lpstr>CBBH2-SGD</vt:lpstr>
      <vt:lpstr>BOS-SGD</vt:lpstr>
      <vt:lpstr>DBPe-SGD</vt:lpstr>
      <vt:lpstr>DBPL-SGD</vt:lpstr>
      <vt:lpstr>SC-SGD</vt:lpstr>
      <vt:lpstr>SHK-SGD</vt:lpstr>
      <vt:lpstr>MST1-SGD</vt:lpstr>
      <vt:lpstr>MST2-SGD</vt:lpstr>
      <vt:lpstr>MSPL-SGD</vt:lpstr>
      <vt:lpstr>aud_per_usd</vt:lpstr>
      <vt:lpstr>hkd_per_usd</vt:lpstr>
      <vt:lpstr>jpy_per_usd</vt:lpstr>
      <vt:lpstr>AQDQSpot!Print_Area</vt:lpstr>
      <vt:lpstr>'Marissa Page'!Print_Area</vt:lpstr>
      <vt:lpstr>SpotOnly!Print_Area</vt:lpstr>
      <vt:lpstr>'SUM-AU'!Print_Area</vt:lpstr>
      <vt:lpstr>'SUM-HK'!Print_Area</vt:lpstr>
      <vt:lpstr>'SUM-JP'!Print_Area</vt:lpstr>
      <vt:lpstr>SUMMARY!Print_Area</vt:lpstr>
      <vt:lpstr>'SUM-SG'!Print_Area</vt:lpstr>
      <vt:lpstr>'SUM-US'!Print_Area</vt:lpstr>
      <vt:lpstr>'Top Sheet'!Print_Area</vt:lpstr>
      <vt:lpstr>sgd_per_usd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Alvin Stocks</cp:lastModifiedBy>
  <cp:lastPrinted>2022-09-01T07:34:25Z</cp:lastPrinted>
  <dcterms:created xsi:type="dcterms:W3CDTF">2015-06-05T18:17:20Z</dcterms:created>
  <dcterms:modified xsi:type="dcterms:W3CDTF">2023-04-14T07:00:13Z</dcterms:modified>
</cp:coreProperties>
</file>