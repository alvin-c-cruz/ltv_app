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lvin Stocks\Dropbox\server\localhost\excel_templates\"/>
    </mc:Choice>
  </mc:AlternateContent>
  <xr:revisionPtr revIDLastSave="0" documentId="13_ncr:1_{5CD13791-37A8-42E5-8F6B-5CADEA6927F1}" xr6:coauthVersionLast="47" xr6:coauthVersionMax="47" xr10:uidLastSave="{00000000-0000-0000-0000-000000000000}"/>
  <bookViews>
    <workbookView xWindow="-120" yWindow="-120" windowWidth="20730" windowHeight="11160" tabRatio="866" activeTab="1" xr2:uid="{00000000-000D-0000-FFFF-FFFF00000000}"/>
  </bookViews>
  <sheets>
    <sheet name="System" sheetId="1" r:id="rId1"/>
    <sheet name="Last Month" sheetId="2" r:id="rId2"/>
    <sheet name="2nd" sheetId="3" r:id="rId3"/>
    <sheet name="3rd" sheetId="4" r:id="rId4"/>
    <sheet name="4th" sheetId="5" r:id="rId5"/>
    <sheet name="5th" sheetId="6" r:id="rId6"/>
    <sheet name="6th" sheetId="7" r:id="rId7"/>
    <sheet name="7th" sheetId="8" r:id="rId8"/>
    <sheet name="8th" sheetId="9" r:id="rId9"/>
    <sheet name="9th" sheetId="10" r:id="rId10"/>
    <sheet name="10th" sheetId="11" r:id="rId11"/>
    <sheet name="11th" sheetId="12" r:id="rId12"/>
    <sheet name="CB1" sheetId="13" r:id="rId13"/>
    <sheet name="CB2" sheetId="14" r:id="rId14"/>
    <sheet name="CB3" sheetId="15" r:id="rId15"/>
    <sheet name="CBBH" sheetId="16" r:id="rId16"/>
    <sheet name="CBBH2" sheetId="17" r:id="rId17"/>
    <sheet name="BOS" sheetId="18" r:id="rId18"/>
    <sheet name="DBPe" sheetId="19" r:id="rId19"/>
    <sheet name="DBPL" sheetId="20" r:id="rId20"/>
    <sheet name="SC" sheetId="21" r:id="rId21"/>
    <sheet name="SHK" sheetId="22" r:id="rId22"/>
    <sheet name="MST1" sheetId="23" r:id="rId23"/>
    <sheet name="MST2" sheetId="24" r:id="rId24"/>
    <sheet name="MSPL" sheetId="25" r:id="rId25"/>
  </sheets>
  <definedNames>
    <definedName name="_10th">System!$B$16</definedName>
    <definedName name="_11th">System!$B$17</definedName>
    <definedName name="_2nd">System!$B$8</definedName>
    <definedName name="_3rd">System!$B$9</definedName>
    <definedName name="_4th">System!$B$10</definedName>
    <definedName name="_5th">System!$B$11</definedName>
    <definedName name="_6th">System!$B$12</definedName>
    <definedName name="_7th">System!$B$13</definedName>
    <definedName name="_8th">System!$B$14</definedName>
    <definedName name="_9th">System!$B$15</definedName>
    <definedName name="beginning">System!$B$6</definedName>
    <definedName name="Closing">'Last Month'!$AN$1</definedName>
    <definedName name="heroku_trans">'Last Month'!#REF!</definedName>
    <definedName name="last_month">System!$B$7</definedName>
    <definedName name="_xlnm.Print_Area" localSheetId="10">'10th'!$A$1:$I$37</definedName>
    <definedName name="_xlnm.Print_Area" localSheetId="11">'11th'!$A$1:$I$37</definedName>
    <definedName name="_xlnm.Print_Area" localSheetId="2">'2nd'!$A$1:$I$37</definedName>
    <definedName name="_xlnm.Print_Area" localSheetId="3">'3rd'!$A$1:$I$37</definedName>
    <definedName name="_xlnm.Print_Area" localSheetId="4">'4th'!$A$1:$I$37</definedName>
    <definedName name="_xlnm.Print_Area" localSheetId="5">'5th'!$A$1:$I$37</definedName>
    <definedName name="_xlnm.Print_Area" localSheetId="6">'6th'!$A$1:$I$37</definedName>
    <definedName name="_xlnm.Print_Area" localSheetId="7">'7th'!$A$1:$I$37</definedName>
    <definedName name="_xlnm.Print_Area" localSheetId="8">'8th'!$A$1:$I$37</definedName>
    <definedName name="_xlnm.Print_Area" localSheetId="9">'9th'!$A$1:$I$37</definedName>
    <definedName name="_xlnm.Print_Area" localSheetId="17">BOS!$A$1:$Z$11</definedName>
    <definedName name="_xlnm.Print_Area" localSheetId="12">'CB1'!$A$1:$Z$11</definedName>
    <definedName name="_xlnm.Print_Area" localSheetId="13">'CB2'!$A$1:$Z$11</definedName>
    <definedName name="_xlnm.Print_Area" localSheetId="14">'CB3'!$A$1:$Z$11</definedName>
    <definedName name="_xlnm.Print_Area" localSheetId="15">CBBH!$A$1:$Z$11</definedName>
    <definedName name="_xlnm.Print_Area" localSheetId="16">CBBH2!$A$1:$Z$11</definedName>
    <definedName name="_xlnm.Print_Area" localSheetId="18">DBPe!$A$1:$Z$11</definedName>
    <definedName name="_xlnm.Print_Area" localSheetId="19">DBPL!$A$1:$Z$11</definedName>
    <definedName name="_xlnm.Print_Area" localSheetId="1">'Last Month'!$A$1:$W$37</definedName>
    <definedName name="_xlnm.Print_Area" localSheetId="24">MSPL!$A$1:$Z$11</definedName>
    <definedName name="_xlnm.Print_Area" localSheetId="22">'MST1'!$A$1:$Z$11</definedName>
    <definedName name="_xlnm.Print_Area" localSheetId="23">'MST2'!$A$1:$Z$11</definedName>
    <definedName name="_xlnm.Print_Area" localSheetId="20">SC!$A$1:$Z$11</definedName>
    <definedName name="_xlnm.Print_Area" localSheetId="21">SHK!$A$1:$Z$11</definedName>
    <definedName name="stock_name">System!$B$1</definedName>
    <definedName name="transaction_type">'Last Month'!#REF!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" l="1"/>
  <c r="G5" i="25" l="1"/>
  <c r="G5" i="24"/>
  <c r="G5" i="23"/>
  <c r="G5" i="22"/>
  <c r="G5" i="21"/>
  <c r="G5" i="20"/>
  <c r="G5" i="19"/>
  <c r="G5" i="18"/>
  <c r="G5" i="17"/>
  <c r="G5" i="16"/>
  <c r="G5" i="15"/>
  <c r="G5" i="14"/>
  <c r="G5" i="13"/>
  <c r="O37" i="3"/>
  <c r="R33" i="3"/>
  <c r="L13" i="3"/>
  <c r="L37" i="3" s="1"/>
  <c r="R10" i="3"/>
  <c r="R7" i="3"/>
  <c r="B2" i="3"/>
  <c r="AL33" i="2"/>
  <c r="AL32" i="2"/>
  <c r="AL31" i="2"/>
  <c r="AL20" i="2"/>
  <c r="AL19" i="2"/>
  <c r="Z13" i="2"/>
  <c r="AL11" i="2"/>
  <c r="AF11" i="2"/>
  <c r="AL10" i="2"/>
  <c r="AF10" i="2"/>
  <c r="AL9" i="2"/>
  <c r="AL8" i="2"/>
  <c r="AL7" i="2"/>
  <c r="AF7" i="2"/>
  <c r="P1" i="2"/>
  <c r="B7" i="1"/>
  <c r="W6" i="2" s="1"/>
  <c r="N19" i="12"/>
  <c r="N24" i="11"/>
  <c r="N8" i="12"/>
  <c r="N7" i="12"/>
  <c r="C9" i="2"/>
  <c r="C33" i="2"/>
  <c r="C32" i="2"/>
  <c r="N10" i="12"/>
  <c r="C19" i="2"/>
  <c r="C20" i="2"/>
  <c r="C8" i="2"/>
  <c r="N7" i="11"/>
  <c r="C7" i="2"/>
  <c r="C15" i="2"/>
  <c r="N11" i="12"/>
  <c r="N11" i="11"/>
  <c r="C10" i="2"/>
  <c r="C31" i="2"/>
  <c r="N15" i="12"/>
  <c r="N19" i="11"/>
  <c r="C11" i="2"/>
  <c r="N15" i="11"/>
  <c r="N8" i="11"/>
  <c r="C24" i="2"/>
  <c r="N20" i="11"/>
  <c r="C27" i="2"/>
  <c r="N10" i="11"/>
  <c r="N24" i="12"/>
  <c r="R11" i="3" l="1"/>
  <c r="R37" i="3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C12" i="2"/>
  <c r="C21" i="2"/>
  <c r="C34" i="2"/>
  <c r="A1" i="2"/>
  <c r="AK1" i="2"/>
  <c r="C2" i="24"/>
  <c r="C2" i="22"/>
  <c r="C2" i="20"/>
  <c r="C2" i="18"/>
  <c r="C2" i="16"/>
  <c r="C2" i="25"/>
  <c r="C2" i="23"/>
  <c r="C2" i="21"/>
  <c r="C2" i="19"/>
  <c r="C2" i="17"/>
  <c r="C2" i="14"/>
  <c r="C2" i="15"/>
  <c r="C2" i="13"/>
  <c r="B2" i="11"/>
  <c r="B2" i="12"/>
  <c r="B2" i="10"/>
  <c r="B2" i="8"/>
  <c r="B2" i="9"/>
  <c r="B2" i="6"/>
  <c r="B2" i="7"/>
  <c r="B2" i="5"/>
  <c r="B2" i="4"/>
  <c r="C37" i="2" l="1"/>
  <c r="I6" i="3"/>
  <c r="AK33" i="2"/>
  <c r="AK32" i="2"/>
  <c r="AK31" i="2"/>
  <c r="AK19" i="2"/>
  <c r="AK15" i="2"/>
  <c r="AK11" i="2"/>
  <c r="AK9" i="2"/>
  <c r="AK24" i="2"/>
  <c r="AK8" i="2"/>
  <c r="AK27" i="2"/>
  <c r="AK20" i="2"/>
  <c r="AK10" i="2"/>
  <c r="AK7" i="2"/>
  <c r="T1" i="3" l="1"/>
  <c r="A1" i="3"/>
  <c r="I6" i="4"/>
  <c r="O7" i="2"/>
  <c r="E7" i="2"/>
  <c r="U11" i="2"/>
  <c r="I20" i="2"/>
  <c r="M27" i="2"/>
  <c r="E11" i="2"/>
  <c r="O10" i="2"/>
  <c r="U10" i="2"/>
  <c r="K27" i="2"/>
  <c r="O31" i="2"/>
  <c r="K9" i="2"/>
  <c r="K15" i="2"/>
  <c r="K24" i="2"/>
  <c r="O20" i="2"/>
  <c r="G15" i="2"/>
  <c r="M24" i="2"/>
  <c r="S32" i="2"/>
  <c r="S10" i="2"/>
  <c r="S7" i="2"/>
  <c r="U33" i="2"/>
  <c r="E8" i="2"/>
  <c r="O9" i="2"/>
  <c r="G20" i="2"/>
  <c r="G8" i="2"/>
  <c r="G11" i="2"/>
  <c r="U9" i="2"/>
  <c r="I15" i="2"/>
  <c r="G33" i="2"/>
  <c r="G27" i="2"/>
  <c r="U24" i="2"/>
  <c r="K8" i="2"/>
  <c r="I24" i="2"/>
  <c r="M8" i="2"/>
  <c r="G10" i="2"/>
  <c r="O19" i="2"/>
  <c r="E9" i="2"/>
  <c r="O11" i="2"/>
  <c r="O8" i="2"/>
  <c r="G24" i="2"/>
  <c r="E24" i="2"/>
  <c r="U7" i="2"/>
  <c r="E15" i="2"/>
  <c r="M20" i="2"/>
  <c r="S19" i="2"/>
  <c r="E33" i="2"/>
  <c r="S27" i="2"/>
  <c r="K7" i="2"/>
  <c r="G19" i="2"/>
  <c r="K11" i="2"/>
  <c r="O32" i="2"/>
  <c r="K32" i="2"/>
  <c r="E19" i="2"/>
  <c r="M32" i="2"/>
  <c r="K33" i="2"/>
  <c r="U32" i="2"/>
  <c r="G7" i="2"/>
  <c r="O24" i="2"/>
  <c r="I10" i="2"/>
  <c r="U19" i="2"/>
  <c r="E20" i="2"/>
  <c r="S9" i="2"/>
  <c r="I7" i="2"/>
  <c r="I31" i="2"/>
  <c r="I9" i="2"/>
  <c r="I27" i="2"/>
  <c r="G31" i="2"/>
  <c r="I11" i="2"/>
  <c r="U8" i="2"/>
  <c r="M19" i="2"/>
  <c r="S20" i="2"/>
  <c r="S33" i="2"/>
  <c r="M15" i="2"/>
  <c r="M7" i="2"/>
  <c r="S8" i="2"/>
  <c r="S11" i="2"/>
  <c r="S24" i="2"/>
  <c r="K10" i="2"/>
  <c r="U31" i="2"/>
  <c r="M33" i="2"/>
  <c r="M10" i="2"/>
  <c r="U15" i="2"/>
  <c r="S31" i="2"/>
  <c r="O33" i="2"/>
  <c r="I33" i="2"/>
  <c r="G32" i="2"/>
  <c r="U20" i="2"/>
  <c r="O15" i="2"/>
  <c r="E27" i="2"/>
  <c r="I19" i="2"/>
  <c r="M11" i="2"/>
  <c r="E32" i="2"/>
  <c r="I8" i="2"/>
  <c r="K20" i="2"/>
  <c r="M31" i="2"/>
  <c r="I32" i="2"/>
  <c r="O27" i="2"/>
  <c r="E10" i="2"/>
  <c r="S15" i="2"/>
  <c r="E31" i="2"/>
  <c r="K31" i="2"/>
  <c r="K19" i="2"/>
  <c r="G9" i="2"/>
  <c r="U27" i="2"/>
  <c r="M9" i="2"/>
  <c r="S34" i="2" l="1"/>
  <c r="S21" i="2"/>
  <c r="G12" i="2"/>
  <c r="Q11" i="2"/>
  <c r="W11" i="2" s="1"/>
  <c r="C11" i="3" s="1"/>
  <c r="E34" i="2"/>
  <c r="Q31" i="2"/>
  <c r="Q20" i="2"/>
  <c r="W20" i="2" s="1"/>
  <c r="C20" i="3" s="1"/>
  <c r="E21" i="2"/>
  <c r="Q19" i="2"/>
  <c r="O21" i="2"/>
  <c r="Q10" i="2"/>
  <c r="W10" i="2" s="1"/>
  <c r="C10" i="3" s="1"/>
  <c r="Q15" i="2"/>
  <c r="W15" i="2" s="1"/>
  <c r="C15" i="3" s="1"/>
  <c r="E12" i="2"/>
  <c r="Q7" i="2"/>
  <c r="O12" i="2"/>
  <c r="I34" i="2"/>
  <c r="M34" i="2"/>
  <c r="Q9" i="2"/>
  <c r="W9" i="2" s="1"/>
  <c r="C9" i="3" s="1"/>
  <c r="Q33" i="2"/>
  <c r="W33" i="2" s="1"/>
  <c r="C33" i="3" s="1"/>
  <c r="K21" i="2"/>
  <c r="U21" i="2"/>
  <c r="K12" i="2"/>
  <c r="U12" i="2"/>
  <c r="G34" i="2"/>
  <c r="G21" i="2"/>
  <c r="S12" i="2"/>
  <c r="Q32" i="2"/>
  <c r="W32" i="2" s="1"/>
  <c r="C32" i="3" s="1"/>
  <c r="O34" i="2"/>
  <c r="M21" i="2"/>
  <c r="I21" i="2"/>
  <c r="Q24" i="2"/>
  <c r="W24" i="2" s="1"/>
  <c r="C24" i="3" s="1"/>
  <c r="M12" i="2"/>
  <c r="I12" i="2"/>
  <c r="Q27" i="2"/>
  <c r="W27" i="2" s="1"/>
  <c r="C27" i="3" s="1"/>
  <c r="K34" i="2"/>
  <c r="U34" i="2"/>
  <c r="Q8" i="2"/>
  <c r="W8" i="2" s="1"/>
  <c r="C8" i="3" s="1"/>
  <c r="I6" i="5"/>
  <c r="T33" i="3"/>
  <c r="T27" i="3"/>
  <c r="T15" i="3"/>
  <c r="T10" i="3"/>
  <c r="T7" i="3"/>
  <c r="T24" i="3"/>
  <c r="T32" i="3"/>
  <c r="T20" i="3"/>
  <c r="T11" i="3"/>
  <c r="T9" i="3"/>
  <c r="T31" i="3"/>
  <c r="T19" i="3"/>
  <c r="T8" i="3"/>
  <c r="L1" i="4"/>
  <c r="A1" i="4"/>
  <c r="N32" i="12"/>
  <c r="N32" i="11"/>
  <c r="E37" i="2" l="1"/>
  <c r="I37" i="2"/>
  <c r="U37" i="2"/>
  <c r="O37" i="2"/>
  <c r="G37" i="2"/>
  <c r="L32" i="4"/>
  <c r="L20" i="4"/>
  <c r="L10" i="4"/>
  <c r="L31" i="4"/>
  <c r="L19" i="4"/>
  <c r="L9" i="4"/>
  <c r="L27" i="4"/>
  <c r="L15" i="4"/>
  <c r="L8" i="4"/>
  <c r="L33" i="4"/>
  <c r="L24" i="4"/>
  <c r="L11" i="4"/>
  <c r="L7" i="4"/>
  <c r="Q21" i="2"/>
  <c r="W19" i="2"/>
  <c r="M37" i="2"/>
  <c r="I6" i="6"/>
  <c r="A1" i="5"/>
  <c r="L1" i="5"/>
  <c r="S37" i="2"/>
  <c r="K37" i="2"/>
  <c r="Q12" i="2"/>
  <c r="W7" i="2"/>
  <c r="Q34" i="2"/>
  <c r="W31" i="2"/>
  <c r="E19" i="3"/>
  <c r="G8" i="3"/>
  <c r="E8" i="3"/>
  <c r="G11" i="3"/>
  <c r="E33" i="3"/>
  <c r="E10" i="3"/>
  <c r="E32" i="3"/>
  <c r="E11" i="3"/>
  <c r="E15" i="3"/>
  <c r="E20" i="3"/>
  <c r="E31" i="3"/>
  <c r="E9" i="3"/>
  <c r="G32" i="3"/>
  <c r="E7" i="3"/>
  <c r="G24" i="3"/>
  <c r="G27" i="3"/>
  <c r="G33" i="3"/>
  <c r="G20" i="3"/>
  <c r="G9" i="3"/>
  <c r="E24" i="3"/>
  <c r="G7" i="3"/>
  <c r="G10" i="3"/>
  <c r="E27" i="3"/>
  <c r="G31" i="3"/>
  <c r="G19" i="3"/>
  <c r="G15" i="3"/>
  <c r="G12" i="3" l="1"/>
  <c r="I8" i="3"/>
  <c r="C8" i="4" s="1"/>
  <c r="I24" i="3"/>
  <c r="C24" i="4" s="1"/>
  <c r="I10" i="3"/>
  <c r="C10" i="4" s="1"/>
  <c r="G21" i="3"/>
  <c r="I15" i="3"/>
  <c r="C15" i="4" s="1"/>
  <c r="E34" i="3"/>
  <c r="E12" i="3"/>
  <c r="I27" i="3"/>
  <c r="C27" i="4" s="1"/>
  <c r="I9" i="3"/>
  <c r="C9" i="4" s="1"/>
  <c r="I20" i="3"/>
  <c r="C20" i="4" s="1"/>
  <c r="G34" i="3"/>
  <c r="I11" i="3"/>
  <c r="C11" i="4" s="1"/>
  <c r="I32" i="3"/>
  <c r="C32" i="4" s="1"/>
  <c r="I33" i="3"/>
  <c r="C33" i="4" s="1"/>
  <c r="E21" i="3"/>
  <c r="C7" i="3"/>
  <c r="W12" i="2"/>
  <c r="I6" i="7"/>
  <c r="Q37" i="2"/>
  <c r="A1" i="6"/>
  <c r="L1" i="6"/>
  <c r="C19" i="3"/>
  <c r="W21" i="2"/>
  <c r="W34" i="2"/>
  <c r="C31" i="3"/>
  <c r="L33" i="5"/>
  <c r="L24" i="5"/>
  <c r="L11" i="5"/>
  <c r="L7" i="5"/>
  <c r="L32" i="5"/>
  <c r="L20" i="5"/>
  <c r="L10" i="5"/>
  <c r="L31" i="5"/>
  <c r="L19" i="5"/>
  <c r="L9" i="5"/>
  <c r="L27" i="5"/>
  <c r="L15" i="5"/>
  <c r="L8" i="5"/>
  <c r="G31" i="4"/>
  <c r="G20" i="4"/>
  <c r="E33" i="4"/>
  <c r="G15" i="4"/>
  <c r="G10" i="4"/>
  <c r="E8" i="4"/>
  <c r="G7" i="4"/>
  <c r="G24" i="4"/>
  <c r="G27" i="4"/>
  <c r="E10" i="4"/>
  <c r="E20" i="4"/>
  <c r="E31" i="4"/>
  <c r="G11" i="4"/>
  <c r="G8" i="4"/>
  <c r="E7" i="4"/>
  <c r="E24" i="4"/>
  <c r="E15" i="4"/>
  <c r="E32" i="4"/>
  <c r="G19" i="4"/>
  <c r="G9" i="4"/>
  <c r="G32" i="4"/>
  <c r="G33" i="4"/>
  <c r="E11" i="4"/>
  <c r="E9" i="4"/>
  <c r="E19" i="4"/>
  <c r="E27" i="4"/>
  <c r="G37" i="3" l="1"/>
  <c r="G40" i="3" s="1"/>
  <c r="G34" i="4"/>
  <c r="E34" i="4"/>
  <c r="G21" i="4"/>
  <c r="E12" i="4"/>
  <c r="E21" i="4"/>
  <c r="G12" i="4"/>
  <c r="I32" i="4"/>
  <c r="C32" i="5" s="1"/>
  <c r="I8" i="4"/>
  <c r="C8" i="5" s="1"/>
  <c r="I31" i="3"/>
  <c r="C34" i="3"/>
  <c r="I19" i="3"/>
  <c r="C21" i="3"/>
  <c r="W37" i="2"/>
  <c r="E37" i="3"/>
  <c r="I10" i="4"/>
  <c r="C10" i="5" s="1"/>
  <c r="I6" i="8"/>
  <c r="I9" i="4"/>
  <c r="C9" i="5" s="1"/>
  <c r="I15" i="4"/>
  <c r="C15" i="5" s="1"/>
  <c r="L1" i="7"/>
  <c r="A1" i="7"/>
  <c r="I11" i="4"/>
  <c r="C11" i="5" s="1"/>
  <c r="I27" i="4"/>
  <c r="C27" i="5" s="1"/>
  <c r="L33" i="6"/>
  <c r="L24" i="6"/>
  <c r="L11" i="6"/>
  <c r="L7" i="6"/>
  <c r="L32" i="6"/>
  <c r="L20" i="6"/>
  <c r="L10" i="6"/>
  <c r="L31" i="6"/>
  <c r="L19" i="6"/>
  <c r="L9" i="6"/>
  <c r="L27" i="6"/>
  <c r="L15" i="6"/>
  <c r="L8" i="6"/>
  <c r="C12" i="3"/>
  <c r="I7" i="3"/>
  <c r="I33" i="4"/>
  <c r="C33" i="5" s="1"/>
  <c r="I20" i="4"/>
  <c r="I24" i="4"/>
  <c r="C24" i="5" s="1"/>
  <c r="G20" i="5"/>
  <c r="N9" i="12"/>
  <c r="E7" i="5"/>
  <c r="G24" i="5"/>
  <c r="G32" i="5"/>
  <c r="E8" i="5"/>
  <c r="E33" i="5"/>
  <c r="E10" i="5"/>
  <c r="G15" i="5"/>
  <c r="G8" i="5"/>
  <c r="G33" i="5"/>
  <c r="G9" i="5"/>
  <c r="E32" i="5"/>
  <c r="G7" i="5"/>
  <c r="E27" i="5"/>
  <c r="E31" i="5"/>
  <c r="N9" i="11"/>
  <c r="G27" i="5"/>
  <c r="E19" i="5"/>
  <c r="G11" i="5"/>
  <c r="G19" i="5"/>
  <c r="E20" i="5"/>
  <c r="E24" i="5"/>
  <c r="G10" i="5"/>
  <c r="E15" i="5"/>
  <c r="E11" i="5"/>
  <c r="G31" i="5"/>
  <c r="E9" i="5"/>
  <c r="G37" i="4" l="1"/>
  <c r="G41" i="4" s="1"/>
  <c r="E21" i="5"/>
  <c r="G21" i="5"/>
  <c r="E12" i="5"/>
  <c r="G34" i="5"/>
  <c r="E34" i="5"/>
  <c r="G12" i="5"/>
  <c r="I11" i="5"/>
  <c r="C11" i="6" s="1"/>
  <c r="L1" i="8"/>
  <c r="A1" i="8"/>
  <c r="I33" i="5"/>
  <c r="C33" i="6" s="1"/>
  <c r="I15" i="5"/>
  <c r="C15" i="6" s="1"/>
  <c r="C19" i="4"/>
  <c r="I21" i="3"/>
  <c r="I12" i="3"/>
  <c r="C7" i="4"/>
  <c r="L27" i="7"/>
  <c r="L15" i="7"/>
  <c r="L8" i="7"/>
  <c r="L33" i="7"/>
  <c r="L24" i="7"/>
  <c r="L11" i="7"/>
  <c r="L7" i="7"/>
  <c r="L32" i="7"/>
  <c r="L20" i="7"/>
  <c r="L10" i="7"/>
  <c r="L31" i="7"/>
  <c r="L19" i="7"/>
  <c r="L9" i="7"/>
  <c r="I9" i="5"/>
  <c r="C9" i="6" s="1"/>
  <c r="I8" i="5"/>
  <c r="C8" i="6" s="1"/>
  <c r="E37" i="4"/>
  <c r="E41" i="4" s="1"/>
  <c r="C20" i="12"/>
  <c r="C20" i="11"/>
  <c r="C20" i="9"/>
  <c r="C20" i="10"/>
  <c r="C20" i="8"/>
  <c r="C20" i="5"/>
  <c r="I20" i="5" s="1"/>
  <c r="C20" i="6" s="1"/>
  <c r="I10" i="5"/>
  <c r="C10" i="6" s="1"/>
  <c r="I34" i="3"/>
  <c r="C31" i="4"/>
  <c r="I24" i="5"/>
  <c r="C24" i="6" s="1"/>
  <c r="C37" i="3"/>
  <c r="I27" i="5"/>
  <c r="C27" i="6" s="1"/>
  <c r="I6" i="9"/>
  <c r="I32" i="5"/>
  <c r="C32" i="6" s="1"/>
  <c r="E9" i="6"/>
  <c r="G11" i="6"/>
  <c r="G32" i="6"/>
  <c r="E27" i="6"/>
  <c r="G24" i="6"/>
  <c r="G20" i="6"/>
  <c r="G33" i="6"/>
  <c r="E15" i="6"/>
  <c r="E31" i="6"/>
  <c r="E8" i="6"/>
  <c r="G9" i="6"/>
  <c r="E32" i="6"/>
  <c r="E20" i="6"/>
  <c r="G10" i="6"/>
  <c r="G31" i="6"/>
  <c r="E33" i="6"/>
  <c r="G15" i="6"/>
  <c r="E7" i="6"/>
  <c r="G27" i="6"/>
  <c r="G19" i="6"/>
  <c r="E19" i="6"/>
  <c r="E24" i="6"/>
  <c r="E10" i="6"/>
  <c r="E11" i="6"/>
  <c r="G8" i="6"/>
  <c r="G7" i="6"/>
  <c r="G37" i="5" l="1"/>
  <c r="G41" i="5" s="1"/>
  <c r="E34" i="6"/>
  <c r="G34" i="6"/>
  <c r="E12" i="6"/>
  <c r="E21" i="6"/>
  <c r="G12" i="6"/>
  <c r="G21" i="6"/>
  <c r="I19" i="4"/>
  <c r="C21" i="4"/>
  <c r="I27" i="6"/>
  <c r="C27" i="7" s="1"/>
  <c r="I24" i="6"/>
  <c r="C24" i="7" s="1"/>
  <c r="I20" i="6"/>
  <c r="C20" i="7" s="1"/>
  <c r="I9" i="6"/>
  <c r="C9" i="7" s="1"/>
  <c r="I7" i="4"/>
  <c r="C12" i="4"/>
  <c r="I15" i="6"/>
  <c r="C15" i="7" s="1"/>
  <c r="I32" i="6"/>
  <c r="C32" i="7" s="1"/>
  <c r="C34" i="4"/>
  <c r="I31" i="4"/>
  <c r="I37" i="3"/>
  <c r="L31" i="8"/>
  <c r="L19" i="8"/>
  <c r="L9" i="8"/>
  <c r="L27" i="8"/>
  <c r="L15" i="8"/>
  <c r="L8" i="8"/>
  <c r="L33" i="8"/>
  <c r="L24" i="8"/>
  <c r="L11" i="8"/>
  <c r="L7" i="8"/>
  <c r="L32" i="8"/>
  <c r="L20" i="8"/>
  <c r="L10" i="8"/>
  <c r="L1" i="9"/>
  <c r="A1" i="9"/>
  <c r="I10" i="6"/>
  <c r="C10" i="7" s="1"/>
  <c r="I8" i="6"/>
  <c r="C8" i="7" s="1"/>
  <c r="I33" i="6"/>
  <c r="C33" i="7" s="1"/>
  <c r="I6" i="10"/>
  <c r="I11" i="6"/>
  <c r="C11" i="7" s="1"/>
  <c r="E37" i="5"/>
  <c r="E41" i="5" s="1"/>
  <c r="G11" i="7"/>
  <c r="G31" i="7"/>
  <c r="G10" i="7"/>
  <c r="G9" i="7"/>
  <c r="E10" i="7"/>
  <c r="E20" i="7"/>
  <c r="E33" i="7"/>
  <c r="E15" i="7"/>
  <c r="E7" i="7"/>
  <c r="E11" i="7"/>
  <c r="G7" i="7"/>
  <c r="G15" i="7"/>
  <c r="G19" i="7"/>
  <c r="G27" i="7"/>
  <c r="G32" i="7"/>
  <c r="E32" i="7"/>
  <c r="E8" i="7"/>
  <c r="E24" i="7"/>
  <c r="G33" i="7"/>
  <c r="E19" i="7"/>
  <c r="E31" i="7"/>
  <c r="E27" i="7"/>
  <c r="G20" i="7"/>
  <c r="G24" i="7"/>
  <c r="G8" i="7"/>
  <c r="E9" i="7"/>
  <c r="C37" i="4" l="1"/>
  <c r="E21" i="7"/>
  <c r="G21" i="7"/>
  <c r="G12" i="7"/>
  <c r="G34" i="7"/>
  <c r="E34" i="7"/>
  <c r="E12" i="7"/>
  <c r="I8" i="7"/>
  <c r="C8" i="8" s="1"/>
  <c r="C31" i="5"/>
  <c r="I34" i="4"/>
  <c r="I9" i="7"/>
  <c r="C9" i="8" s="1"/>
  <c r="I10" i="7"/>
  <c r="C10" i="8" s="1"/>
  <c r="C7" i="5"/>
  <c r="I12" i="4"/>
  <c r="G37" i="6"/>
  <c r="G41" i="6" s="1"/>
  <c r="I32" i="7"/>
  <c r="C32" i="8" s="1"/>
  <c r="I20" i="7"/>
  <c r="I21" i="4"/>
  <c r="C19" i="5"/>
  <c r="L1" i="10"/>
  <c r="A1" i="10"/>
  <c r="I27" i="7"/>
  <c r="C27" i="8" s="1"/>
  <c r="I33" i="7"/>
  <c r="C33" i="8" s="1"/>
  <c r="I11" i="7"/>
  <c r="C11" i="8" s="1"/>
  <c r="I6" i="11"/>
  <c r="I6" i="12"/>
  <c r="L33" i="9"/>
  <c r="L24" i="9"/>
  <c r="L32" i="9"/>
  <c r="L20" i="9"/>
  <c r="L31" i="9"/>
  <c r="L19" i="9"/>
  <c r="L10" i="9"/>
  <c r="L9" i="9"/>
  <c r="L8" i="9"/>
  <c r="L27" i="9"/>
  <c r="L15" i="9"/>
  <c r="L11" i="9"/>
  <c r="L7" i="9"/>
  <c r="I15" i="7"/>
  <c r="C15" i="8" s="1"/>
  <c r="I24" i="7"/>
  <c r="C24" i="8" s="1"/>
  <c r="E37" i="6"/>
  <c r="E41" i="6" s="1"/>
  <c r="G31" i="8"/>
  <c r="E8" i="8"/>
  <c r="E11" i="8"/>
  <c r="G32" i="8"/>
  <c r="E32" i="8"/>
  <c r="E7" i="8"/>
  <c r="E27" i="8"/>
  <c r="G20" i="8"/>
  <c r="G19" i="8"/>
  <c r="G24" i="8"/>
  <c r="E33" i="8"/>
  <c r="E19" i="8"/>
  <c r="G15" i="8"/>
  <c r="G8" i="8"/>
  <c r="G7" i="8"/>
  <c r="G10" i="8"/>
  <c r="E10" i="8"/>
  <c r="G27" i="8"/>
  <c r="E20" i="8"/>
  <c r="E15" i="8"/>
  <c r="E24" i="8"/>
  <c r="E31" i="8"/>
  <c r="E9" i="8"/>
  <c r="G11" i="8"/>
  <c r="G33" i="8"/>
  <c r="G9" i="8"/>
  <c r="I37" i="4" l="1"/>
  <c r="E37" i="7"/>
  <c r="E41" i="7" s="1"/>
  <c r="E21" i="8"/>
  <c r="E12" i="8"/>
  <c r="E34" i="8"/>
  <c r="G21" i="8"/>
  <c r="G12" i="8"/>
  <c r="G34" i="8"/>
  <c r="I20" i="8"/>
  <c r="A1" i="12"/>
  <c r="L1" i="12"/>
  <c r="L1" i="11"/>
  <c r="A1" i="11"/>
  <c r="C21" i="5"/>
  <c r="I19" i="5"/>
  <c r="I7" i="5"/>
  <c r="C12" i="5"/>
  <c r="I9" i="8"/>
  <c r="C9" i="9" s="1"/>
  <c r="I24" i="8"/>
  <c r="C24" i="9" s="1"/>
  <c r="I15" i="8"/>
  <c r="C15" i="9" s="1"/>
  <c r="L27" i="10"/>
  <c r="L15" i="10"/>
  <c r="L8" i="10"/>
  <c r="L33" i="10"/>
  <c r="L24" i="10"/>
  <c r="L11" i="10"/>
  <c r="L7" i="10"/>
  <c r="L32" i="10"/>
  <c r="L20" i="10"/>
  <c r="L10" i="10"/>
  <c r="L31" i="10"/>
  <c r="L9" i="10"/>
  <c r="L19" i="10"/>
  <c r="I32" i="8"/>
  <c r="C32" i="9" s="1"/>
  <c r="I10" i="8"/>
  <c r="C10" i="9" s="1"/>
  <c r="I11" i="8"/>
  <c r="C11" i="9" s="1"/>
  <c r="I8" i="8"/>
  <c r="C8" i="9" s="1"/>
  <c r="G37" i="7"/>
  <c r="G41" i="7" s="1"/>
  <c r="C34" i="5"/>
  <c r="I31" i="5"/>
  <c r="I33" i="8"/>
  <c r="C33" i="9" s="1"/>
  <c r="I27" i="8"/>
  <c r="C27" i="9" s="1"/>
  <c r="E20" i="9"/>
  <c r="G10" i="9"/>
  <c r="G32" i="9"/>
  <c r="G8" i="9"/>
  <c r="E9" i="9"/>
  <c r="E19" i="9"/>
  <c r="G27" i="9"/>
  <c r="E11" i="9"/>
  <c r="G9" i="9"/>
  <c r="E31" i="9"/>
  <c r="G33" i="9"/>
  <c r="E15" i="9"/>
  <c r="E24" i="9"/>
  <c r="G24" i="9"/>
  <c r="E8" i="9"/>
  <c r="E32" i="9"/>
  <c r="E10" i="9"/>
  <c r="G11" i="9"/>
  <c r="G15" i="9"/>
  <c r="E33" i="9"/>
  <c r="E27" i="9"/>
  <c r="G31" i="9"/>
  <c r="G20" i="9"/>
  <c r="G19" i="9"/>
  <c r="E7" i="9"/>
  <c r="G7" i="9"/>
  <c r="G37" i="8" l="1"/>
  <c r="G41" i="8" s="1"/>
  <c r="C37" i="5"/>
  <c r="G12" i="9"/>
  <c r="G34" i="9"/>
  <c r="I20" i="9"/>
  <c r="E12" i="9"/>
  <c r="G21" i="9"/>
  <c r="E34" i="9"/>
  <c r="E21" i="9"/>
  <c r="C31" i="6"/>
  <c r="I34" i="5"/>
  <c r="C7" i="6"/>
  <c r="I12" i="5"/>
  <c r="L31" i="11"/>
  <c r="L19" i="11"/>
  <c r="L9" i="11"/>
  <c r="L32" i="11"/>
  <c r="L20" i="11"/>
  <c r="L10" i="11"/>
  <c r="L33" i="11"/>
  <c r="L24" i="11"/>
  <c r="L11" i="11"/>
  <c r="L7" i="11"/>
  <c r="L27" i="11"/>
  <c r="L15" i="11"/>
  <c r="L8" i="11"/>
  <c r="I33" i="9"/>
  <c r="C33" i="10" s="1"/>
  <c r="I8" i="9"/>
  <c r="C8" i="10" s="1"/>
  <c r="I10" i="9"/>
  <c r="C10" i="10" s="1"/>
  <c r="I24" i="9"/>
  <c r="C24" i="10" s="1"/>
  <c r="C19" i="6"/>
  <c r="I21" i="5"/>
  <c r="I27" i="9"/>
  <c r="C27" i="10" s="1"/>
  <c r="I11" i="9"/>
  <c r="C11" i="10" s="1"/>
  <c r="I32" i="9"/>
  <c r="C32" i="10" s="1"/>
  <c r="I15" i="9"/>
  <c r="C15" i="10" s="1"/>
  <c r="I9" i="9"/>
  <c r="C9" i="10" s="1"/>
  <c r="E37" i="8"/>
  <c r="E41" i="8" s="1"/>
  <c r="L27" i="12"/>
  <c r="L20" i="12"/>
  <c r="L10" i="12"/>
  <c r="L32" i="12"/>
  <c r="L15" i="12"/>
  <c r="L8" i="12"/>
  <c r="L31" i="12"/>
  <c r="L11" i="12"/>
  <c r="L33" i="12"/>
  <c r="L7" i="12"/>
  <c r="L24" i="12"/>
  <c r="L19" i="12"/>
  <c r="L9" i="12"/>
  <c r="G19" i="10"/>
  <c r="E15" i="10"/>
  <c r="G27" i="10"/>
  <c r="G11" i="10"/>
  <c r="E27" i="10"/>
  <c r="E19" i="10"/>
  <c r="G9" i="10"/>
  <c r="G10" i="10"/>
  <c r="G8" i="10"/>
  <c r="G33" i="10"/>
  <c r="G15" i="10"/>
  <c r="G20" i="10"/>
  <c r="E32" i="10"/>
  <c r="E20" i="10"/>
  <c r="E33" i="10"/>
  <c r="G31" i="10"/>
  <c r="E24" i="10"/>
  <c r="E8" i="10"/>
  <c r="E7" i="10"/>
  <c r="E31" i="10"/>
  <c r="E10" i="10"/>
  <c r="G32" i="10"/>
  <c r="G24" i="10"/>
  <c r="E9" i="10"/>
  <c r="G7" i="10"/>
  <c r="E11" i="10"/>
  <c r="E37" i="9" l="1"/>
  <c r="E41" i="9" s="1"/>
  <c r="E34" i="10"/>
  <c r="I20" i="10"/>
  <c r="E12" i="10"/>
  <c r="G21" i="10"/>
  <c r="G34" i="10"/>
  <c r="G12" i="10"/>
  <c r="E21" i="10"/>
  <c r="I15" i="10"/>
  <c r="C15" i="11" s="1"/>
  <c r="I24" i="10"/>
  <c r="C24" i="11" s="1"/>
  <c r="I8" i="10"/>
  <c r="C8" i="11" s="1"/>
  <c r="I27" i="10"/>
  <c r="C27" i="11" s="1"/>
  <c r="I11" i="10"/>
  <c r="C11" i="11" s="1"/>
  <c r="I7" i="6"/>
  <c r="C12" i="6"/>
  <c r="C34" i="6"/>
  <c r="I31" i="6"/>
  <c r="I9" i="10"/>
  <c r="C9" i="11" s="1"/>
  <c r="I32" i="10"/>
  <c r="C32" i="11" s="1"/>
  <c r="C21" i="6"/>
  <c r="I19" i="6"/>
  <c r="I10" i="10"/>
  <c r="C10" i="11" s="1"/>
  <c r="I33" i="10"/>
  <c r="C33" i="11" s="1"/>
  <c r="I37" i="5"/>
  <c r="G37" i="9"/>
  <c r="G41" i="9" s="1"/>
  <c r="E27" i="12"/>
  <c r="G9" i="11"/>
  <c r="G31" i="11"/>
  <c r="E9" i="12"/>
  <c r="G7" i="12"/>
  <c r="G10" i="11"/>
  <c r="E15" i="12"/>
  <c r="G32" i="12"/>
  <c r="E32" i="12"/>
  <c r="E31" i="12"/>
  <c r="E31" i="11"/>
  <c r="G11" i="11"/>
  <c r="E15" i="11"/>
  <c r="E20" i="12"/>
  <c r="E20" i="11"/>
  <c r="E32" i="11"/>
  <c r="G32" i="11"/>
  <c r="G20" i="11"/>
  <c r="G19" i="11"/>
  <c r="E24" i="12"/>
  <c r="E19" i="12"/>
  <c r="G24" i="12"/>
  <c r="E19" i="11"/>
  <c r="E10" i="11"/>
  <c r="E10" i="12"/>
  <c r="E27" i="11"/>
  <c r="G15" i="12"/>
  <c r="G27" i="12"/>
  <c r="G27" i="11"/>
  <c r="G7" i="11"/>
  <c r="E7" i="11"/>
  <c r="G8" i="12"/>
  <c r="E7" i="12"/>
  <c r="G8" i="11"/>
  <c r="G33" i="12"/>
  <c r="G11" i="12"/>
  <c r="G31" i="12"/>
  <c r="G9" i="12"/>
  <c r="G10" i="12"/>
  <c r="E8" i="12"/>
  <c r="G24" i="11"/>
  <c r="G33" i="11"/>
  <c r="E11" i="11"/>
  <c r="E8" i="11"/>
  <c r="E33" i="11"/>
  <c r="G19" i="12"/>
  <c r="E9" i="11"/>
  <c r="E33" i="12"/>
  <c r="E11" i="12"/>
  <c r="G20" i="12"/>
  <c r="G15" i="11"/>
  <c r="E24" i="11"/>
  <c r="G37" i="10" l="1"/>
  <c r="G41" i="10" s="1"/>
  <c r="G34" i="11"/>
  <c r="E21" i="12"/>
  <c r="G34" i="12"/>
  <c r="E21" i="11"/>
  <c r="E34" i="12"/>
  <c r="I20" i="11"/>
  <c r="O20" i="11" s="1"/>
  <c r="G21" i="11"/>
  <c r="G12" i="11"/>
  <c r="E12" i="12"/>
  <c r="I20" i="12"/>
  <c r="E12" i="11"/>
  <c r="E34" i="11"/>
  <c r="G21" i="12"/>
  <c r="G12" i="12"/>
  <c r="I11" i="11"/>
  <c r="I8" i="11"/>
  <c r="I33" i="11"/>
  <c r="I10" i="11"/>
  <c r="I9" i="11"/>
  <c r="I34" i="6"/>
  <c r="C31" i="7"/>
  <c r="I15" i="11"/>
  <c r="C37" i="6"/>
  <c r="I32" i="11"/>
  <c r="I24" i="11"/>
  <c r="I21" i="6"/>
  <c r="C19" i="7"/>
  <c r="I27" i="11"/>
  <c r="E37" i="10"/>
  <c r="E41" i="10" s="1"/>
  <c r="I12" i="6"/>
  <c r="C7" i="7"/>
  <c r="N31" i="11"/>
  <c r="N31" i="12"/>
  <c r="I37" i="6" l="1"/>
  <c r="E37" i="11"/>
  <c r="E37" i="12"/>
  <c r="O24" i="11"/>
  <c r="C24" i="12"/>
  <c r="I24" i="12" s="1"/>
  <c r="O24" i="12" s="1"/>
  <c r="C34" i="7"/>
  <c r="I31" i="7"/>
  <c r="C33" i="12"/>
  <c r="I33" i="12" s="1"/>
  <c r="C27" i="12"/>
  <c r="I27" i="12" s="1"/>
  <c r="C32" i="12"/>
  <c r="I32" i="12" s="1"/>
  <c r="O32" i="12" s="1"/>
  <c r="O32" i="11"/>
  <c r="C8" i="12"/>
  <c r="I8" i="12" s="1"/>
  <c r="O8" i="12" s="1"/>
  <c r="O8" i="11"/>
  <c r="G37" i="11"/>
  <c r="C12" i="7"/>
  <c r="I7" i="7"/>
  <c r="I19" i="7"/>
  <c r="C21" i="7"/>
  <c r="C9" i="12"/>
  <c r="I9" i="12" s="1"/>
  <c r="O9" i="12" s="1"/>
  <c r="O9" i="11"/>
  <c r="O11" i="11"/>
  <c r="C11" i="12"/>
  <c r="I11" i="12" s="1"/>
  <c r="O11" i="12" s="1"/>
  <c r="C15" i="12"/>
  <c r="I15" i="12" s="1"/>
  <c r="O15" i="12" s="1"/>
  <c r="O15" i="11"/>
  <c r="C10" i="12"/>
  <c r="I10" i="12" s="1"/>
  <c r="O10" i="12" s="1"/>
  <c r="O10" i="11"/>
  <c r="G37" i="12"/>
  <c r="N27" i="11"/>
  <c r="N27" i="12"/>
  <c r="O27" i="11" l="1"/>
  <c r="O27" i="12"/>
  <c r="C19" i="8"/>
  <c r="I21" i="7"/>
  <c r="C31" i="8"/>
  <c r="I34" i="7"/>
  <c r="I12" i="7"/>
  <c r="C7" i="8"/>
  <c r="C37" i="7"/>
  <c r="I37" i="7" l="1"/>
  <c r="I19" i="8"/>
  <c r="C21" i="8"/>
  <c r="C34" i="8"/>
  <c r="I31" i="8"/>
  <c r="C12" i="8"/>
  <c r="I7" i="8"/>
  <c r="C37" i="8" l="1"/>
  <c r="C19" i="9"/>
  <c r="I21" i="8"/>
  <c r="C31" i="9"/>
  <c r="I34" i="8"/>
  <c r="I12" i="8"/>
  <c r="C7" i="9"/>
  <c r="I37" i="8" l="1"/>
  <c r="C21" i="9"/>
  <c r="I19" i="9"/>
  <c r="I31" i="9"/>
  <c r="C34" i="9"/>
  <c r="I7" i="9"/>
  <c r="C12" i="9"/>
  <c r="C7" i="10" l="1"/>
  <c r="I12" i="9"/>
  <c r="I34" i="9"/>
  <c r="C31" i="10"/>
  <c r="C37" i="9"/>
  <c r="I21" i="9"/>
  <c r="C19" i="10"/>
  <c r="C12" i="10" l="1"/>
  <c r="I7" i="10"/>
  <c r="C34" i="10"/>
  <c r="I31" i="10"/>
  <c r="I19" i="10"/>
  <c r="C21" i="10"/>
  <c r="I37" i="9"/>
  <c r="C37" i="10" l="1"/>
  <c r="C19" i="11"/>
  <c r="I21" i="10"/>
  <c r="C31" i="11"/>
  <c r="I34" i="10"/>
  <c r="I12" i="10"/>
  <c r="C7" i="11"/>
  <c r="I37" i="10" l="1"/>
  <c r="I19" i="11"/>
  <c r="C21" i="11"/>
  <c r="I31" i="11"/>
  <c r="C34" i="11"/>
  <c r="C12" i="11"/>
  <c r="I7" i="11"/>
  <c r="N33" i="11"/>
  <c r="N33" i="12"/>
  <c r="O33" i="12" l="1"/>
  <c r="O33" i="11"/>
  <c r="C37" i="11"/>
  <c r="C19" i="12"/>
  <c r="O19" i="11"/>
  <c r="I21" i="11"/>
  <c r="I34" i="11"/>
  <c r="C31" i="12"/>
  <c r="O31" i="11"/>
  <c r="I12" i="11"/>
  <c r="O7" i="11"/>
  <c r="C7" i="12"/>
  <c r="O35" i="11" l="1"/>
  <c r="I37" i="11"/>
  <c r="C12" i="12"/>
  <c r="I7" i="12"/>
  <c r="C34" i="12"/>
  <c r="I31" i="12"/>
  <c r="I19" i="12"/>
  <c r="C21" i="12"/>
  <c r="C37" i="12" l="1"/>
  <c r="I34" i="12"/>
  <c r="O31" i="12"/>
  <c r="I21" i="12"/>
  <c r="O19" i="12"/>
  <c r="I12" i="12"/>
  <c r="O7" i="12"/>
  <c r="O35" i="12" l="1"/>
  <c r="I37" i="12"/>
</calcChain>
</file>

<file path=xl/sharedStrings.xml><?xml version="1.0" encoding="utf-8"?>
<sst xmlns="http://schemas.openxmlformats.org/spreadsheetml/2006/main" count="1572" uniqueCount="105">
  <si>
    <t>Stock Name</t>
  </si>
  <si>
    <t>Great Wall Motor</t>
  </si>
  <si>
    <t>Accu / Decu</t>
  </si>
  <si>
    <t>Transactions September 1-6, 2021</t>
  </si>
  <si>
    <t>Spot / Transfer / Payshort</t>
  </si>
  <si>
    <t>Transactions September 1-3, 2021</t>
  </si>
  <si>
    <t>Beginning</t>
  </si>
  <si>
    <t>Last Month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</si>
  <si>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</si>
  <si>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</si>
  <si>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</si>
  <si>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</si>
  <si>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</si>
  <si>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</si>
  <si>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</si>
  <si>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</si>
  <si>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</si>
  <si>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</si>
  <si>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 xml:space="preserve">as of </t>
  </si>
  <si>
    <t>Closing</t>
  </si>
  <si>
    <t>#</t>
  </si>
  <si>
    <t>Account</t>
  </si>
  <si>
    <t>Shares on hand</t>
  </si>
  <si>
    <t>+</t>
  </si>
  <si>
    <t>Buy (Accu)</t>
  </si>
  <si>
    <t>-</t>
  </si>
  <si>
    <t>Sell (Decu)</t>
  </si>
  <si>
    <t>Buy (Spot)</t>
  </si>
  <si>
    <t>Sell (Spot)</t>
  </si>
  <si>
    <t>Transfer</t>
  </si>
  <si>
    <t xml:space="preserve">Pay Short </t>
  </si>
  <si>
    <t>=</t>
  </si>
  <si>
    <t>Balance</t>
  </si>
  <si>
    <t>Accumulator</t>
  </si>
  <si>
    <t>Decumulator</t>
  </si>
  <si>
    <t>Estimate End Shares Balance</t>
  </si>
  <si>
    <t>Done</t>
  </si>
  <si>
    <t>From Acct.</t>
  </si>
  <si>
    <t>Future</t>
  </si>
  <si>
    <t>A. Citibank</t>
  </si>
  <si>
    <t>Total short till January</t>
  </si>
  <si>
    <t>Citibank Account No. 1</t>
  </si>
  <si>
    <t>Total</t>
  </si>
  <si>
    <t>CB1</t>
  </si>
  <si>
    <t>Citibank Account No. 2</t>
  </si>
  <si>
    <t>CB2</t>
  </si>
  <si>
    <t>Citibank Account No. 3</t>
  </si>
  <si>
    <t>CB3</t>
  </si>
  <si>
    <t>Citibank Berry Hill</t>
  </si>
  <si>
    <t>CBBH</t>
  </si>
  <si>
    <t>Citibank Berry Hill No. 2</t>
  </si>
  <si>
    <t>CBBH2</t>
  </si>
  <si>
    <t>Sub-Total</t>
  </si>
  <si>
    <t>B. Bank of Singapore</t>
  </si>
  <si>
    <t>BOS</t>
  </si>
  <si>
    <t>Bank of Singapore</t>
  </si>
  <si>
    <t>C. Deutsche Bank</t>
  </si>
  <si>
    <t>Deutsche - Personal</t>
  </si>
  <si>
    <t>DBPe</t>
  </si>
  <si>
    <t>Deutsche - Perfect Legend</t>
  </si>
  <si>
    <t>DBPL</t>
  </si>
  <si>
    <t>D. Standard Chartered</t>
  </si>
  <si>
    <t>SC</t>
  </si>
  <si>
    <t>Standard Chartered Bank</t>
  </si>
  <si>
    <t>SHK</t>
  </si>
  <si>
    <t>Sun Hung Kai</t>
  </si>
  <si>
    <t>Morgan  - Titan No. 1</t>
  </si>
  <si>
    <t>MST1</t>
  </si>
  <si>
    <t>Morgan  - Titan No. 2</t>
  </si>
  <si>
    <t>MST2</t>
  </si>
  <si>
    <t>Morgan - Perfect Legend</t>
  </si>
  <si>
    <t>MSPL</t>
  </si>
  <si>
    <t>Grand Total</t>
  </si>
  <si>
    <t>as of</t>
  </si>
  <si>
    <t>SHORT</t>
  </si>
  <si>
    <t>December</t>
  </si>
  <si>
    <t>January</t>
  </si>
  <si>
    <t>Forecast: Next Fixing</t>
  </si>
  <si>
    <t>Date as of:</t>
  </si>
  <si>
    <t>Spot reference</t>
  </si>
  <si>
    <t>BANK:</t>
  </si>
  <si>
    <t>ACCOUNT:</t>
  </si>
  <si>
    <t>Accumulated / Decumulated Shares</t>
  </si>
  <si>
    <t>Days Done</t>
  </si>
  <si>
    <t>No of Days Double</t>
  </si>
  <si>
    <t>Rem. Days</t>
  </si>
  <si>
    <t>Estimate Shares</t>
  </si>
  <si>
    <t>Total Days</t>
  </si>
  <si>
    <t>Date</t>
  </si>
  <si>
    <t>Product</t>
  </si>
  <si>
    <t>Strike</t>
  </si>
  <si>
    <t>KO</t>
  </si>
  <si>
    <t>Shares (Single)</t>
  </si>
  <si>
    <t>Share(s)</t>
  </si>
  <si>
    <t>Single</t>
  </si>
  <si>
    <t>Double</t>
  </si>
  <si>
    <t>Average</t>
  </si>
  <si>
    <t>Gain (Loss)</t>
  </si>
  <si>
    <t xml:space="preserve">Accu / </t>
  </si>
  <si>
    <t>+ Estimate</t>
  </si>
  <si>
    <t>Transactions Done</t>
  </si>
  <si>
    <t>Decu</t>
  </si>
  <si>
    <t>D. Sun Hung Kai</t>
  </si>
  <si>
    <t>E. Morgan Stanley</t>
  </si>
  <si>
    <t>Transactions September 1 - 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</si>
</sst>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_(* #,##0_);_(* \(#,##0\);_(* &quot;-&quot;??_);_(@_)"/>
    <numFmt numFmtId="166" formatCode="d\-mmm\-yyyy"/>
    <numFmt numFmtId="167" formatCode="[$-F800]dddd\,\ mmmm\ dd\,\ yyyy\ hh:mm\ AM/PM"/>
    <numFmt numFmtId="168" formatCode="mmmm\ d\,\ yyyy\ h:mm\ AM/PM"/>
    <numFmt numFmtId="169" formatCode="mmmm\ d\,\ yyyy"/>
    <numFmt numFmtId="170" formatCode="dd\-mmm\-yyyy"/>
  </numFmts>
  <fonts count="19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20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333333"/>
      <name val="Arial"/>
      <family val="2"/>
    </font>
    <font>
      <b/>
      <sz val="14"/>
      <color theme="1"/>
      <name val="Times New Roman"/>
      <family val="1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9EB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9" fillId="0" borderId="0"/>
    <xf numFmtId="164" fontId="9" fillId="0" borderId="0"/>
  </cellStyleXfs>
  <cellXfs count="13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3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1" fontId="10" fillId="0" borderId="0" xfId="1" applyNumberFormat="1" applyFont="1" applyAlignment="1">
      <alignment horizontal="left"/>
    </xf>
    <xf numFmtId="0" fontId="11" fillId="0" borderId="0" xfId="1" applyNumberFormat="1" applyFont="1"/>
    <xf numFmtId="1" fontId="12" fillId="0" borderId="0" xfId="1" applyNumberFormat="1" applyFont="1" applyAlignment="1">
      <alignment horizontal="center"/>
    </xf>
    <xf numFmtId="1" fontId="14" fillId="0" borderId="0" xfId="1" applyNumberFormat="1" applyFont="1" applyAlignment="1">
      <alignment horizontal="center" vertical="center" wrapText="1"/>
    </xf>
    <xf numFmtId="0" fontId="15" fillId="0" borderId="0" xfId="1" applyNumberFormat="1" applyFont="1" applyAlignment="1">
      <alignment horizontal="center" vertical="center"/>
    </xf>
    <xf numFmtId="0" fontId="14" fillId="0" borderId="0" xfId="1" applyNumberFormat="1" applyFont="1" applyAlignment="1">
      <alignment horizontal="center" vertical="center" wrapText="1"/>
    </xf>
    <xf numFmtId="1" fontId="14" fillId="0" borderId="0" xfId="1" applyNumberFormat="1" applyFont="1" applyAlignment="1">
      <alignment horizontal="left"/>
    </xf>
    <xf numFmtId="14" fontId="14" fillId="0" borderId="0" xfId="2" applyNumberFormat="1" applyFont="1" applyAlignment="1">
      <alignment horizontal="center"/>
    </xf>
    <xf numFmtId="0" fontId="14" fillId="0" borderId="0" xfId="1" applyNumberFormat="1" applyFont="1" applyAlignment="1">
      <alignment horizontal="center"/>
    </xf>
    <xf numFmtId="16" fontId="14" fillId="0" borderId="0" xfId="1" applyNumberFormat="1" applyFont="1" applyAlignment="1">
      <alignment horizontal="center"/>
    </xf>
    <xf numFmtId="1" fontId="14" fillId="0" borderId="0" xfId="1" applyNumberFormat="1" applyFont="1" applyAlignment="1">
      <alignment horizontal="center" vertical="center"/>
    </xf>
    <xf numFmtId="38" fontId="15" fillId="0" borderId="1" xfId="2" applyNumberFormat="1" applyFont="1" applyBorder="1" applyAlignment="1">
      <alignment horizontal="right" vertical="center"/>
    </xf>
    <xf numFmtId="37" fontId="15" fillId="0" borderId="1" xfId="2" applyNumberFormat="1" applyFont="1" applyBorder="1" applyAlignment="1">
      <alignment horizontal="right" vertical="center"/>
    </xf>
    <xf numFmtId="37" fontId="15" fillId="5" borderId="1" xfId="2" applyNumberFormat="1" applyFont="1" applyFill="1" applyBorder="1" applyAlignment="1">
      <alignment horizontal="right" vertical="center"/>
    </xf>
    <xf numFmtId="16" fontId="14" fillId="6" borderId="0" xfId="1" applyNumberFormat="1" applyFont="1" applyFill="1" applyAlignment="1">
      <alignment horizontal="center"/>
    </xf>
    <xf numFmtId="16" fontId="15" fillId="0" borderId="0" xfId="1" applyNumberFormat="1" applyFont="1" applyAlignment="1">
      <alignment vertical="center"/>
    </xf>
    <xf numFmtId="0" fontId="12" fillId="0" borderId="0" xfId="1" applyNumberFormat="1" applyFont="1"/>
    <xf numFmtId="16" fontId="12" fillId="0" borderId="6" xfId="1" applyNumberFormat="1" applyFont="1" applyBorder="1" applyAlignment="1">
      <alignment horizontal="center"/>
    </xf>
    <xf numFmtId="1" fontId="14" fillId="0" borderId="0" xfId="1" applyNumberFormat="1" applyFont="1" applyAlignment="1">
      <alignment horizontal="center"/>
    </xf>
    <xf numFmtId="0" fontId="15" fillId="0" borderId="0" xfId="1" applyNumberFormat="1" applyFont="1"/>
    <xf numFmtId="1" fontId="14" fillId="0" borderId="0" xfId="1" applyNumberFormat="1" applyFont="1" applyAlignment="1">
      <alignment horizontal="left" vertical="center"/>
    </xf>
    <xf numFmtId="3" fontId="16" fillId="0" borderId="0" xfId="1" applyNumberFormat="1" applyFont="1"/>
    <xf numFmtId="0" fontId="11" fillId="0" borderId="0" xfId="2" applyNumberFormat="1" applyFont="1"/>
    <xf numFmtId="0" fontId="14" fillId="0" borderId="0" xfId="2" applyNumberFormat="1" applyFont="1" applyAlignment="1">
      <alignment horizontal="center" vertical="center" wrapText="1"/>
    </xf>
    <xf numFmtId="0" fontId="14" fillId="0" borderId="0" xfId="2" applyNumberFormat="1" applyFont="1" applyAlignment="1">
      <alignment horizontal="center"/>
    </xf>
    <xf numFmtId="38" fontId="18" fillId="0" borderId="1" xfId="2" applyNumberFormat="1" applyFont="1" applyBorder="1" applyAlignment="1">
      <alignment horizontal="right" vertical="center"/>
    </xf>
    <xf numFmtId="0" fontId="15" fillId="0" borderId="0" xfId="2" applyNumberFormat="1" applyFont="1" applyAlignment="1">
      <alignment vertical="center"/>
    </xf>
    <xf numFmtId="38" fontId="15" fillId="0" borderId="0" xfId="1" applyNumberFormat="1" applyFont="1" applyAlignment="1">
      <alignment vertical="center"/>
    </xf>
    <xf numFmtId="0" fontId="15" fillId="0" borderId="6" xfId="2" applyNumberFormat="1" applyFont="1" applyBorder="1"/>
    <xf numFmtId="0" fontId="15" fillId="0" borderId="0" xfId="2" applyNumberFormat="1" applyFont="1"/>
    <xf numFmtId="16" fontId="14" fillId="0" borderId="0" xfId="1" applyNumberFormat="1" applyFont="1" applyAlignment="1">
      <alignment vertical="center"/>
    </xf>
    <xf numFmtId="37" fontId="15" fillId="0" borderId="1" xfId="2" applyNumberFormat="1" applyFont="1" applyBorder="1" applyAlignment="1">
      <alignment vertical="center"/>
    </xf>
    <xf numFmtId="37" fontId="15" fillId="0" borderId="1" xfId="1" applyNumberFormat="1" applyFont="1" applyBorder="1" applyAlignment="1">
      <alignment vertical="center"/>
    </xf>
    <xf numFmtId="0" fontId="15" fillId="0" borderId="0" xfId="1" applyNumberFormat="1" applyFont="1" applyAlignment="1">
      <alignment vertical="center"/>
    </xf>
    <xf numFmtId="16" fontId="14" fillId="6" borderId="0" xfId="1" applyNumberFormat="1" applyFont="1" applyFill="1" applyAlignment="1">
      <alignment vertical="center"/>
    </xf>
    <xf numFmtId="0" fontId="11" fillId="0" borderId="6" xfId="1" applyNumberFormat="1" applyFont="1" applyBorder="1"/>
    <xf numFmtId="0" fontId="14" fillId="0" borderId="0" xfId="1" applyNumberFormat="1" applyFont="1"/>
    <xf numFmtId="4" fontId="12" fillId="0" borderId="0" xfId="1" applyNumberFormat="1" applyFont="1" applyAlignment="1">
      <alignment horizontal="center"/>
    </xf>
    <xf numFmtId="4" fontId="11" fillId="0" borderId="0" xfId="1" applyNumberFormat="1" applyFont="1"/>
    <xf numFmtId="4" fontId="11" fillId="0" borderId="0" xfId="2" applyNumberFormat="1" applyFont="1"/>
    <xf numFmtId="4" fontId="11" fillId="0" borderId="0" xfId="1" applyNumberFormat="1" applyFont="1" applyAlignment="1">
      <alignment horizontal="center"/>
    </xf>
    <xf numFmtId="3" fontId="12" fillId="0" borderId="0" xfId="1" applyNumberFormat="1" applyFont="1" applyAlignment="1">
      <alignment horizontal="center"/>
    </xf>
    <xf numFmtId="3" fontId="11" fillId="0" borderId="0" xfId="1" applyNumberFormat="1" applyFont="1"/>
    <xf numFmtId="3" fontId="11" fillId="0" borderId="0" xfId="2" applyNumberFormat="1" applyFont="1"/>
    <xf numFmtId="3" fontId="11" fillId="0" borderId="0" xfId="1" applyNumberFormat="1" applyFont="1" applyAlignment="1">
      <alignment horizontal="center"/>
    </xf>
    <xf numFmtId="37" fontId="2" fillId="0" borderId="1" xfId="1" applyNumberFormat="1" applyFont="1" applyBorder="1" applyAlignment="1">
      <alignment vertical="center"/>
    </xf>
    <xf numFmtId="3" fontId="14" fillId="0" borderId="0" xfId="1" applyNumberFormat="1" applyFont="1" applyAlignment="1">
      <alignment horizontal="center" vertical="center" wrapText="1"/>
    </xf>
    <xf numFmtId="3" fontId="14" fillId="0" borderId="0" xfId="1" applyNumberFormat="1" applyFont="1" applyAlignment="1">
      <alignment horizontal="center"/>
    </xf>
    <xf numFmtId="3" fontId="15" fillId="0" borderId="0" xfId="1" applyNumberFormat="1" applyFont="1" applyAlignment="1">
      <alignment vertical="center"/>
    </xf>
    <xf numFmtId="37" fontId="15" fillId="0" borderId="0" xfId="1" applyNumberFormat="1" applyFont="1" applyAlignment="1">
      <alignment vertical="center"/>
    </xf>
    <xf numFmtId="3" fontId="12" fillId="0" borderId="0" xfId="1" applyNumberFormat="1" applyFont="1"/>
    <xf numFmtId="3" fontId="15" fillId="0" borderId="0" xfId="1" applyNumberFormat="1" applyFont="1"/>
    <xf numFmtId="3" fontId="9" fillId="0" borderId="0" xfId="2" applyNumberFormat="1"/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70" fontId="0" fillId="0" borderId="0" xfId="0" applyNumberFormat="1"/>
    <xf numFmtId="164" fontId="11" fillId="0" borderId="0" xfId="1" applyFont="1"/>
    <xf numFmtId="165" fontId="11" fillId="0" borderId="0" xfId="2" applyNumberFormat="1" applyFont="1"/>
    <xf numFmtId="164" fontId="11" fillId="0" borderId="0" xfId="1" applyFont="1" applyAlignment="1">
      <alignment horizontal="center"/>
    </xf>
    <xf numFmtId="164" fontId="10" fillId="4" borderId="0" xfId="1" applyFont="1" applyFill="1"/>
    <xf numFmtId="164" fontId="11" fillId="0" borderId="0" xfId="1" applyFont="1" applyAlignment="1">
      <alignment vertical="top"/>
    </xf>
    <xf numFmtId="164" fontId="14" fillId="0" borderId="0" xfId="1" applyFont="1" applyAlignment="1">
      <alignment horizontal="center" vertical="center" wrapText="1"/>
    </xf>
    <xf numFmtId="165" fontId="14" fillId="0" borderId="0" xfId="2" applyNumberFormat="1" applyFont="1" applyAlignment="1">
      <alignment horizontal="center" vertical="center" wrapText="1"/>
    </xf>
    <xf numFmtId="164" fontId="15" fillId="0" borderId="0" xfId="1" applyFont="1" applyAlignment="1">
      <alignment horizontal="center" vertical="center"/>
    </xf>
    <xf numFmtId="164" fontId="14" fillId="0" borderId="0" xfId="1" applyFont="1" applyAlignment="1">
      <alignment horizontal="center"/>
    </xf>
    <xf numFmtId="166" fontId="14" fillId="0" borderId="0" xfId="1" applyNumberFormat="1" applyFont="1" applyAlignment="1">
      <alignment horizontal="center"/>
    </xf>
    <xf numFmtId="165" fontId="14" fillId="0" borderId="0" xfId="2" applyNumberFormat="1" applyFont="1" applyAlignment="1">
      <alignment horizontal="center"/>
    </xf>
    <xf numFmtId="164" fontId="15" fillId="0" borderId="0" xfId="1" applyFont="1" applyAlignment="1">
      <alignment vertical="center"/>
    </xf>
    <xf numFmtId="165" fontId="15" fillId="0" borderId="0" xfId="2" applyNumberFormat="1" applyFont="1" applyAlignment="1">
      <alignment vertical="center"/>
    </xf>
    <xf numFmtId="165" fontId="15" fillId="0" borderId="0" xfId="2" applyNumberFormat="1" applyFont="1" applyAlignment="1">
      <alignment horizontal="center" vertical="center"/>
    </xf>
    <xf numFmtId="164" fontId="12" fillId="0" borderId="0" xfId="1" applyFont="1"/>
    <xf numFmtId="165" fontId="14" fillId="0" borderId="0" xfId="2" applyNumberFormat="1" applyFont="1" applyAlignment="1">
      <alignment horizontal="right"/>
    </xf>
    <xf numFmtId="164" fontId="12" fillId="0" borderId="0" xfId="1" applyFont="1" applyAlignment="1">
      <alignment horizontal="center"/>
    </xf>
    <xf numFmtId="165" fontId="15" fillId="0" borderId="6" xfId="2" applyNumberFormat="1" applyFont="1" applyBorder="1"/>
    <xf numFmtId="164" fontId="15" fillId="0" borderId="0" xfId="1" applyFont="1"/>
    <xf numFmtId="165" fontId="15" fillId="0" borderId="0" xfId="2" applyNumberFormat="1" applyFont="1"/>
    <xf numFmtId="164" fontId="15" fillId="0" borderId="0" xfId="1" applyFont="1" applyAlignment="1">
      <alignment horizontal="center"/>
    </xf>
    <xf numFmtId="165" fontId="15" fillId="0" borderId="0" xfId="1" applyNumberFormat="1" applyFont="1"/>
    <xf numFmtId="165" fontId="12" fillId="0" borderId="0" xfId="2" applyNumberFormat="1" applyFont="1"/>
    <xf numFmtId="165" fontId="15" fillId="0" borderId="0" xfId="1" applyNumberFormat="1" applyFont="1" applyAlignment="1">
      <alignment vertical="center"/>
    </xf>
    <xf numFmtId="164" fontId="11" fillId="0" borderId="6" xfId="1" applyFont="1" applyBorder="1"/>
    <xf numFmtId="164" fontId="11" fillId="0" borderId="6" xfId="1" applyFont="1" applyBorder="1" applyAlignment="1">
      <alignment horizontal="center"/>
    </xf>
    <xf numFmtId="164" fontId="14" fillId="0" borderId="0" xfId="1" applyFont="1"/>
    <xf numFmtId="165" fontId="14" fillId="0" borderId="0" xfId="1" applyNumberFormat="1" applyFont="1"/>
    <xf numFmtId="170" fontId="14" fillId="0" borderId="0" xfId="2" applyNumberFormat="1" applyFont="1" applyAlignment="1">
      <alignment horizontal="center"/>
    </xf>
    <xf numFmtId="167" fontId="10" fillId="4" borderId="0" xfId="1" applyNumberFormat="1" applyFont="1" applyFill="1" applyAlignment="1">
      <alignment horizontal="center"/>
    </xf>
    <xf numFmtId="164" fontId="11" fillId="0" borderId="0" xfId="1" applyFont="1" applyAlignment="1">
      <alignment horizontal="center"/>
    </xf>
    <xf numFmtId="164" fontId="11" fillId="0" borderId="0" xfId="1" applyFont="1"/>
    <xf numFmtId="164" fontId="13" fillId="0" borderId="0" xfId="1" applyFont="1" applyAlignment="1">
      <alignment horizontal="center" vertical="top"/>
    </xf>
    <xf numFmtId="0" fontId="11" fillId="0" borderId="0" xfId="1" applyNumberFormat="1" applyFont="1"/>
    <xf numFmtId="164" fontId="14" fillId="0" borderId="0" xfId="1" applyFont="1" applyAlignment="1">
      <alignment horizontal="center"/>
    </xf>
    <xf numFmtId="168" fontId="17" fillId="0" borderId="0" xfId="1" applyNumberFormat="1" applyFont="1" applyAlignment="1">
      <alignment horizontal="left"/>
    </xf>
    <xf numFmtId="165" fontId="11" fillId="0" borderId="0" xfId="2" applyNumberFormat="1" applyFont="1"/>
    <xf numFmtId="0" fontId="11" fillId="0" borderId="0" xfId="2" applyNumberFormat="1" applyFont="1"/>
    <xf numFmtId="3" fontId="5" fillId="0" borderId="5" xfId="0" quotePrefix="1" applyNumberFormat="1" applyFont="1" applyBorder="1" applyAlignment="1">
      <alignment horizontal="center" vertical="center"/>
    </xf>
    <xf numFmtId="0" fontId="0" fillId="0" borderId="6" xfId="0" applyBorder="1"/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6" fillId="0" borderId="1" xfId="0" applyFont="1" applyBorder="1" applyAlignment="1">
      <alignment horizontal="center" vertical="center" wrapText="1"/>
    </xf>
    <xf numFmtId="0" fontId="0" fillId="0" borderId="4" xfId="0" applyBorder="1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3" fontId="4" fillId="0" borderId="0" xfId="0" applyNumberFormat="1" applyFont="1" applyAlignment="1">
      <alignment horizontal="right" vertical="center" indent="1"/>
    </xf>
    <xf numFmtId="3" fontId="2" fillId="0" borderId="0" xfId="0" applyNumberFormat="1" applyFont="1" applyAlignment="1">
      <alignment vertical="center"/>
    </xf>
    <xf numFmtId="16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7" sqref="B7"/>
    </sheetView>
  </sheetViews>
  <sheetFormatPr defaultRowHeight="15" x14ac:dyDescent="0.25"/>
  <cols>
    <col min="1" max="1" width="23.85546875" bestFit="1" customWidth="1"/>
    <col min="2" max="2" width="16.28515625" bestFit="1" customWidth="1"/>
  </cols>
  <sheetData>
    <row r="1" spans="1:2" x14ac:dyDescent="0.25">
      <c r="A1" t="s">
        <v>0</v>
      </c>
      <c r="B1" t="s">
        <v>1</v>
      </c>
    </row>
    <row r="3" spans="1:2" hidden="1" x14ac:dyDescent="0.25">
      <c r="A3" t="s">
        <v>2</v>
      </c>
      <c r="B3" t="s">
        <v>3</v>
      </c>
    </row>
    <row r="4" spans="1:2" hidden="1" x14ac:dyDescent="0.25">
      <c r="A4" t="s">
        <v>4</v>
      </c>
      <c r="B4" t="s">
        <v>5</v>
      </c>
    </row>
    <row r="6" spans="1:2" x14ac:dyDescent="0.25">
      <c r="A6" t="s">
        <v>6</v>
      </c>
      <c r="B6" s="77">
        <v>44804</v>
      </c>
    </row>
    <row r="7" spans="1:2" x14ac:dyDescent="0.25">
      <c r="A7" t="s">
        <v>7</v>
      </c>
      <c r="B7" s="77">
        <f t="shared" ref="B7:B17" si="0">EOMONTH(B6,1)</f>
        <v>44834</v>
      </c>
    </row>
    <row r="8" spans="1:2" x14ac:dyDescent="0.25">
      <c r="A8" t="s">
        <v>8</v>
      </c>
      <c r="B8" s="77">
        <f t="shared" si="0"/>
        <v>44865</v>
      </c>
    </row>
    <row r="9" spans="1:2" x14ac:dyDescent="0.25">
      <c r="A9" t="s">
        <v>9</v>
      </c>
      <c r="B9" s="77">
        <f t="shared" si="0"/>
        <v>44895</v>
      </c>
    </row>
    <row r="10" spans="1:2" x14ac:dyDescent="0.25">
      <c r="A10" t="s">
        <v>10</v>
      </c>
      <c r="B10" s="77">
        <f t="shared" si="0"/>
        <v>44926</v>
      </c>
    </row>
    <row r="11" spans="1:2" x14ac:dyDescent="0.25">
      <c r="A11" t="s">
        <v>11</v>
      </c>
      <c r="B11" s="77">
        <f t="shared" si="0"/>
        <v>44957</v>
      </c>
    </row>
    <row r="12" spans="1:2" x14ac:dyDescent="0.25">
      <c r="A12" t="s">
        <v>12</v>
      </c>
      <c r="B12" s="77">
        <f t="shared" si="0"/>
        <v>44985</v>
      </c>
    </row>
    <row r="13" spans="1:2" x14ac:dyDescent="0.25">
      <c r="A13" t="s">
        <v>13</v>
      </c>
      <c r="B13" s="77">
        <f t="shared" si="0"/>
        <v>45016</v>
      </c>
    </row>
    <row r="14" spans="1:2" x14ac:dyDescent="0.25">
      <c r="A14" t="s">
        <v>14</v>
      </c>
      <c r="B14" s="77">
        <f t="shared" si="0"/>
        <v>45046</v>
      </c>
    </row>
    <row r="15" spans="1:2" x14ac:dyDescent="0.25">
      <c r="A15" t="s">
        <v>15</v>
      </c>
      <c r="B15" s="77">
        <f t="shared" si="0"/>
        <v>45077</v>
      </c>
    </row>
    <row r="16" spans="1:2" x14ac:dyDescent="0.25">
      <c r="A16" t="s">
        <v>16</v>
      </c>
      <c r="B16" s="77">
        <f t="shared" si="0"/>
        <v>45107</v>
      </c>
    </row>
    <row r="17" spans="1:2" x14ac:dyDescent="0.25">
      <c r="A17" t="s">
        <v>17</v>
      </c>
      <c r="B17" s="77">
        <f t="shared" si="0"/>
        <v>45138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7"/>
  <sheetViews>
    <sheetView tabSelected="1" zoomScaleNormal="100" workbookViewId="0">
      <selection activeCell="E3" sqref="E3:G3"/>
    </sheetView>
  </sheetViews>
  <sheetFormatPr defaultColWidth="9.140625" defaultRowHeight="15" outlineLevelCol="1" x14ac:dyDescent="0.25"/>
  <cols>
    <col min="1" max="1" width="7.85546875" style="20" customWidth="1"/>
    <col min="2" max="2" width="24" style="78" customWidth="1"/>
    <col min="3" max="3" width="14.5703125" style="79" bestFit="1" customWidth="1"/>
    <col min="4" max="4" width="3.5703125" style="78" customWidth="1"/>
    <col min="5" max="5" width="12.7109375" style="80" customWidth="1"/>
    <col min="6" max="6" width="3.5703125" style="78" customWidth="1"/>
    <col min="7" max="7" width="12.7109375" style="80" customWidth="1"/>
    <col min="8" max="8" width="3.5703125" style="78" customWidth="1"/>
    <col min="9" max="9" width="12.7109375" style="80" customWidth="1"/>
    <col min="10" max="10" width="3.5703125" style="78" customWidth="1"/>
    <col min="11" max="11" width="13.28515625" style="80" customWidth="1"/>
    <col min="12" max="12" width="2.28515625" style="19" bestFit="1" customWidth="1" outlineLevel="1"/>
    <col min="13" max="13" width="12.7109375" style="80" customWidth="1" outlineLevel="1"/>
    <col min="14" max="14" width="3.5703125" style="78" customWidth="1" outlineLevel="1"/>
    <col min="15" max="15" width="12.7109375" style="80" customWidth="1" outlineLevel="1"/>
    <col min="16" max="16" width="3.5703125" style="78" customWidth="1"/>
    <col min="17" max="17" width="12.7109375" style="80" customWidth="1"/>
    <col min="18" max="18" width="3.5703125" style="78" customWidth="1" outlineLevel="1"/>
    <col min="19" max="19" width="12.7109375" style="80" customWidth="1" outlineLevel="1"/>
    <col min="20" max="20" width="3.5703125" style="78" customWidth="1"/>
    <col min="21" max="21" width="13.7109375" style="78" customWidth="1"/>
    <col min="22" max="22" width="3.5703125" style="80" customWidth="1"/>
    <col min="23" max="23" width="21.7109375" style="78" customWidth="1"/>
    <col min="24" max="24" width="9.140625" style="78" customWidth="1"/>
    <col min="25" max="25" width="7.85546875" style="78" hidden="1" customWidth="1"/>
    <col min="26" max="26" width="10.5703125" style="78" hidden="1" customWidth="1"/>
    <col min="27" max="27" width="9.140625" style="78" customWidth="1"/>
    <col min="28" max="28" width="7.42578125" style="78" hidden="1" customWidth="1"/>
    <col min="29" max="29" width="10.5703125" style="78" hidden="1" customWidth="1"/>
    <col min="30" max="30" width="9.140625" style="78" customWidth="1"/>
    <col min="31" max="32" width="11.85546875" style="78" hidden="1" customWidth="1"/>
    <col min="33" max="36" width="9.140625" style="78" customWidth="1"/>
    <col min="37" max="37" width="9.140625" style="19" customWidth="1"/>
    <col min="38" max="110" width="9.140625" style="78" customWidth="1"/>
    <col min="111" max="16384" width="9.140625" style="78"/>
  </cols>
  <sheetData>
    <row r="1" spans="1:40" ht="20.25" customHeight="1" x14ac:dyDescent="0.3">
      <c r="A1" s="18" t="str">
        <f>"Estimate "&amp;stock_name&amp;" Shares till Month of "&amp;TEXT(W6,"mmmm yyyy")&amp;" End"</f>
        <v>Estimate Great Wall Motor Shares till Month of September 2022 End</v>
      </c>
      <c r="K1" s="80" t="s">
        <v>18</v>
      </c>
      <c r="M1" s="81"/>
      <c r="N1" s="81"/>
      <c r="O1" s="81"/>
      <c r="P1" s="107" t="str">
        <f ca="1">TEXT(NOW(),"mmm d, yyyy hh:mm AM/PM")</f>
        <v>Sep 1, 2022 01:50 pm</v>
      </c>
      <c r="Q1" s="108"/>
      <c r="R1" s="109"/>
      <c r="S1" s="108"/>
      <c r="T1" s="109"/>
      <c r="U1" s="109"/>
      <c r="V1" s="108"/>
      <c r="W1" s="109"/>
      <c r="AK1" s="19">
        <f>MONTH(W6)</f>
        <v>9</v>
      </c>
      <c r="AM1" s="78" t="s">
        <v>19</v>
      </c>
      <c r="AN1" s="78">
        <v>5.85</v>
      </c>
    </row>
    <row r="2" spans="1:40" ht="20.25" customHeight="1" x14ac:dyDescent="0.25"/>
    <row r="3" spans="1:40" ht="26.25" customHeight="1" x14ac:dyDescent="0.25">
      <c r="D3" s="82"/>
      <c r="E3" s="110" t="s">
        <v>104</v>
      </c>
      <c r="F3" s="109"/>
      <c r="G3" s="108"/>
      <c r="H3" s="82"/>
      <c r="I3" s="110" t="s">
        <v>104</v>
      </c>
      <c r="J3" s="109"/>
      <c r="K3" s="108"/>
      <c r="L3" s="111"/>
      <c r="M3" s="108"/>
      <c r="N3" s="109"/>
      <c r="O3" s="108"/>
      <c r="P3" s="82"/>
      <c r="Q3" s="82"/>
    </row>
    <row r="4" spans="1:40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24</v>
      </c>
      <c r="F4" s="85" t="s">
        <v>25</v>
      </c>
      <c r="G4" s="83" t="s">
        <v>26</v>
      </c>
      <c r="H4" s="85" t="s">
        <v>23</v>
      </c>
      <c r="I4" s="83" t="s">
        <v>27</v>
      </c>
      <c r="J4" s="85" t="s">
        <v>25</v>
      </c>
      <c r="K4" s="83" t="s">
        <v>28</v>
      </c>
      <c r="L4" s="22" t="s">
        <v>23</v>
      </c>
      <c r="M4" s="83" t="s">
        <v>29</v>
      </c>
      <c r="N4" s="85" t="s">
        <v>23</v>
      </c>
      <c r="O4" s="83" t="s">
        <v>30</v>
      </c>
      <c r="P4" s="85" t="s">
        <v>31</v>
      </c>
      <c r="Q4" s="83" t="s">
        <v>32</v>
      </c>
      <c r="R4" s="85" t="s">
        <v>23</v>
      </c>
      <c r="S4" s="83" t="s">
        <v>33</v>
      </c>
      <c r="T4" s="85" t="s">
        <v>25</v>
      </c>
      <c r="U4" s="83" t="s">
        <v>34</v>
      </c>
      <c r="V4" s="85" t="s">
        <v>31</v>
      </c>
      <c r="W4" s="83" t="s">
        <v>35</v>
      </c>
      <c r="AK4" s="23"/>
    </row>
    <row r="5" spans="1:40" s="83" customFormat="1" ht="15.75" customHeight="1" x14ac:dyDescent="0.25">
      <c r="A5" s="21"/>
      <c r="C5" s="84"/>
      <c r="E5" s="83" t="s">
        <v>36</v>
      </c>
      <c r="G5" s="83" t="s">
        <v>36</v>
      </c>
      <c r="L5" s="23"/>
      <c r="O5" s="83" t="s">
        <v>37</v>
      </c>
      <c r="S5" s="83" t="s">
        <v>38</v>
      </c>
      <c r="U5" s="83" t="s">
        <v>38</v>
      </c>
      <c r="AK5" s="23"/>
    </row>
    <row r="6" spans="1:40" s="86" customFormat="1" ht="15.75" customHeight="1" x14ac:dyDescent="0.25">
      <c r="A6" s="24" t="s">
        <v>39</v>
      </c>
      <c r="C6" s="106">
        <f>beginning</f>
        <v>44804</v>
      </c>
      <c r="L6" s="26"/>
      <c r="W6" s="87">
        <f>last_month</f>
        <v>44834</v>
      </c>
      <c r="Y6" s="27"/>
      <c r="Z6" s="88"/>
      <c r="AE6" s="112" t="s">
        <v>40</v>
      </c>
      <c r="AF6" s="112"/>
      <c r="AK6" s="26"/>
    </row>
    <row r="7" spans="1:40" s="89" customFormat="1" ht="18" customHeight="1" x14ac:dyDescent="0.25">
      <c r="A7" s="28">
        <v>1</v>
      </c>
      <c r="B7" s="89" t="s">
        <v>41</v>
      </c>
      <c r="C7" s="29">
        <f ca="1">INDIRECT("'"&amp;AJ7&amp;"'!T11")</f>
        <v>0</v>
      </c>
      <c r="D7" s="85" t="s">
        <v>23</v>
      </c>
      <c r="E7" s="30">
        <f ca="1">SUMIF(INDIRECT($AJ7&amp;"!AC:AC"),$AK7&amp;"Buy (Accu)",INDIRECT($AJ7&amp;"!AD:AD"))+SUMIF(INDIRECT($AJ7&amp;"!AC:AC"),$AK7&amp;"Buy (Accu-KO)",INDIRECT($AJ7&amp;"!AD:AD"))</f>
        <v>0</v>
      </c>
      <c r="F7" s="85" t="s">
        <v>25</v>
      </c>
      <c r="G7" s="30">
        <f ca="1">SUMIF(INDIRECT($AJ7&amp;"!AC:AC"),$AK7&amp;"Sell (Decu)",INDIRECT($AJ7&amp;"!AD:AD"))+SUMIF(INDIRECT($AJ7&amp;"!AC:AC"),$AK7&amp;"Sell (Decu-KO)",INDIRECT($AJ7&amp;"!AD:AD"))</f>
        <v>0</v>
      </c>
      <c r="H7" s="85" t="s">
        <v>23</v>
      </c>
      <c r="I7" s="30">
        <f ca="1">SUMIF(INDIRECT($AJ7&amp;"!AC:AC"),$AK7&amp;"Buy (Spot)",INDIRECT($AJ7&amp;"!AD:AD"))</f>
        <v>0</v>
      </c>
      <c r="J7" s="85" t="s">
        <v>25</v>
      </c>
      <c r="K7" s="30">
        <f ca="1">SUMIF(INDIRECT($AJ7&amp;"!AC:AC"),$AK7&amp;"Sell (Spot)",INDIRECT($AJ7&amp;"!AD:AD"))</f>
        <v>0</v>
      </c>
      <c r="L7" s="22" t="s">
        <v>23</v>
      </c>
      <c r="M7" s="30">
        <f ca="1">SUMIF(INDIRECT($AJ7&amp;"!AC:AC"),$AK7&amp;"Transfer-In",INDIRECT($AJ7&amp;"!AD:AD"))+SUMIF(INDIRECT($AJ7&amp;"!AC:AC"),$AK7&amp;"Transfer-Out",INDIRECT($AJ7&amp;"!AD:AD"))</f>
        <v>0</v>
      </c>
      <c r="N7" s="85" t="s">
        <v>23</v>
      </c>
      <c r="O7" s="30">
        <f ca="1">SUMIF(INDIRECT($AJ7&amp;"!AC:AC"),$AK7&amp;"Pay Short",INDIRECT($AJ7&amp;"!AD:AD"))</f>
        <v>0</v>
      </c>
      <c r="P7" s="85" t="s">
        <v>31</v>
      </c>
      <c r="Q7" s="31">
        <f ca="1">SUM(C7:P7)</f>
        <v>0</v>
      </c>
      <c r="R7" s="85" t="s">
        <v>23</v>
      </c>
      <c r="S7" s="30">
        <f ca="1">SUMIF(INDIRECT($AJ7&amp;"!AC:AC"),$AK7&amp;"ACCU",INDIRECT($AJ7&amp;"!AD:AD"))</f>
        <v>0</v>
      </c>
      <c r="T7" s="85" t="s">
        <v>25</v>
      </c>
      <c r="U7" s="30">
        <f ca="1">SUMIF(INDIRECT($AJ7&amp;"!AC:AC"),$AK7&amp;"DECU",INDIRECT($AJ7&amp;"!AD:AD"))</f>
        <v>0</v>
      </c>
      <c r="V7" s="85" t="s">
        <v>31</v>
      </c>
      <c r="W7" s="29">
        <f ca="1">Q7+S7+U7</f>
        <v>0</v>
      </c>
      <c r="Y7" s="32">
        <v>43082</v>
      </c>
      <c r="Z7" s="90">
        <v>-193700</v>
      </c>
      <c r="AB7" s="32">
        <v>43115</v>
      </c>
      <c r="AC7" s="90">
        <v>-223800</v>
      </c>
      <c r="AE7" s="91" t="s">
        <v>42</v>
      </c>
      <c r="AF7" s="90">
        <f>SUM(Z7,AC7)</f>
        <v>-417500</v>
      </c>
      <c r="AJ7" s="89" t="s">
        <v>43</v>
      </c>
      <c r="AK7" s="51">
        <f>AK$1</f>
        <v>9</v>
      </c>
      <c r="AL7" s="89" t="str">
        <f>B7</f>
        <v>Citibank Account No. 1</v>
      </c>
    </row>
    <row r="8" spans="1:40" s="89" customFormat="1" ht="18" customHeight="1" x14ac:dyDescent="0.25">
      <c r="A8" s="28">
        <v>2</v>
      </c>
      <c r="B8" s="89" t="s">
        <v>44</v>
      </c>
      <c r="C8" s="29">
        <f ca="1">INDIRECT("'"&amp;AJ8&amp;"'!T11")</f>
        <v>0</v>
      </c>
      <c r="D8" s="85" t="s">
        <v>23</v>
      </c>
      <c r="E8" s="30">
        <f ca="1">SUMIF(INDIRECT($AJ8&amp;"!AC:AC"),$AK8&amp;"Buy (Accu)",INDIRECT($AJ8&amp;"!AD:AD"))+SUMIF(INDIRECT($AJ8&amp;"!AC:AC"),$AK8&amp;"Buy (Accu-KO)",INDIRECT($AJ8&amp;"!AD:AD"))</f>
        <v>0</v>
      </c>
      <c r="F8" s="85" t="s">
        <v>25</v>
      </c>
      <c r="G8" s="30">
        <f ca="1">SUMIF(INDIRECT($AJ8&amp;"!AC:AC"),$AK8&amp;"Sell (Decu)",INDIRECT($AJ8&amp;"!AD:AD"))+SUMIF(INDIRECT($AJ8&amp;"!AC:AC"),$AK8&amp;"Sell (Decu-KO)",INDIRECT($AJ8&amp;"!AD:AD"))</f>
        <v>0</v>
      </c>
      <c r="H8" s="85" t="s">
        <v>23</v>
      </c>
      <c r="I8" s="30">
        <f ca="1">SUMIF(INDIRECT($AJ8&amp;"!AC:AC"),$AK8&amp;"Buy (Spot)",INDIRECT($AJ8&amp;"!AD:AD"))</f>
        <v>0</v>
      </c>
      <c r="J8" s="85" t="s">
        <v>25</v>
      </c>
      <c r="K8" s="30">
        <f ca="1">SUMIF(INDIRECT($AJ8&amp;"!AC:AC"),$AK8&amp;"Sell (Spot)",INDIRECT($AJ8&amp;"!AD:AD"))</f>
        <v>0</v>
      </c>
      <c r="L8" s="22" t="s">
        <v>23</v>
      </c>
      <c r="M8" s="30">
        <f ca="1">SUMIF(INDIRECT($AJ8&amp;"!AC:AC"),$AK8&amp;"Transfer-In",INDIRECT($AJ8&amp;"!AD:AD"))+SUMIF(INDIRECT($AJ8&amp;"!AC:AC"),$AK8&amp;"Transfer-Out",INDIRECT($AJ8&amp;"!AD:AD"))</f>
        <v>0</v>
      </c>
      <c r="N8" s="85" t="s">
        <v>23</v>
      </c>
      <c r="O8" s="30">
        <f ca="1">SUMIF(INDIRECT($AJ8&amp;"!AC:AC"),$AK8&amp;"Pay Short",INDIRECT($AJ8&amp;"!AD:AD"))</f>
        <v>0</v>
      </c>
      <c r="P8" s="85" t="s">
        <v>31</v>
      </c>
      <c r="Q8" s="31">
        <f ca="1">SUM(C8:P8)</f>
        <v>0</v>
      </c>
      <c r="R8" s="85" t="s">
        <v>23</v>
      </c>
      <c r="S8" s="30">
        <f ca="1">SUMIF(INDIRECT($AJ8&amp;"!AC:AC"),$AK8&amp;"ACCU",INDIRECT($AJ8&amp;"!AD:AD"))</f>
        <v>0</v>
      </c>
      <c r="T8" s="85" t="s">
        <v>25</v>
      </c>
      <c r="U8" s="30">
        <f ca="1">SUMIF(INDIRECT($AJ8&amp;"!AC:AC"),$AK8&amp;"DECU",INDIRECT($AJ8&amp;"!AD:AD"))</f>
        <v>0</v>
      </c>
      <c r="V8" s="85" t="s">
        <v>31</v>
      </c>
      <c r="W8" s="29">
        <f ca="1">Q8+S8+U8</f>
        <v>0</v>
      </c>
      <c r="Y8" s="33"/>
      <c r="Z8" s="90"/>
      <c r="AE8" s="85"/>
      <c r="AJ8" s="89" t="s">
        <v>45</v>
      </c>
      <c r="AK8" s="51">
        <f>AK$1</f>
        <v>9</v>
      </c>
      <c r="AL8" s="89" t="str">
        <f>B8</f>
        <v>Citibank Account No. 2</v>
      </c>
    </row>
    <row r="9" spans="1:40" s="89" customFormat="1" ht="18" customHeight="1" x14ac:dyDescent="0.25">
      <c r="A9" s="28">
        <v>3</v>
      </c>
      <c r="B9" s="89" t="s">
        <v>46</v>
      </c>
      <c r="C9" s="29">
        <f ca="1">INDIRECT("'"&amp;AJ9&amp;"'!T11")</f>
        <v>0</v>
      </c>
      <c r="D9" s="85" t="s">
        <v>23</v>
      </c>
      <c r="E9" s="30">
        <f ca="1">SUMIF(INDIRECT($AJ9&amp;"!AC:AC"),$AK9&amp;"Buy (Accu)",INDIRECT($AJ9&amp;"!AD:AD"))+SUMIF(INDIRECT($AJ9&amp;"!AC:AC"),$AK9&amp;"Buy (Accu-KO)",INDIRECT($AJ9&amp;"!AD:AD"))</f>
        <v>0</v>
      </c>
      <c r="F9" s="85" t="s">
        <v>25</v>
      </c>
      <c r="G9" s="30">
        <f ca="1">SUMIF(INDIRECT($AJ9&amp;"!AC:AC"),$AK9&amp;"Sell (Decu)",INDIRECT($AJ9&amp;"!AD:AD"))+SUMIF(INDIRECT($AJ9&amp;"!AC:AC"),$AK9&amp;"Sell (Decu-KO)",INDIRECT($AJ9&amp;"!AD:AD"))</f>
        <v>0</v>
      </c>
      <c r="H9" s="85" t="s">
        <v>23</v>
      </c>
      <c r="I9" s="30">
        <f ca="1">SUMIF(INDIRECT($AJ9&amp;"!AC:AC"),$AK9&amp;"Buy (Spot)",INDIRECT($AJ9&amp;"!AD:AD"))</f>
        <v>0</v>
      </c>
      <c r="J9" s="85" t="s">
        <v>25</v>
      </c>
      <c r="K9" s="30">
        <f ca="1">SUMIF(INDIRECT($AJ9&amp;"!AC:AC"),$AK9&amp;"Sell (Spot)",INDIRECT($AJ9&amp;"!AD:AD"))</f>
        <v>0</v>
      </c>
      <c r="L9" s="22" t="s">
        <v>23</v>
      </c>
      <c r="M9" s="30">
        <f ca="1">SUMIF(INDIRECT($AJ9&amp;"!AC:AC"),$AK9&amp;"Transfer-In",INDIRECT($AJ9&amp;"!AD:AD"))+SUMIF(INDIRECT($AJ9&amp;"!AC:AC"),$AK9&amp;"Transfer-Out",INDIRECT($AJ9&amp;"!AD:AD"))</f>
        <v>0</v>
      </c>
      <c r="N9" s="85" t="s">
        <v>23</v>
      </c>
      <c r="O9" s="30">
        <f ca="1">SUMIF(INDIRECT($AJ9&amp;"!AC:AC"),$AK9&amp;"Pay Short",INDIRECT($AJ9&amp;"!AD:AD"))</f>
        <v>0</v>
      </c>
      <c r="P9" s="85" t="s">
        <v>31</v>
      </c>
      <c r="Q9" s="31">
        <f ca="1">SUM(C9:P9)</f>
        <v>0</v>
      </c>
      <c r="R9" s="85" t="s">
        <v>23</v>
      </c>
      <c r="S9" s="30">
        <f ca="1">SUMIF(INDIRECT($AJ9&amp;"!AC:AC"),$AK9&amp;"ACCU",INDIRECT($AJ9&amp;"!AD:AD"))</f>
        <v>0</v>
      </c>
      <c r="T9" s="85" t="s">
        <v>25</v>
      </c>
      <c r="U9" s="30">
        <f ca="1">SUMIF(INDIRECT($AJ9&amp;"!AC:AC"),$AK9&amp;"DECU",INDIRECT($AJ9&amp;"!AD:AD"))</f>
        <v>0</v>
      </c>
      <c r="V9" s="85" t="s">
        <v>31</v>
      </c>
      <c r="W9" s="29">
        <f ca="1">Q9+S9+U9</f>
        <v>0</v>
      </c>
      <c r="Y9" s="33"/>
      <c r="Z9" s="90"/>
      <c r="AE9" s="85"/>
      <c r="AJ9" s="89" t="s">
        <v>47</v>
      </c>
      <c r="AK9" s="51">
        <f>AK$1</f>
        <v>9</v>
      </c>
      <c r="AL9" s="89" t="str">
        <f>B9</f>
        <v>Citibank Account No. 3</v>
      </c>
    </row>
    <row r="10" spans="1:40" s="89" customFormat="1" ht="18" hidden="1" customHeight="1" x14ac:dyDescent="0.25">
      <c r="A10" s="28">
        <v>4</v>
      </c>
      <c r="B10" s="89" t="s">
        <v>48</v>
      </c>
      <c r="C10" s="29">
        <f ca="1">INDIRECT("'"&amp;AJ10&amp;"'!T11")</f>
        <v>0</v>
      </c>
      <c r="D10" s="85" t="s">
        <v>23</v>
      </c>
      <c r="E10" s="30">
        <f ca="1">SUMIF(INDIRECT($AJ10&amp;"!AC:AC"),$AK10&amp;"Buy (Accu)",INDIRECT($AJ10&amp;"!AD:AD"))+SUMIF(INDIRECT($AJ10&amp;"!AC:AC"),$AK10&amp;"Buy (Accu-KO)",INDIRECT($AJ10&amp;"!AD:AD"))</f>
        <v>0</v>
      </c>
      <c r="F10" s="85" t="s">
        <v>25</v>
      </c>
      <c r="G10" s="30">
        <f ca="1">SUMIF(INDIRECT($AJ10&amp;"!AC:AC"),$AK10&amp;"Sell (Decu)",INDIRECT($AJ10&amp;"!AD:AD"))+SUMIF(INDIRECT($AJ10&amp;"!AC:AC"),$AK10&amp;"Sell (Decu-KO)",INDIRECT($AJ10&amp;"!AD:AD"))</f>
        <v>0</v>
      </c>
      <c r="H10" s="85" t="s">
        <v>23</v>
      </c>
      <c r="I10" s="30">
        <f ca="1">SUMIF(INDIRECT($AJ10&amp;"!AC:AC"),$AK10&amp;"Buy (Spot)",INDIRECT($AJ10&amp;"!AD:AD"))</f>
        <v>0</v>
      </c>
      <c r="J10" s="85" t="s">
        <v>25</v>
      </c>
      <c r="K10" s="30">
        <f ca="1">SUMIF(INDIRECT($AJ10&amp;"!AC:AC"),$AK10&amp;"Sell (Spot)",INDIRECT($AJ10&amp;"!AD:AD"))</f>
        <v>0</v>
      </c>
      <c r="L10" s="22" t="s">
        <v>23</v>
      </c>
      <c r="M10" s="30">
        <f ca="1">SUMIF(INDIRECT($AJ10&amp;"!AC:AC"),$AK10&amp;"Transfer-In",INDIRECT($AJ10&amp;"!AD:AD"))+SUMIF(INDIRECT($AJ10&amp;"!AC:AC"),$AK10&amp;"Transfer-Out",INDIRECT($AJ10&amp;"!AD:AD"))</f>
        <v>0</v>
      </c>
      <c r="N10" s="85" t="s">
        <v>23</v>
      </c>
      <c r="O10" s="30">
        <f ca="1">SUMIF(INDIRECT($AJ10&amp;"!AC:AC"),$AK10&amp;"Pay Short",INDIRECT($AJ10&amp;"!AD:AD"))</f>
        <v>0</v>
      </c>
      <c r="P10" s="85" t="s">
        <v>31</v>
      </c>
      <c r="Q10" s="31">
        <f ca="1">SUM(C10:P10)</f>
        <v>0</v>
      </c>
      <c r="R10" s="85" t="s">
        <v>23</v>
      </c>
      <c r="S10" s="30">
        <f ca="1">SUMIF(INDIRECT($AJ10&amp;"!AC:AC"),$AK10&amp;"ACCU",INDIRECT($AJ10&amp;"!AD:AD"))</f>
        <v>0</v>
      </c>
      <c r="T10" s="85" t="s">
        <v>25</v>
      </c>
      <c r="U10" s="30">
        <f ca="1">SUMIF(INDIRECT($AJ10&amp;"!AC:AC"),$AK10&amp;"DECU",INDIRECT($AJ10&amp;"!AD:AD"))</f>
        <v>0</v>
      </c>
      <c r="V10" s="85" t="s">
        <v>31</v>
      </c>
      <c r="W10" s="29">
        <f ca="1">Q10+S10+U10</f>
        <v>0</v>
      </c>
      <c r="Y10" s="32">
        <v>43081</v>
      </c>
      <c r="Z10" s="90">
        <v>-99590</v>
      </c>
      <c r="AB10" s="32">
        <v>42746</v>
      </c>
      <c r="AC10" s="90">
        <v>-410000</v>
      </c>
      <c r="AE10" s="91" t="s">
        <v>42</v>
      </c>
      <c r="AF10" s="90">
        <f>SUM(Z12,AC10)</f>
        <v>-442800</v>
      </c>
      <c r="AJ10" s="89" t="s">
        <v>49</v>
      </c>
      <c r="AK10" s="51">
        <f>AK$1</f>
        <v>9</v>
      </c>
      <c r="AL10" s="89" t="str">
        <f>B10</f>
        <v>Citibank Berry Hill</v>
      </c>
    </row>
    <row r="11" spans="1:40" s="89" customFormat="1" ht="18" hidden="1" customHeight="1" x14ac:dyDescent="0.25">
      <c r="A11" s="28">
        <v>5</v>
      </c>
      <c r="B11" s="89" t="s">
        <v>50</v>
      </c>
      <c r="C11" s="29">
        <f ca="1">INDIRECT("'"&amp;AJ11&amp;"'!T11")</f>
        <v>0</v>
      </c>
      <c r="D11" s="85" t="s">
        <v>23</v>
      </c>
      <c r="E11" s="30">
        <f ca="1">SUMIF(INDIRECT($AJ11&amp;"!AC:AC"),$AK11&amp;"Buy (Accu)",INDIRECT($AJ11&amp;"!AD:AD"))+SUMIF(INDIRECT($AJ11&amp;"!AC:AC"),$AK11&amp;"Buy (Accu-KO)",INDIRECT($AJ11&amp;"!AD:AD"))</f>
        <v>0</v>
      </c>
      <c r="F11" s="85" t="s">
        <v>25</v>
      </c>
      <c r="G11" s="30">
        <f ca="1">SUMIF(INDIRECT($AJ11&amp;"!AC:AC"),$AK11&amp;"Sell (Decu)",INDIRECT($AJ11&amp;"!AD:AD"))+SUMIF(INDIRECT($AJ11&amp;"!AC:AC"),$AK11&amp;"Sell (Decu-KO)",INDIRECT($AJ11&amp;"!AD:AD"))</f>
        <v>0</v>
      </c>
      <c r="H11" s="85" t="s">
        <v>23</v>
      </c>
      <c r="I11" s="30">
        <f ca="1">SUMIF(INDIRECT($AJ11&amp;"!AC:AC"),$AK11&amp;"Buy (Spot)",INDIRECT($AJ11&amp;"!AD:AD"))</f>
        <v>0</v>
      </c>
      <c r="J11" s="85" t="s">
        <v>25</v>
      </c>
      <c r="K11" s="30">
        <f ca="1">SUMIF(INDIRECT($AJ11&amp;"!AC:AC"),$AK11&amp;"Sell (Spot)",INDIRECT($AJ11&amp;"!AD:AD"))</f>
        <v>0</v>
      </c>
      <c r="L11" s="22" t="s">
        <v>23</v>
      </c>
      <c r="M11" s="30">
        <f ca="1">SUMIF(INDIRECT($AJ11&amp;"!AC:AC"),$AK11&amp;"Transfer-In",INDIRECT($AJ11&amp;"!AD:AD"))+SUMIF(INDIRECT($AJ11&amp;"!AC:AC"),$AK11&amp;"Transfer-Out",INDIRECT($AJ11&amp;"!AD:AD"))</f>
        <v>0</v>
      </c>
      <c r="N11" s="85" t="s">
        <v>23</v>
      </c>
      <c r="O11" s="30">
        <f ca="1">SUMIF(INDIRECT($AJ11&amp;"!AC:AC"),$AK11&amp;"Pay Short",INDIRECT($AJ11&amp;"!AD:AD"))</f>
        <v>0</v>
      </c>
      <c r="P11" s="85" t="s">
        <v>31</v>
      </c>
      <c r="Q11" s="31">
        <f ca="1">SUM(C11:P11)</f>
        <v>0</v>
      </c>
      <c r="R11" s="85" t="s">
        <v>23</v>
      </c>
      <c r="S11" s="30">
        <f ca="1">SUMIF(INDIRECT($AJ11&amp;"!AC:AC"),$AK11&amp;"ACCU",INDIRECT($AJ11&amp;"!AD:AD"))</f>
        <v>0</v>
      </c>
      <c r="T11" s="85" t="s">
        <v>25</v>
      </c>
      <c r="U11" s="30">
        <f ca="1">SUMIF(INDIRECT($AJ11&amp;"!AC:AC"),$AK11&amp;"DECU",INDIRECT($AJ11&amp;"!AD:AD"))</f>
        <v>0</v>
      </c>
      <c r="V11" s="85" t="s">
        <v>31</v>
      </c>
      <c r="W11" s="29">
        <f ca="1">Q11+S11+U11</f>
        <v>0</v>
      </c>
      <c r="Y11" s="32">
        <v>43081</v>
      </c>
      <c r="Z11" s="90">
        <v>-99590</v>
      </c>
      <c r="AB11" s="32">
        <v>42746</v>
      </c>
      <c r="AC11" s="90">
        <v>-410000</v>
      </c>
      <c r="AE11" s="91" t="s">
        <v>42</v>
      </c>
      <c r="AF11" s="90">
        <f>SUM(Z13,AC11)</f>
        <v>-542390</v>
      </c>
      <c r="AJ11" s="89" t="s">
        <v>51</v>
      </c>
      <c r="AK11" s="51">
        <f>AK$1</f>
        <v>9</v>
      </c>
      <c r="AL11" s="89" t="str">
        <f>B11</f>
        <v>Citibank Berry Hill No. 2</v>
      </c>
    </row>
    <row r="12" spans="1:40" s="92" customFormat="1" ht="15.7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I12" s="93">
        <f ca="1">SUM(I7:I11)</f>
        <v>0</v>
      </c>
      <c r="K12" s="93">
        <f ca="1">SUM(K7:K11)</f>
        <v>0</v>
      </c>
      <c r="L12" s="34"/>
      <c r="M12" s="93">
        <f ca="1">SUM(M7:M11)</f>
        <v>0</v>
      </c>
      <c r="O12" s="93">
        <f ca="1">SUM(O7:O11)</f>
        <v>0</v>
      </c>
      <c r="Q12" s="93">
        <f ca="1">SUM(Q7:Q11)</f>
        <v>0</v>
      </c>
      <c r="S12" s="93">
        <f ca="1">SUM(S7:S11)</f>
        <v>0</v>
      </c>
      <c r="U12" s="93">
        <f ca="1">SUM(U7:U11)</f>
        <v>0</v>
      </c>
      <c r="V12" s="94"/>
      <c r="W12" s="93">
        <f ca="1">SUM(W7:W11)</f>
        <v>0</v>
      </c>
      <c r="Y12" s="35">
        <v>43097</v>
      </c>
      <c r="Z12" s="95">
        <v>-32800</v>
      </c>
      <c r="AE12" s="94"/>
      <c r="AK12" s="34"/>
    </row>
    <row r="13" spans="1:40" s="96" customFormat="1" ht="15.75" customHeight="1" x14ac:dyDescent="0.25">
      <c r="A13" s="36"/>
      <c r="C13" s="97"/>
      <c r="E13" s="98"/>
      <c r="G13" s="98"/>
      <c r="I13" s="98"/>
      <c r="K13" s="98"/>
      <c r="L13" s="37"/>
      <c r="M13" s="98"/>
      <c r="O13" s="98"/>
      <c r="Q13" s="98"/>
      <c r="S13" s="98"/>
      <c r="V13" s="98"/>
      <c r="W13" s="99"/>
      <c r="Y13" s="27"/>
      <c r="Z13" s="97">
        <f>SUM(Z11:Z12)</f>
        <v>-132390</v>
      </c>
      <c r="AE13" s="98"/>
      <c r="AK13" s="37"/>
    </row>
    <row r="14" spans="1:40" s="96" customFormat="1" ht="15.75" customHeight="1" x14ac:dyDescent="0.25">
      <c r="A14" s="36"/>
      <c r="C14" s="97"/>
      <c r="E14" s="98"/>
      <c r="G14" s="98"/>
      <c r="I14" s="98"/>
      <c r="K14" s="98"/>
      <c r="L14" s="37"/>
      <c r="M14" s="98"/>
      <c r="O14" s="98"/>
      <c r="Q14" s="98"/>
      <c r="S14" s="98"/>
      <c r="V14" s="98"/>
      <c r="W14" s="99"/>
      <c r="AK14" s="37"/>
    </row>
    <row r="15" spans="1:40" s="89" customFormat="1" ht="18" customHeight="1" x14ac:dyDescent="0.25">
      <c r="A15" s="38" t="s">
        <v>53</v>
      </c>
      <c r="C15" s="29">
        <f ca="1">INDIRECT("'"&amp;AJ15&amp;"'!T11")</f>
        <v>0</v>
      </c>
      <c r="D15" s="85" t="s">
        <v>23</v>
      </c>
      <c r="E15" s="30">
        <f ca="1">SUMIF(INDIRECT($AJ15&amp;"!AC:AC"),$AK15&amp;"Buy (Accu)",INDIRECT($AJ15&amp;"!AD:AD"))+SUMIF(INDIRECT($AJ15&amp;"!AC:AC"),$AK15&amp;"Buy (Accu-KO)",INDIRECT($AJ15&amp;"!AD:AD"))</f>
        <v>0</v>
      </c>
      <c r="F15" s="85" t="s">
        <v>25</v>
      </c>
      <c r="G15" s="30">
        <f ca="1">SUMIF(INDIRECT($AJ15&amp;"!AC:AC"),$AK15&amp;"Sell (Decu)",INDIRECT($AJ15&amp;"!AD:AD"))+SUMIF(INDIRECT($AJ15&amp;"!AC:AC"),$AK15&amp;"Sell (Decu-KO)",INDIRECT($AJ15&amp;"!AD:AD"))</f>
        <v>0</v>
      </c>
      <c r="H15" s="85" t="s">
        <v>23</v>
      </c>
      <c r="I15" s="30">
        <f ca="1">SUMIF(INDIRECT($AJ15&amp;"!AC:AC"),$AK15&amp;"Buy (Spot)",INDIRECT($AJ15&amp;"!AD:AD"))</f>
        <v>0</v>
      </c>
      <c r="J15" s="85" t="s">
        <v>25</v>
      </c>
      <c r="K15" s="30">
        <f ca="1">SUMIF(INDIRECT($AJ15&amp;"!AC:AC"),$AK15&amp;"Sell (Spot)",INDIRECT($AJ15&amp;"!AD:AD"))</f>
        <v>0</v>
      </c>
      <c r="L15" s="22" t="s">
        <v>23</v>
      </c>
      <c r="M15" s="30">
        <f ca="1">SUMIF(INDIRECT($AJ15&amp;"!AC:AC"),$AK15&amp;"Transfer-In",INDIRECT($AJ15&amp;"!AD:AD"))+SUMIF(INDIRECT($AJ15&amp;"!AC:AC"),$AK15&amp;"Transfer-Out",INDIRECT($AJ15&amp;"!AD:AD"))</f>
        <v>0</v>
      </c>
      <c r="N15" s="85" t="s">
        <v>23</v>
      </c>
      <c r="O15" s="30">
        <f ca="1">SUMIF(INDIRECT($AJ15&amp;"!AC:AC"),$AK15&amp;"Pay Short",INDIRECT($AJ15&amp;"!AD:AD"))</f>
        <v>0</v>
      </c>
      <c r="P15" s="85" t="s">
        <v>31</v>
      </c>
      <c r="Q15" s="31">
        <f ca="1">SUM(C15:P15)</f>
        <v>0</v>
      </c>
      <c r="R15" s="85" t="s">
        <v>23</v>
      </c>
      <c r="S15" s="30">
        <f ca="1">SUMIF(INDIRECT($AJ15&amp;"!AC:AC"),$AK15&amp;"ACCU",INDIRECT($AJ15&amp;"!AD:AD"))</f>
        <v>0</v>
      </c>
      <c r="T15" s="85" t="s">
        <v>25</v>
      </c>
      <c r="U15" s="30">
        <f ca="1">SUMIF(INDIRECT($AJ15&amp;"!AC:AC"),$AK15&amp;"DECU",INDIRECT($AJ15&amp;"!AD:AD"))</f>
        <v>0</v>
      </c>
      <c r="V15" s="85" t="s">
        <v>31</v>
      </c>
      <c r="W15" s="29">
        <f ca="1">Q15+S15+U15</f>
        <v>0</v>
      </c>
      <c r="AJ15" s="89" t="s">
        <v>54</v>
      </c>
      <c r="AK15" s="51">
        <f>AK$1</f>
        <v>9</v>
      </c>
      <c r="AL15" s="89" t="s">
        <v>55</v>
      </c>
    </row>
    <row r="16" spans="1:40" s="96" customFormat="1" ht="15.75" customHeight="1" x14ac:dyDescent="0.25">
      <c r="A16" s="36"/>
      <c r="C16" s="97"/>
      <c r="E16" s="98"/>
      <c r="G16" s="98"/>
      <c r="I16" s="98"/>
      <c r="K16" s="98"/>
      <c r="L16" s="37"/>
      <c r="M16" s="98"/>
      <c r="O16" s="98"/>
      <c r="Q16" s="98"/>
      <c r="S16" s="98"/>
      <c r="V16" s="98"/>
      <c r="W16" s="99"/>
      <c r="AK16" s="37"/>
    </row>
    <row r="17" spans="1:38" s="96" customFormat="1" ht="15.75" customHeight="1" x14ac:dyDescent="0.25">
      <c r="A17" s="36"/>
      <c r="C17" s="97"/>
      <c r="E17" s="98"/>
      <c r="G17" s="98"/>
      <c r="I17" s="98"/>
      <c r="K17" s="98"/>
      <c r="L17" s="37"/>
      <c r="M17" s="98"/>
      <c r="O17" s="98"/>
      <c r="Q17" s="98"/>
      <c r="S17" s="98"/>
      <c r="V17" s="98"/>
      <c r="W17" s="99"/>
      <c r="AK17" s="37"/>
    </row>
    <row r="18" spans="1:38" s="96" customFormat="1" ht="15.75" customHeight="1" x14ac:dyDescent="0.25">
      <c r="A18" s="24" t="s">
        <v>56</v>
      </c>
      <c r="C18" s="97"/>
      <c r="E18" s="98"/>
      <c r="G18" s="98"/>
      <c r="I18" s="98"/>
      <c r="K18" s="98"/>
      <c r="L18" s="37"/>
      <c r="M18" s="98"/>
      <c r="O18" s="98"/>
      <c r="Q18" s="98"/>
      <c r="S18" s="98"/>
      <c r="V18" s="98"/>
      <c r="W18" s="39"/>
      <c r="AK18" s="37"/>
    </row>
    <row r="19" spans="1:38" s="89" customFormat="1" ht="18" customHeight="1" x14ac:dyDescent="0.25">
      <c r="A19" s="28">
        <v>1</v>
      </c>
      <c r="B19" s="89" t="s">
        <v>57</v>
      </c>
      <c r="C19" s="29">
        <f ca="1">INDIRECT("'"&amp;AJ19&amp;"'!T11")</f>
        <v>0</v>
      </c>
      <c r="D19" s="85" t="s">
        <v>23</v>
      </c>
      <c r="E19" s="30">
        <f ca="1">SUMIF(INDIRECT($AJ19&amp;"!AC:AC"),$AK19&amp;"Buy (Accu)",INDIRECT($AJ19&amp;"!AD:AD"))+SUMIF(INDIRECT($AJ19&amp;"!AC:AC"),$AK19&amp;"Buy (Accu-KO)",INDIRECT($AJ19&amp;"!AD:AD"))</f>
        <v>0</v>
      </c>
      <c r="F19" s="85" t="s">
        <v>25</v>
      </c>
      <c r="G19" s="30">
        <f ca="1">SUMIF(INDIRECT($AJ19&amp;"!AC:AC"),$AK19&amp;"Sell (Decu)",INDIRECT($AJ19&amp;"!AD:AD"))+SUMIF(INDIRECT($AJ19&amp;"!AC:AC"),$AK19&amp;"Sell (Decu-KO)",INDIRECT($AJ19&amp;"!AD:AD"))</f>
        <v>0</v>
      </c>
      <c r="H19" s="85" t="s">
        <v>23</v>
      </c>
      <c r="I19" s="30">
        <f ca="1">SUMIF(INDIRECT($AJ19&amp;"!AC:AC"),$AK19&amp;"Buy (Spot)",INDIRECT($AJ19&amp;"!AD:AD"))</f>
        <v>0</v>
      </c>
      <c r="J19" s="85" t="s">
        <v>25</v>
      </c>
      <c r="K19" s="30">
        <f ca="1">SUMIF(INDIRECT($AJ19&amp;"!AC:AC"),$AK19&amp;"Sell (Spot)",INDIRECT($AJ19&amp;"!AD:AD"))</f>
        <v>0</v>
      </c>
      <c r="L19" s="22" t="s">
        <v>23</v>
      </c>
      <c r="M19" s="30">
        <f ca="1">SUMIF(INDIRECT($AJ19&amp;"!AC:AC"),$AK19&amp;"Transfer-In",INDIRECT($AJ19&amp;"!AD:AD"))+SUMIF(INDIRECT($AJ19&amp;"!AC:AC"),$AK19&amp;"Transfer-Out",INDIRECT($AJ19&amp;"!AD:AD"))</f>
        <v>0</v>
      </c>
      <c r="N19" s="85" t="s">
        <v>23</v>
      </c>
      <c r="O19" s="30">
        <f ca="1">SUMIF(INDIRECT($AJ19&amp;"!AC:AC"),$AK19&amp;"Pay Short",INDIRECT($AJ19&amp;"!AD:AD"))</f>
        <v>0</v>
      </c>
      <c r="P19" s="85" t="s">
        <v>31</v>
      </c>
      <c r="Q19" s="31">
        <f ca="1">SUM(C19:P19)</f>
        <v>0</v>
      </c>
      <c r="R19" s="85" t="s">
        <v>23</v>
      </c>
      <c r="S19" s="30">
        <f ca="1">SUMIF(INDIRECT($AJ19&amp;"!AC:AC"),$AK19&amp;"ACCU",INDIRECT($AJ19&amp;"!AD:AD"))</f>
        <v>0</v>
      </c>
      <c r="T19" s="85" t="s">
        <v>25</v>
      </c>
      <c r="U19" s="30">
        <f ca="1">SUMIF(INDIRECT($AJ19&amp;"!AC:AC"),$AK19&amp;"DECU",INDIRECT($AJ19&amp;"!AD:AD"))</f>
        <v>0</v>
      </c>
      <c r="V19" s="85" t="s">
        <v>31</v>
      </c>
      <c r="W19" s="29">
        <f ca="1">Q19+S19+U19</f>
        <v>0</v>
      </c>
      <c r="AJ19" s="89" t="s">
        <v>58</v>
      </c>
      <c r="AK19" s="51">
        <f>AK$1</f>
        <v>9</v>
      </c>
      <c r="AL19" s="89" t="str">
        <f>B19</f>
        <v>Deutsche - Personal</v>
      </c>
    </row>
    <row r="20" spans="1:38" s="89" customFormat="1" ht="18" customHeight="1" x14ac:dyDescent="0.25">
      <c r="A20" s="28">
        <v>2</v>
      </c>
      <c r="B20" s="89" t="s">
        <v>59</v>
      </c>
      <c r="C20" s="29">
        <f ca="1">INDIRECT("'"&amp;AJ20&amp;"'!T11")</f>
        <v>0</v>
      </c>
      <c r="D20" s="85" t="s">
        <v>23</v>
      </c>
      <c r="E20" s="30">
        <f ca="1">SUMIF(INDIRECT($AJ20&amp;"!AC:AC"),$AK20&amp;"Buy (Accu)",INDIRECT($AJ20&amp;"!AD:AD"))+SUMIF(INDIRECT($AJ20&amp;"!AC:AC"),$AK20&amp;"Buy (Accu-KO)",INDIRECT($AJ20&amp;"!AD:AD"))</f>
        <v>0</v>
      </c>
      <c r="F20" s="85" t="s">
        <v>25</v>
      </c>
      <c r="G20" s="30">
        <f ca="1">SUMIF(INDIRECT($AJ20&amp;"!AC:AC"),$AK20&amp;"Sell (Decu)",INDIRECT($AJ20&amp;"!AD:AD"))+SUMIF(INDIRECT($AJ20&amp;"!AC:AC"),$AK20&amp;"Sell (Decu-KO)",INDIRECT($AJ20&amp;"!AD:AD"))</f>
        <v>0</v>
      </c>
      <c r="H20" s="85" t="s">
        <v>23</v>
      </c>
      <c r="I20" s="30">
        <f ca="1">SUMIF(INDIRECT($AJ20&amp;"!AC:AC"),$AK20&amp;"Buy (Spot)",INDIRECT($AJ20&amp;"!AD:AD"))</f>
        <v>0</v>
      </c>
      <c r="J20" s="85" t="s">
        <v>25</v>
      </c>
      <c r="K20" s="30">
        <f ca="1">SUMIF(INDIRECT($AJ20&amp;"!AC:AC"),$AK20&amp;"Sell (Spot)",INDIRECT($AJ20&amp;"!AD:AD"))</f>
        <v>0</v>
      </c>
      <c r="L20" s="22" t="s">
        <v>23</v>
      </c>
      <c r="M20" s="30">
        <f ca="1">SUMIF(INDIRECT($AJ20&amp;"!AC:AC"),$AK20&amp;"Transfer-In",INDIRECT($AJ20&amp;"!AD:AD"))+SUMIF(INDIRECT($AJ20&amp;"!AC:AC"),$AK20&amp;"Transfer-Out",INDIRECT($AJ20&amp;"!AD:AD"))</f>
        <v>0</v>
      </c>
      <c r="N20" s="85" t="s">
        <v>23</v>
      </c>
      <c r="O20" s="30">
        <f ca="1">SUMIF(INDIRECT($AJ20&amp;"!AC:AC"),$AK20&amp;"Pay Short",INDIRECT($AJ20&amp;"!AD:AD"))</f>
        <v>0</v>
      </c>
      <c r="P20" s="85" t="s">
        <v>31</v>
      </c>
      <c r="Q20" s="31">
        <f ca="1">SUM(C20:P20)</f>
        <v>0</v>
      </c>
      <c r="R20" s="85" t="s">
        <v>23</v>
      </c>
      <c r="S20" s="30">
        <f ca="1">SUMIF(INDIRECT($AJ20&amp;"!AC:AC"),$AK20&amp;"ACCU",INDIRECT($AJ20&amp;"!AD:AD"))</f>
        <v>0</v>
      </c>
      <c r="T20" s="85" t="s">
        <v>25</v>
      </c>
      <c r="U20" s="30">
        <f ca="1">SUMIF(INDIRECT($AJ20&amp;"!AC:AC"),$AK20&amp;"DECU",INDIRECT($AJ20&amp;"!AD:AD"))</f>
        <v>0</v>
      </c>
      <c r="V20" s="85" t="s">
        <v>31</v>
      </c>
      <c r="W20" s="29">
        <f ca="1">Q20+S20+U20</f>
        <v>0</v>
      </c>
      <c r="AJ20" s="89" t="s">
        <v>60</v>
      </c>
      <c r="AK20" s="51">
        <f>AK$1</f>
        <v>9</v>
      </c>
      <c r="AL20" s="89" t="str">
        <f>B20</f>
        <v>Deutsche - Perfect Legend</v>
      </c>
    </row>
    <row r="21" spans="1:38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I21" s="100">
        <f ca="1">SUM(I19:I20)</f>
        <v>0</v>
      </c>
      <c r="K21" s="100">
        <f ca="1">SUM(K19:K20)</f>
        <v>0</v>
      </c>
      <c r="L21" s="34"/>
      <c r="M21" s="100">
        <f ca="1">SUM(M19:M20)</f>
        <v>0</v>
      </c>
      <c r="O21" s="100">
        <f ca="1">SUM(O19:O20)</f>
        <v>0</v>
      </c>
      <c r="Q21" s="100">
        <f ca="1">SUM(Q19:Q20)</f>
        <v>0</v>
      </c>
      <c r="S21" s="100">
        <f ca="1">SUM(S19:S20)</f>
        <v>0</v>
      </c>
      <c r="U21" s="100">
        <f ca="1">SUM(U19:U20)</f>
        <v>0</v>
      </c>
      <c r="V21" s="94"/>
      <c r="W21" s="100">
        <f ca="1">SUM(W19:W20)</f>
        <v>0</v>
      </c>
      <c r="AK21" s="34"/>
    </row>
    <row r="22" spans="1:38" s="96" customFormat="1" ht="15.75" customHeight="1" x14ac:dyDescent="0.25">
      <c r="A22" s="36"/>
      <c r="C22" s="97"/>
      <c r="E22" s="98"/>
      <c r="G22" s="98"/>
      <c r="I22" s="98"/>
      <c r="K22" s="98"/>
      <c r="L22" s="37"/>
      <c r="M22" s="98"/>
      <c r="O22" s="98"/>
      <c r="Q22" s="98"/>
      <c r="S22" s="98"/>
      <c r="V22" s="98"/>
      <c r="W22" s="99"/>
      <c r="AK22" s="37"/>
    </row>
    <row r="23" spans="1:38" s="96" customFormat="1" ht="15.75" customHeight="1" x14ac:dyDescent="0.25">
      <c r="A23" s="36"/>
      <c r="C23" s="97"/>
      <c r="E23" s="98"/>
      <c r="G23" s="98"/>
      <c r="I23" s="98"/>
      <c r="K23" s="98"/>
      <c r="L23" s="37"/>
      <c r="M23" s="98"/>
      <c r="O23" s="98"/>
      <c r="Q23" s="98"/>
      <c r="S23" s="98"/>
      <c r="V23" s="98"/>
      <c r="W23" s="99"/>
      <c r="AK23" s="37"/>
    </row>
    <row r="24" spans="1:38" s="89" customFormat="1" ht="18" hidden="1" customHeight="1" x14ac:dyDescent="0.25">
      <c r="A24" s="38" t="s">
        <v>61</v>
      </c>
      <c r="C24" s="29">
        <f ca="1">INDIRECT("'"&amp;AJ24&amp;"'!T11")</f>
        <v>0</v>
      </c>
      <c r="D24" s="85" t="s">
        <v>23</v>
      </c>
      <c r="E24" s="30">
        <f ca="1">SUMIF(INDIRECT($AJ24&amp;"!AC:AC"),$AK24&amp;"Buy (Accu)",INDIRECT($AJ24&amp;"!AD:AD"))+SUMIF(INDIRECT($AJ24&amp;"!AC:AC"),$AK24&amp;"Buy (Accu-KO)",INDIRECT($AJ24&amp;"!AD:AD"))</f>
        <v>0</v>
      </c>
      <c r="F24" s="85" t="s">
        <v>25</v>
      </c>
      <c r="G24" s="30">
        <f ca="1">SUMIF(INDIRECT($AJ24&amp;"!AC:AC"),$AK24&amp;"Sell (Decu)",INDIRECT($AJ24&amp;"!AD:AD"))+SUMIF(INDIRECT($AJ24&amp;"!AC:AC"),$AK24&amp;"Sell (Decu-KO)",INDIRECT($AJ24&amp;"!AD:AD"))</f>
        <v>0</v>
      </c>
      <c r="H24" s="85" t="s">
        <v>23</v>
      </c>
      <c r="I24" s="30">
        <f ca="1">SUMIF(INDIRECT($AJ24&amp;"!AC:AC"),$AK24&amp;"Buy (Spot)",INDIRECT($AJ24&amp;"!AD:AD"))</f>
        <v>0</v>
      </c>
      <c r="J24" s="85" t="s">
        <v>25</v>
      </c>
      <c r="K24" s="30">
        <f ca="1">SUMIF(INDIRECT($AJ24&amp;"!AC:AC"),$AK24&amp;"Sell (Spot)",INDIRECT($AJ24&amp;"!AD:AD"))</f>
        <v>0</v>
      </c>
      <c r="L24" s="22" t="s">
        <v>23</v>
      </c>
      <c r="M24" s="30">
        <f ca="1">SUMIF(INDIRECT($AJ24&amp;"!AC:AC"),$AK24&amp;"Transfer-In",INDIRECT($AJ24&amp;"!AD:AD"))+SUMIF(INDIRECT($AJ24&amp;"!AC:AC"),$AK24&amp;"Transfer-Out",INDIRECT($AJ24&amp;"!AD:AD"))</f>
        <v>0</v>
      </c>
      <c r="N24" s="85" t="s">
        <v>23</v>
      </c>
      <c r="O24" s="30">
        <f ca="1">SUMIF(INDIRECT($AJ24&amp;"!AC:AC"),$AK24&amp;"Pay Short",INDIRECT($AJ24&amp;"!AD:AD"))</f>
        <v>0</v>
      </c>
      <c r="P24" s="85" t="s">
        <v>31</v>
      </c>
      <c r="Q24" s="31">
        <f ca="1">SUM(C24:P24)</f>
        <v>0</v>
      </c>
      <c r="R24" s="85" t="s">
        <v>23</v>
      </c>
      <c r="S24" s="30">
        <f ca="1">SUMIF(INDIRECT($AJ24&amp;"!AC:AC"),$AK24&amp;"ACCU",INDIRECT($AJ24&amp;"!AD:AD"))</f>
        <v>0</v>
      </c>
      <c r="T24" s="85" t="s">
        <v>25</v>
      </c>
      <c r="U24" s="30">
        <f ca="1">SUMIF(INDIRECT($AJ24&amp;"!AC:AC"),$AK24&amp;"DECU",INDIRECT($AJ24&amp;"!AD:AD"))</f>
        <v>0</v>
      </c>
      <c r="V24" s="85" t="s">
        <v>31</v>
      </c>
      <c r="W24" s="29">
        <f ca="1">Q24+S24+U24</f>
        <v>0</v>
      </c>
      <c r="AJ24" s="89" t="s">
        <v>62</v>
      </c>
      <c r="AK24" s="51">
        <f>AK$1</f>
        <v>9</v>
      </c>
      <c r="AL24" s="89" t="s">
        <v>63</v>
      </c>
    </row>
    <row r="25" spans="1:38" s="96" customFormat="1" ht="15.75" hidden="1" customHeight="1" x14ac:dyDescent="0.25">
      <c r="A25" s="36"/>
      <c r="C25" s="97"/>
      <c r="E25" s="98"/>
      <c r="G25" s="98"/>
      <c r="I25" s="98"/>
      <c r="K25" s="98"/>
      <c r="L25" s="37"/>
      <c r="M25" s="98"/>
      <c r="O25" s="98"/>
      <c r="Q25" s="98"/>
      <c r="S25" s="98"/>
      <c r="V25" s="98"/>
      <c r="W25" s="99"/>
      <c r="AK25" s="37"/>
    </row>
    <row r="26" spans="1:38" s="96" customFormat="1" ht="15.75" hidden="1" customHeight="1" x14ac:dyDescent="0.25">
      <c r="A26" s="36"/>
      <c r="C26" s="97"/>
      <c r="E26" s="98"/>
      <c r="G26" s="98"/>
      <c r="I26" s="98"/>
      <c r="K26" s="98"/>
      <c r="L26" s="37"/>
      <c r="M26" s="98"/>
      <c r="O26" s="98"/>
      <c r="Q26" s="98"/>
      <c r="S26" s="98"/>
      <c r="V26" s="98"/>
      <c r="W26" s="99"/>
      <c r="AK26" s="37"/>
    </row>
    <row r="27" spans="1:38" s="89" customFormat="1" ht="18" customHeight="1" x14ac:dyDescent="0.25">
      <c r="A27" s="38" t="s">
        <v>102</v>
      </c>
      <c r="C27" s="29">
        <f ca="1">INDIRECT("'"&amp;AJ27&amp;"'!T11")</f>
        <v>0</v>
      </c>
      <c r="D27" s="85" t="s">
        <v>23</v>
      </c>
      <c r="E27" s="30">
        <f ca="1">SUMIF(INDIRECT($AJ27&amp;"!AC:AC"),$AK27&amp;"Buy (Accu)",INDIRECT($AJ27&amp;"!AD:AD"))+SUMIF(INDIRECT($AJ27&amp;"!AC:AC"),$AK27&amp;"Buy (Accu-KO)",INDIRECT($AJ27&amp;"!AD:AD"))</f>
        <v>0</v>
      </c>
      <c r="F27" s="85" t="s">
        <v>25</v>
      </c>
      <c r="G27" s="30">
        <f ca="1">SUMIF(INDIRECT($AJ27&amp;"!AC:AC"),$AK27&amp;"Sell (Decu)",INDIRECT($AJ27&amp;"!AD:AD"))+SUMIF(INDIRECT($AJ27&amp;"!AC:AC"),$AK27&amp;"Sell (Decu-KO)",INDIRECT($AJ27&amp;"!AD:AD"))</f>
        <v>0</v>
      </c>
      <c r="H27" s="85" t="s">
        <v>23</v>
      </c>
      <c r="I27" s="30">
        <f ca="1">SUMIF(INDIRECT($AJ27&amp;"!AC:AC"),$AK27&amp;"Buy (Spot)",INDIRECT($AJ27&amp;"!AD:AD"))</f>
        <v>0</v>
      </c>
      <c r="J27" s="85" t="s">
        <v>25</v>
      </c>
      <c r="K27" s="30">
        <f ca="1">SUMIF(INDIRECT($AJ27&amp;"!AC:AC"),$AK27&amp;"Sell (Spot)",INDIRECT($AJ27&amp;"!AD:AD"))</f>
        <v>0</v>
      </c>
      <c r="L27" s="22" t="s">
        <v>23</v>
      </c>
      <c r="M27" s="30">
        <f ca="1">SUMIF(INDIRECT($AJ27&amp;"!AC:AC"),$AK27&amp;"Transfer-In",INDIRECT($AJ27&amp;"!AD:AD"))+SUMIF(INDIRECT($AJ27&amp;"!AC:AC"),$AK27&amp;"Transfer-Out",INDIRECT($AJ27&amp;"!AD:AD"))</f>
        <v>0</v>
      </c>
      <c r="N27" s="85" t="s">
        <v>23</v>
      </c>
      <c r="O27" s="30">
        <f ca="1">SUMIF(INDIRECT($AJ27&amp;"!AC:AC"),$AK27&amp;"Pay Short",INDIRECT($AJ27&amp;"!AD:AD"))</f>
        <v>0</v>
      </c>
      <c r="P27" s="85" t="s">
        <v>31</v>
      </c>
      <c r="Q27" s="31">
        <f ca="1">SUM(C27:P27)</f>
        <v>0</v>
      </c>
      <c r="R27" s="85" t="s">
        <v>23</v>
      </c>
      <c r="S27" s="30">
        <f ca="1">SUMIF(INDIRECT($AJ27&amp;"!AC:AC"),$AK27&amp;"ACCU",INDIRECT($AJ27&amp;"!AD:AD"))</f>
        <v>0</v>
      </c>
      <c r="T27" s="85" t="s">
        <v>25</v>
      </c>
      <c r="U27" s="30">
        <f ca="1">SUMIF(INDIRECT($AJ27&amp;"!AC:AC"),$AK27&amp;"DECU",INDIRECT($AJ27&amp;"!AD:AD"))</f>
        <v>0</v>
      </c>
      <c r="V27" s="85" t="s">
        <v>31</v>
      </c>
      <c r="W27" s="29">
        <f ca="1">Q27+S27+U27</f>
        <v>0</v>
      </c>
      <c r="AJ27" s="89" t="s">
        <v>64</v>
      </c>
      <c r="AK27" s="51">
        <f>AK$1</f>
        <v>9</v>
      </c>
      <c r="AL27" s="89" t="s">
        <v>65</v>
      </c>
    </row>
    <row r="28" spans="1:38" s="89" customFormat="1" ht="18" customHeight="1" x14ac:dyDescent="0.25">
      <c r="A28" s="38"/>
      <c r="C28" s="90"/>
      <c r="D28" s="85"/>
      <c r="E28" s="85"/>
      <c r="F28" s="85"/>
      <c r="G28" s="85"/>
      <c r="H28" s="85"/>
      <c r="I28" s="85"/>
      <c r="J28" s="85"/>
      <c r="K28" s="85"/>
      <c r="L28" s="22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101"/>
      <c r="AK28" s="51"/>
    </row>
    <row r="29" spans="1:38" s="89" customFormat="1" ht="18" customHeight="1" x14ac:dyDescent="0.25">
      <c r="A29" s="38"/>
      <c r="C29" s="90"/>
      <c r="D29" s="85"/>
      <c r="E29" s="85"/>
      <c r="F29" s="85"/>
      <c r="G29" s="85"/>
      <c r="H29" s="85"/>
      <c r="I29" s="85"/>
      <c r="J29" s="85"/>
      <c r="K29" s="85"/>
      <c r="L29" s="22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101"/>
      <c r="AK29" s="51"/>
    </row>
    <row r="30" spans="1:38" s="96" customFormat="1" ht="15.75" customHeight="1" x14ac:dyDescent="0.25">
      <c r="A30" s="24" t="s">
        <v>103</v>
      </c>
      <c r="C30" s="97"/>
      <c r="E30" s="98"/>
      <c r="G30" s="98"/>
      <c r="I30" s="98"/>
      <c r="K30" s="98"/>
      <c r="L30" s="37"/>
      <c r="M30" s="98"/>
      <c r="O30" s="98"/>
      <c r="Q30" s="98"/>
      <c r="S30" s="98"/>
      <c r="V30" s="98"/>
      <c r="W30" s="99"/>
      <c r="AK30" s="37"/>
    </row>
    <row r="31" spans="1:38" s="89" customFormat="1" ht="18" customHeight="1" x14ac:dyDescent="0.25">
      <c r="A31" s="28">
        <v>1</v>
      </c>
      <c r="B31" s="89" t="s">
        <v>66</v>
      </c>
      <c r="C31" s="29">
        <f ca="1">INDIRECT("'"&amp;AJ31&amp;"'!T11")</f>
        <v>0</v>
      </c>
      <c r="D31" s="85" t="s">
        <v>23</v>
      </c>
      <c r="E31" s="30">
        <f ca="1">SUMIF(INDIRECT($AJ31&amp;"!AC:AC"),$AK31&amp;"Buy (Accu)",INDIRECT($AJ31&amp;"!AD:AD"))+SUMIF(INDIRECT($AJ31&amp;"!AC:AC"),$AK31&amp;"Buy (Accu-KO)",INDIRECT($AJ31&amp;"!AD:AD"))</f>
        <v>0</v>
      </c>
      <c r="F31" s="85" t="s">
        <v>25</v>
      </c>
      <c r="G31" s="30">
        <f ca="1">SUMIF(INDIRECT($AJ31&amp;"!AC:AC"),$AK31&amp;"Sell (Decu)",INDIRECT($AJ31&amp;"!AD:AD"))+SUMIF(INDIRECT($AJ31&amp;"!AC:AC"),$AK31&amp;"Sell (Decu-KO)",INDIRECT($AJ31&amp;"!AD:AD"))</f>
        <v>0</v>
      </c>
      <c r="H31" s="85" t="s">
        <v>23</v>
      </c>
      <c r="I31" s="30">
        <f ca="1">SUMIF(INDIRECT($AJ31&amp;"!AC:AC"),$AK31&amp;"Buy (Spot)",INDIRECT($AJ31&amp;"!AD:AD"))</f>
        <v>0</v>
      </c>
      <c r="J31" s="85" t="s">
        <v>25</v>
      </c>
      <c r="K31" s="30">
        <f ca="1">SUMIF(INDIRECT($AJ31&amp;"!AC:AC"),$AK31&amp;"Sell (Spot)",INDIRECT($AJ31&amp;"!AD:AD"))</f>
        <v>0</v>
      </c>
      <c r="L31" s="22" t="s">
        <v>23</v>
      </c>
      <c r="M31" s="30">
        <f ca="1">SUMIF(INDIRECT($AJ31&amp;"!AC:AC"),$AK31&amp;"Transfer-In",INDIRECT($AJ31&amp;"!AD:AD"))+SUMIF(INDIRECT($AJ31&amp;"!AC:AC"),$AK31&amp;"Transfer-Out",INDIRECT($AJ31&amp;"!AD:AD"))</f>
        <v>0</v>
      </c>
      <c r="N31" s="85" t="s">
        <v>23</v>
      </c>
      <c r="O31" s="30">
        <f ca="1">SUMIF(INDIRECT($AJ31&amp;"!AC:AC"),$AK31&amp;"Pay Short",INDIRECT($AJ31&amp;"!AD:AD"))</f>
        <v>0</v>
      </c>
      <c r="P31" s="85" t="s">
        <v>31</v>
      </c>
      <c r="Q31" s="31">
        <f ca="1">SUM(C31:P31)</f>
        <v>0</v>
      </c>
      <c r="R31" s="85" t="s">
        <v>23</v>
      </c>
      <c r="S31" s="30">
        <f ca="1">SUMIF(INDIRECT($AJ31&amp;"!AC:AC"),$AK31&amp;"ACCU",INDIRECT($AJ31&amp;"!AD:AD"))</f>
        <v>0</v>
      </c>
      <c r="T31" s="85" t="s">
        <v>25</v>
      </c>
      <c r="U31" s="30">
        <f ca="1">SUMIF(INDIRECT($AJ31&amp;"!AC:AC"),$AK31&amp;"DECU",INDIRECT($AJ31&amp;"!AD:AD"))</f>
        <v>0</v>
      </c>
      <c r="V31" s="85" t="s">
        <v>31</v>
      </c>
      <c r="W31" s="29">
        <f ca="1">Q31+S31+U31</f>
        <v>0</v>
      </c>
      <c r="AJ31" s="89" t="s">
        <v>67</v>
      </c>
      <c r="AK31" s="51">
        <f>AK$1</f>
        <v>9</v>
      </c>
      <c r="AL31" s="89" t="str">
        <f>B31</f>
        <v>Morgan  - Titan No. 1</v>
      </c>
    </row>
    <row r="32" spans="1:38" s="89" customFormat="1" ht="18" customHeight="1" x14ac:dyDescent="0.25">
      <c r="A32" s="28">
        <v>2</v>
      </c>
      <c r="B32" s="89" t="s">
        <v>68</v>
      </c>
      <c r="C32" s="29">
        <f ca="1">INDIRECT("'"&amp;AJ32&amp;"'!T11")</f>
        <v>0</v>
      </c>
      <c r="D32" s="85" t="s">
        <v>23</v>
      </c>
      <c r="E32" s="30">
        <f ca="1">SUMIF(INDIRECT($AJ32&amp;"!AC:AC"),$AK32&amp;"Buy (Accu)",INDIRECT($AJ32&amp;"!AD:AD"))+SUMIF(INDIRECT($AJ32&amp;"!AC:AC"),$AK32&amp;"Buy (Accu-KO)",INDIRECT($AJ32&amp;"!AD:AD"))</f>
        <v>0</v>
      </c>
      <c r="F32" s="85" t="s">
        <v>25</v>
      </c>
      <c r="G32" s="30">
        <f ca="1">SUMIF(INDIRECT($AJ32&amp;"!AC:AC"),$AK32&amp;"Sell (Decu)",INDIRECT($AJ32&amp;"!AD:AD"))+SUMIF(INDIRECT($AJ32&amp;"!AC:AC"),$AK32&amp;"Sell (Decu-KO)",INDIRECT($AJ32&amp;"!AD:AD"))</f>
        <v>0</v>
      </c>
      <c r="H32" s="85" t="s">
        <v>23</v>
      </c>
      <c r="I32" s="30">
        <f ca="1">SUMIF(INDIRECT($AJ32&amp;"!AC:AC"),$AK32&amp;"Buy (Spot)",INDIRECT($AJ32&amp;"!AD:AD"))</f>
        <v>0</v>
      </c>
      <c r="J32" s="85" t="s">
        <v>25</v>
      </c>
      <c r="K32" s="30">
        <f ca="1">SUMIF(INDIRECT($AJ32&amp;"!AC:AC"),$AK32&amp;"Sell (Spot)",INDIRECT($AJ32&amp;"!AD:AD"))</f>
        <v>0</v>
      </c>
      <c r="L32" s="22" t="s">
        <v>23</v>
      </c>
      <c r="M32" s="30">
        <f ca="1">SUMIF(INDIRECT($AJ32&amp;"!AC:AC"),$AK32&amp;"Transfer-In",INDIRECT($AJ32&amp;"!AD:AD"))+SUMIF(INDIRECT($AJ32&amp;"!AC:AC"),$AK32&amp;"Transfer-Out",INDIRECT($AJ32&amp;"!AD:AD"))</f>
        <v>0</v>
      </c>
      <c r="N32" s="85" t="s">
        <v>23</v>
      </c>
      <c r="O32" s="30">
        <f ca="1">SUMIF(INDIRECT($AJ32&amp;"!AC:AC"),$AK32&amp;"Pay Short",INDIRECT($AJ32&amp;"!AD:AD"))</f>
        <v>0</v>
      </c>
      <c r="P32" s="85" t="s">
        <v>31</v>
      </c>
      <c r="Q32" s="31">
        <f ca="1">SUM(C32:P32)</f>
        <v>0</v>
      </c>
      <c r="R32" s="85" t="s">
        <v>23</v>
      </c>
      <c r="S32" s="30">
        <f ca="1">SUMIF(INDIRECT($AJ32&amp;"!AC:AC"),$AK32&amp;"ACCU",INDIRECT($AJ32&amp;"!AD:AD"))</f>
        <v>0</v>
      </c>
      <c r="T32" s="85" t="s">
        <v>25</v>
      </c>
      <c r="U32" s="30">
        <f ca="1">SUMIF(INDIRECT($AJ32&amp;"!AC:AC"),$AK32&amp;"DECU",INDIRECT($AJ32&amp;"!AD:AD"))</f>
        <v>0</v>
      </c>
      <c r="V32" s="85" t="s">
        <v>31</v>
      </c>
      <c r="W32" s="29">
        <f ca="1">Q32+S32+U32</f>
        <v>0</v>
      </c>
      <c r="AJ32" s="89" t="s">
        <v>69</v>
      </c>
      <c r="AK32" s="51">
        <f>AK$1</f>
        <v>9</v>
      </c>
      <c r="AL32" s="89" t="str">
        <f>B32</f>
        <v>Morgan  - Titan No. 2</v>
      </c>
    </row>
    <row r="33" spans="1:38" s="89" customFormat="1" ht="18" customHeight="1" x14ac:dyDescent="0.25">
      <c r="A33" s="28">
        <v>3</v>
      </c>
      <c r="B33" s="89" t="s">
        <v>70</v>
      </c>
      <c r="C33" s="29">
        <f ca="1">INDIRECT("'"&amp;AJ33&amp;"'!T11")</f>
        <v>0</v>
      </c>
      <c r="D33" s="85" t="s">
        <v>23</v>
      </c>
      <c r="E33" s="30">
        <f ca="1">SUMIF(INDIRECT($AJ33&amp;"!AC:AC"),$AK33&amp;"Buy (Accu)",INDIRECT($AJ33&amp;"!AD:AD"))+SUMIF(INDIRECT($AJ33&amp;"!AC:AC"),$AK33&amp;"Buy (Accu-KO)",INDIRECT($AJ33&amp;"!AD:AD"))</f>
        <v>0</v>
      </c>
      <c r="F33" s="85" t="s">
        <v>25</v>
      </c>
      <c r="G33" s="30">
        <f ca="1">SUMIF(INDIRECT($AJ33&amp;"!AC:AC"),$AK33&amp;"Sell (Decu)",INDIRECT($AJ33&amp;"!AD:AD"))+SUMIF(INDIRECT($AJ33&amp;"!AC:AC"),$AK33&amp;"Sell (Decu-KO)",INDIRECT($AJ33&amp;"!AD:AD"))</f>
        <v>0</v>
      </c>
      <c r="H33" s="85" t="s">
        <v>23</v>
      </c>
      <c r="I33" s="30">
        <f ca="1">SUMIF(INDIRECT($AJ33&amp;"!AC:AC"),$AK33&amp;"Buy (Spot)",INDIRECT($AJ33&amp;"!AD:AD"))</f>
        <v>0</v>
      </c>
      <c r="J33" s="85" t="s">
        <v>25</v>
      </c>
      <c r="K33" s="30">
        <f ca="1">SUMIF(INDIRECT($AJ33&amp;"!AC:AC"),$AK33&amp;"Sell (Spot)",INDIRECT($AJ33&amp;"!AD:AD"))</f>
        <v>0</v>
      </c>
      <c r="L33" s="22" t="s">
        <v>23</v>
      </c>
      <c r="M33" s="30">
        <f ca="1">SUMIF(INDIRECT($AJ33&amp;"!AC:AC"),$AK33&amp;"Transfer-In",INDIRECT($AJ33&amp;"!AD:AD"))+SUMIF(INDIRECT($AJ33&amp;"!AC:AC"),$AK33&amp;"Transfer-Out",INDIRECT($AJ33&amp;"!AD:AD"))</f>
        <v>0</v>
      </c>
      <c r="N33" s="85" t="s">
        <v>23</v>
      </c>
      <c r="O33" s="30">
        <f ca="1">SUMIF(INDIRECT($AJ33&amp;"!AC:AC"),$AK33&amp;"Pay Short",INDIRECT($AJ33&amp;"!AD:AD"))</f>
        <v>0</v>
      </c>
      <c r="P33" s="85" t="s">
        <v>31</v>
      </c>
      <c r="Q33" s="31">
        <f ca="1">SUM(C33:P33)</f>
        <v>0</v>
      </c>
      <c r="R33" s="85" t="s">
        <v>23</v>
      </c>
      <c r="S33" s="30">
        <f ca="1">SUMIF(INDIRECT($AJ33&amp;"!AC:AC"),$AK33&amp;"ACCU",INDIRECT($AJ33&amp;"!AD:AD"))</f>
        <v>0</v>
      </c>
      <c r="T33" s="85" t="s">
        <v>25</v>
      </c>
      <c r="U33" s="30">
        <f ca="1">SUMIF(INDIRECT($AJ33&amp;"!AC:AC"),$AK33&amp;"DECU",INDIRECT($AJ33&amp;"!AD:AD"))</f>
        <v>0</v>
      </c>
      <c r="V33" s="85" t="s">
        <v>31</v>
      </c>
      <c r="W33" s="29">
        <f ca="1">Q33+S33+U33</f>
        <v>0</v>
      </c>
      <c r="AJ33" s="89" t="s">
        <v>71</v>
      </c>
      <c r="AK33" s="51">
        <f>AK$1</f>
        <v>9</v>
      </c>
      <c r="AL33" s="89" t="str">
        <f>B33</f>
        <v>Morgan - Perfect Legend</v>
      </c>
    </row>
    <row r="34" spans="1:38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I34" s="93">
        <f ca="1">SUM(I31:I33)</f>
        <v>0</v>
      </c>
      <c r="K34" s="93">
        <f ca="1">SUM(K31:K33)</f>
        <v>0</v>
      </c>
      <c r="L34" s="34"/>
      <c r="M34" s="93">
        <f ca="1">SUM(M31:M33)</f>
        <v>0</v>
      </c>
      <c r="O34" s="93">
        <f ca="1">SUM(O31:O33)</f>
        <v>0</v>
      </c>
      <c r="Q34" s="93">
        <f ca="1">SUM(Q31:Q33)</f>
        <v>0</v>
      </c>
      <c r="S34" s="93">
        <f ca="1">SUM(S31:S33)</f>
        <v>0</v>
      </c>
      <c r="U34" s="93">
        <f ca="1">SUM(U31:U33)</f>
        <v>0</v>
      </c>
      <c r="V34" s="94"/>
      <c r="W34" s="93">
        <f ca="1">SUM(W31:W33)</f>
        <v>0</v>
      </c>
      <c r="AK34" s="34"/>
    </row>
    <row r="35" spans="1:38" ht="15.75" customHeight="1" x14ac:dyDescent="0.25">
      <c r="C35" s="97"/>
      <c r="E35" s="97"/>
      <c r="G35" s="97"/>
      <c r="I35" s="97"/>
      <c r="K35" s="97"/>
      <c r="M35" s="97"/>
      <c r="O35" s="97"/>
      <c r="Q35" s="97"/>
      <c r="S35" s="97"/>
      <c r="U35" s="97"/>
      <c r="W35" s="97"/>
    </row>
    <row r="36" spans="1:38" ht="15.75" customHeight="1" x14ac:dyDescent="0.25">
      <c r="C36" s="97"/>
      <c r="E36" s="97"/>
      <c r="G36" s="97"/>
      <c r="I36" s="97"/>
      <c r="K36" s="97"/>
      <c r="M36" s="97"/>
      <c r="O36" s="97"/>
      <c r="Q36" s="97"/>
      <c r="S36" s="97"/>
      <c r="U36" s="97"/>
      <c r="W36" s="97"/>
    </row>
    <row r="37" spans="1:38" s="92" customFormat="1" ht="14.25" customHeight="1" x14ac:dyDescent="0.25">
      <c r="A37" s="20"/>
      <c r="B37" s="92" t="s">
        <v>72</v>
      </c>
      <c r="C37" s="93">
        <f ca="1">SUM(C12,C15,C21,C27,C34,C24)</f>
        <v>0</v>
      </c>
      <c r="D37" s="86" t="s">
        <v>23</v>
      </c>
      <c r="E37" s="93">
        <f ca="1">SUM(E12,E15,E21,E27,E34,E24)</f>
        <v>0</v>
      </c>
      <c r="F37" s="86" t="s">
        <v>25</v>
      </c>
      <c r="G37" s="93">
        <f ca="1">SUM(G12,G15,G21,G27,G34,G24)</f>
        <v>0</v>
      </c>
      <c r="H37" s="86" t="s">
        <v>23</v>
      </c>
      <c r="I37" s="93">
        <f ca="1">SUM(I12,I15,I21,I27,I34,I24)</f>
        <v>0</v>
      </c>
      <c r="J37" s="86" t="s">
        <v>25</v>
      </c>
      <c r="K37" s="93">
        <f ca="1">SUM(K12,K15,K21,K27,K34,K24)</f>
        <v>0</v>
      </c>
      <c r="L37" s="26" t="s">
        <v>23</v>
      </c>
      <c r="M37" s="93">
        <f ca="1">SUM(M12,M15,M21,M27,M34,M24)</f>
        <v>0</v>
      </c>
      <c r="N37" s="86" t="s">
        <v>23</v>
      </c>
      <c r="O37" s="93">
        <f ca="1">SUM(O12,O15,O21,O27,O34,O24)</f>
        <v>0</v>
      </c>
      <c r="P37" s="85" t="s">
        <v>31</v>
      </c>
      <c r="Q37" s="93">
        <f ca="1">SUM(Q12,Q15,Q21,Q27,Q34,Q24)</f>
        <v>0</v>
      </c>
      <c r="R37" s="86" t="s">
        <v>23</v>
      </c>
      <c r="S37" s="93">
        <f ca="1">SUM(S12,S15,S21,S27,S34,S24)</f>
        <v>0</v>
      </c>
      <c r="T37" s="86" t="s">
        <v>25</v>
      </c>
      <c r="U37" s="93">
        <f ca="1">SUM(U12,U15,U21,U27,U34,U24)</f>
        <v>0</v>
      </c>
      <c r="V37" s="86" t="s">
        <v>31</v>
      </c>
      <c r="W37" s="93">
        <f ca="1">SUM(W12,W15,W21,W27,W34,W24)</f>
        <v>0</v>
      </c>
      <c r="AK37" s="34"/>
    </row>
  </sheetData>
  <mergeCells count="4">
    <mergeCell ref="P1:W1"/>
    <mergeCell ref="E3:G3"/>
    <mergeCell ref="I3:O3"/>
    <mergeCell ref="AE6:AF6"/>
  </mergeCells>
  <pageMargins left="0.5" right="0.45" top="0.5" bottom="0.5" header="0.3" footer="0.3"/>
  <pageSetup paperSize="14" scale="7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W41"/>
  <sheetViews>
    <sheetView view="pageBreakPreview" zoomScaleNormal="100" zoomScaleSheetLayoutView="10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4.570312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10.7109375" style="40" bestFit="1" customWidth="1"/>
    <col min="13" max="13" width="5.7109375" style="78" hidden="1" customWidth="1"/>
    <col min="14" max="14" width="9.140625" style="78" customWidth="1"/>
    <col min="15" max="15" width="10.5703125" style="78" hidden="1" customWidth="1"/>
    <col min="16" max="16" width="5.7109375" style="78" hidden="1" customWidth="1"/>
    <col min="17" max="17" width="11.7109375" style="80" hidden="1" customWidth="1"/>
    <col min="18" max="18" width="12.28515625" style="78" hidden="1" customWidth="1"/>
    <col min="19" max="19" width="9.140625" style="78" customWidth="1"/>
    <col min="20" max="20" width="9.85546875" style="78" bestFit="1" customWidth="1"/>
    <col min="21" max="22" width="9.140625" style="78" customWidth="1"/>
    <col min="23" max="23" width="10.85546875" style="78" bestFit="1" customWidth="1"/>
    <col min="24" max="95" width="9.140625" style="78" customWidth="1"/>
    <col min="96" max="16384" width="9.140625" style="78"/>
  </cols>
  <sheetData>
    <row r="1" spans="1:23" ht="20.25" customHeight="1" x14ac:dyDescent="0.3">
      <c r="A1" s="18" t="str">
        <f>"Estimate "&amp;stock_name&amp;" Shares till Month of "&amp;TEXT(I6,"mmmm yyyy")&amp;" End"</f>
        <v>Estimate Great Wall Motor Shares till Month of October 2022 End</v>
      </c>
      <c r="T1" s="78">
        <f>MONTH(I6)</f>
        <v>10</v>
      </c>
    </row>
    <row r="2" spans="1:23" ht="20.25" customHeight="1" x14ac:dyDescent="0.3">
      <c r="A2" s="18" t="s">
        <v>73</v>
      </c>
      <c r="B2" s="113">
        <f ca="1">NOW()</f>
        <v>44805.576643402776</v>
      </c>
      <c r="C2" s="114"/>
    </row>
    <row r="3" spans="1:23" ht="26.25" customHeight="1" x14ac:dyDescent="0.25"/>
    <row r="4" spans="1:23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23" s="83" customFormat="1" ht="15.75" customHeight="1" x14ac:dyDescent="0.25">
      <c r="A5" s="21"/>
      <c r="C5" s="84"/>
      <c r="L5" s="41"/>
    </row>
    <row r="6" spans="1:23" s="86" customFormat="1" ht="15.75" customHeight="1" x14ac:dyDescent="0.25">
      <c r="A6" s="24" t="s">
        <v>39</v>
      </c>
      <c r="C6" s="25"/>
      <c r="I6" s="87">
        <f>_2nd</f>
        <v>44865</v>
      </c>
      <c r="K6" s="27"/>
      <c r="L6" s="42"/>
      <c r="Q6" s="112" t="s">
        <v>40</v>
      </c>
      <c r="R6" s="112"/>
    </row>
    <row r="7" spans="1:23" s="89" customFormat="1" ht="18" customHeight="1" x14ac:dyDescent="0.25">
      <c r="A7" s="28">
        <v>1</v>
      </c>
      <c r="B7" s="89" t="s">
        <v>41</v>
      </c>
      <c r="C7" s="43">
        <f ca="1">'Last Month'!W7</f>
        <v>0</v>
      </c>
      <c r="D7" s="85" t="s">
        <v>23</v>
      </c>
      <c r="E7" s="30">
        <f ca="1">SUMIF(INDIRECT($S7&amp;"!AC:AC"),$T7&amp;"ACCU",INDIRECT($S7&amp;"!AD:AD"))</f>
        <v>0</v>
      </c>
      <c r="F7" s="85" t="s">
        <v>25</v>
      </c>
      <c r="G7" s="30">
        <f ca="1">SUMIF(INDIRECT($S7&amp;"!AC:AC"),$T7&amp;"DECU",INDIRECT($S7&amp;"!AD:AD"))</f>
        <v>0</v>
      </c>
      <c r="H7" s="85" t="s">
        <v>31</v>
      </c>
      <c r="I7" s="29">
        <f ca="1">C7+E7+G7</f>
        <v>0</v>
      </c>
      <c r="K7" s="32">
        <v>43082</v>
      </c>
      <c r="L7" s="44">
        <v>-193700</v>
      </c>
      <c r="N7" s="32">
        <v>43115</v>
      </c>
      <c r="O7" s="90">
        <v>-223800</v>
      </c>
      <c r="Q7" s="91" t="s">
        <v>42</v>
      </c>
      <c r="R7" s="90">
        <f>SUM(L7,O7)</f>
        <v>-417500</v>
      </c>
      <c r="S7" s="89" t="s">
        <v>43</v>
      </c>
      <c r="T7" s="89">
        <f>T$1</f>
        <v>10</v>
      </c>
    </row>
    <row r="8" spans="1:23" s="89" customFormat="1" ht="18" customHeight="1" x14ac:dyDescent="0.25">
      <c r="A8" s="28">
        <v>2</v>
      </c>
      <c r="B8" s="89" t="s">
        <v>44</v>
      </c>
      <c r="C8" s="29">
        <f ca="1">'Last Month'!W8</f>
        <v>0</v>
      </c>
      <c r="D8" s="85" t="s">
        <v>23</v>
      </c>
      <c r="E8" s="30">
        <f ca="1">SUMIF(INDIRECT($S8&amp;"!AC:AC"),$T8&amp;"ACCU",INDIRECT($S8&amp;"!AD:AD"))</f>
        <v>0</v>
      </c>
      <c r="F8" s="85" t="s">
        <v>25</v>
      </c>
      <c r="G8" s="30">
        <f ca="1">SUMIF(INDIRECT($S8&amp;"!AC:AC"),$T8&amp;"DECU",INDIRECT($S8&amp;"!AD:AD"))</f>
        <v>0</v>
      </c>
      <c r="H8" s="85" t="s">
        <v>31</v>
      </c>
      <c r="I8" s="29">
        <f ca="1">C8+E8+G8</f>
        <v>0</v>
      </c>
      <c r="K8" s="33"/>
      <c r="L8" s="44"/>
      <c r="Q8" s="85"/>
      <c r="S8" s="89" t="s">
        <v>45</v>
      </c>
      <c r="T8" s="89">
        <f>T$1</f>
        <v>10</v>
      </c>
      <c r="W8" s="45"/>
    </row>
    <row r="9" spans="1:23" s="89" customFormat="1" ht="18" customHeight="1" x14ac:dyDescent="0.25">
      <c r="A9" s="28">
        <v>3</v>
      </c>
      <c r="B9" s="89" t="s">
        <v>46</v>
      </c>
      <c r="C9" s="29">
        <f ca="1">'Last Month'!W9</f>
        <v>0</v>
      </c>
      <c r="D9" s="85" t="s">
        <v>23</v>
      </c>
      <c r="E9" s="30">
        <f ca="1">SUMIF(INDIRECT($S9&amp;"!AC:AC"),$T9&amp;"ACCU",INDIRECT($S9&amp;"!AD:AD"))</f>
        <v>0</v>
      </c>
      <c r="F9" s="85" t="s">
        <v>25</v>
      </c>
      <c r="G9" s="30">
        <f ca="1">SUMIF(INDIRECT($S9&amp;"!AC:AC"),$T9&amp;"DECU",INDIRECT($S9&amp;"!AD:AD"))</f>
        <v>0</v>
      </c>
      <c r="H9" s="85" t="s">
        <v>31</v>
      </c>
      <c r="I9" s="29">
        <f ca="1">C9+E9+G9</f>
        <v>0</v>
      </c>
      <c r="K9" s="33"/>
      <c r="L9" s="44"/>
      <c r="Q9" s="85"/>
      <c r="S9" s="89" t="s">
        <v>47</v>
      </c>
      <c r="T9" s="89">
        <f>T$1</f>
        <v>10</v>
      </c>
      <c r="W9" s="45"/>
    </row>
    <row r="10" spans="1:23" s="89" customFormat="1" ht="18" hidden="1" customHeight="1" x14ac:dyDescent="0.25">
      <c r="A10" s="28">
        <v>4</v>
      </c>
      <c r="B10" s="89" t="s">
        <v>48</v>
      </c>
      <c r="C10" s="29">
        <f ca="1">'Last Month'!W10</f>
        <v>0</v>
      </c>
      <c r="D10" s="85" t="s">
        <v>23</v>
      </c>
      <c r="E10" s="30">
        <f ca="1">SUMIF(INDIRECT($S10&amp;"!AC:AC"),$T10&amp;"ACCU",INDIRECT($S10&amp;"!AD:AD"))</f>
        <v>0</v>
      </c>
      <c r="F10" s="85" t="s">
        <v>25</v>
      </c>
      <c r="G10" s="30">
        <f ca="1">SUMIF(INDIRECT($S10&amp;"!AC:AC"),$T10&amp;"DECU",INDIRECT($S10&amp;"!AD:AD"))</f>
        <v>0</v>
      </c>
      <c r="H10" s="85" t="s">
        <v>31</v>
      </c>
      <c r="I10" s="29">
        <f ca="1">C10+E10+G10</f>
        <v>0</v>
      </c>
      <c r="K10" s="32">
        <v>43081</v>
      </c>
      <c r="L10" s="44">
        <v>-99590</v>
      </c>
      <c r="N10" s="32">
        <v>42746</v>
      </c>
      <c r="O10" s="90">
        <v>-410000</v>
      </c>
      <c r="Q10" s="91" t="s">
        <v>42</v>
      </c>
      <c r="R10" s="90">
        <f>SUM(L12,O10)</f>
        <v>-442800</v>
      </c>
      <c r="S10" s="89" t="s">
        <v>49</v>
      </c>
      <c r="T10" s="89">
        <f>T$1</f>
        <v>10</v>
      </c>
      <c r="W10" s="45"/>
    </row>
    <row r="11" spans="1:23" s="89" customFormat="1" ht="18" hidden="1" customHeight="1" x14ac:dyDescent="0.25">
      <c r="A11" s="28">
        <v>5</v>
      </c>
      <c r="B11" s="89" t="s">
        <v>50</v>
      </c>
      <c r="C11" s="29">
        <f ca="1">'Last Month'!W11</f>
        <v>0</v>
      </c>
      <c r="D11" s="85" t="s">
        <v>23</v>
      </c>
      <c r="E11" s="30">
        <f ca="1">SUMIF(INDIRECT($S11&amp;"!AC:AC"),$T11&amp;"ACCU",INDIRECT($S11&amp;"!AD:AD"))</f>
        <v>0</v>
      </c>
      <c r="F11" s="85" t="s">
        <v>25</v>
      </c>
      <c r="G11" s="30">
        <f ca="1">SUMIF(INDIRECT($S11&amp;"!AC:AC"),$T11&amp;"DECU",INDIRECT($S11&amp;"!AD:AD"))</f>
        <v>0</v>
      </c>
      <c r="H11" s="85" t="s">
        <v>31</v>
      </c>
      <c r="I11" s="29">
        <f ca="1">C11+E11+G11</f>
        <v>0</v>
      </c>
      <c r="K11" s="32">
        <v>43081</v>
      </c>
      <c r="L11" s="44">
        <v>-99590</v>
      </c>
      <c r="N11" s="32">
        <v>42746</v>
      </c>
      <c r="O11" s="90">
        <v>-410000</v>
      </c>
      <c r="Q11" s="91" t="s">
        <v>42</v>
      </c>
      <c r="R11" s="90">
        <f>SUM(L13,O11)</f>
        <v>-542390</v>
      </c>
      <c r="S11" s="89" t="s">
        <v>51</v>
      </c>
      <c r="T11" s="89">
        <f>T$1</f>
        <v>10</v>
      </c>
      <c r="W11" s="45"/>
    </row>
    <row r="12" spans="1:23" s="92" customFormat="1" ht="15.7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K12" s="35">
        <v>43097</v>
      </c>
      <c r="L12" s="46">
        <v>-32800</v>
      </c>
      <c r="Q12" s="94"/>
    </row>
    <row r="13" spans="1:23" s="96" customFormat="1" ht="15.75" customHeight="1" x14ac:dyDescent="0.25">
      <c r="A13" s="36"/>
      <c r="C13" s="97"/>
      <c r="E13" s="98"/>
      <c r="H13" s="98"/>
      <c r="I13" s="99"/>
      <c r="K13" s="27"/>
      <c r="L13" s="47">
        <f>SUM(L11:L12)</f>
        <v>-132390</v>
      </c>
      <c r="Q13" s="98"/>
    </row>
    <row r="14" spans="1:23" s="96" customFormat="1" ht="15.75" customHeight="1" x14ac:dyDescent="0.25">
      <c r="A14" s="36"/>
      <c r="C14" s="97"/>
      <c r="E14" s="98"/>
      <c r="H14" s="98"/>
      <c r="I14" s="99"/>
      <c r="L14" s="47"/>
      <c r="Q14" s="98"/>
    </row>
    <row r="15" spans="1:23" s="89" customFormat="1" ht="18" customHeight="1" x14ac:dyDescent="0.25">
      <c r="A15" s="38" t="s">
        <v>53</v>
      </c>
      <c r="C15" s="29">
        <f ca="1">'Last Month'!W15</f>
        <v>0</v>
      </c>
      <c r="D15" s="85" t="s">
        <v>23</v>
      </c>
      <c r="E15" s="30">
        <f ca="1">SUMIF(INDIRECT($S15&amp;"!AC:AC"),$T15&amp;"ACCU",INDIRECT($S15&amp;"!AD:AD"))</f>
        <v>0</v>
      </c>
      <c r="F15" s="85" t="s">
        <v>25</v>
      </c>
      <c r="G15" s="30">
        <f ca="1">SUMIF(INDIRECT($S15&amp;"!AC:AC"),$T15&amp;"DECU",INDIRECT($S15&amp;"!AD:AD"))</f>
        <v>0</v>
      </c>
      <c r="H15" s="85" t="s">
        <v>31</v>
      </c>
      <c r="I15" s="29">
        <f ca="1">C15+E15+G15</f>
        <v>0</v>
      </c>
      <c r="L15" s="44"/>
      <c r="Q15" s="85"/>
      <c r="S15" s="89" t="s">
        <v>54</v>
      </c>
      <c r="T15" s="89">
        <f>T$1</f>
        <v>10</v>
      </c>
      <c r="W15" s="45"/>
    </row>
    <row r="16" spans="1:23" s="96" customFormat="1" ht="15.75" customHeight="1" x14ac:dyDescent="0.25">
      <c r="A16" s="36"/>
      <c r="C16" s="97"/>
      <c r="E16" s="98"/>
      <c r="H16" s="98"/>
      <c r="I16" s="99"/>
      <c r="L16" s="47"/>
      <c r="Q16" s="98"/>
    </row>
    <row r="17" spans="1:23" s="96" customFormat="1" ht="15.75" customHeight="1" x14ac:dyDescent="0.25">
      <c r="A17" s="36"/>
      <c r="C17" s="97"/>
      <c r="E17" s="98"/>
      <c r="H17" s="98"/>
      <c r="I17" s="99"/>
      <c r="L17" s="47"/>
      <c r="Q17" s="98"/>
    </row>
    <row r="18" spans="1:23" s="96" customFormat="1" ht="15.75" customHeight="1" x14ac:dyDescent="0.25">
      <c r="A18" s="24" t="s">
        <v>56</v>
      </c>
      <c r="C18" s="97"/>
      <c r="E18" s="98"/>
      <c r="H18" s="98"/>
      <c r="I18" s="99"/>
      <c r="K18" s="48"/>
      <c r="L18" s="44"/>
      <c r="Q18" s="98"/>
    </row>
    <row r="19" spans="1:23" s="89" customFormat="1" ht="18" customHeight="1" x14ac:dyDescent="0.25">
      <c r="A19" s="28">
        <v>1</v>
      </c>
      <c r="B19" s="89" t="s">
        <v>57</v>
      </c>
      <c r="C19" s="49">
        <f ca="1">'Last Month'!W19</f>
        <v>0</v>
      </c>
      <c r="D19" s="85" t="s">
        <v>23</v>
      </c>
      <c r="E19" s="30">
        <f ca="1">SUMIF(INDIRECT($S19&amp;"!AC:AC"),$T19&amp;"ACCU",INDIRECT($S19&amp;"!AD:AD"))</f>
        <v>0</v>
      </c>
      <c r="F19" s="85" t="s">
        <v>25</v>
      </c>
      <c r="G19" s="30">
        <f ca="1">SUMIF(INDIRECT($S19&amp;"!AC:AC"),$T19&amp;"DECU",INDIRECT($S19&amp;"!AD:AD"))</f>
        <v>0</v>
      </c>
      <c r="H19" s="85" t="s">
        <v>31</v>
      </c>
      <c r="I19" s="50">
        <f ca="1">C19+E19+G19</f>
        <v>0</v>
      </c>
      <c r="K19" s="48"/>
      <c r="L19" s="44"/>
      <c r="Q19" s="85"/>
      <c r="S19" s="89" t="s">
        <v>58</v>
      </c>
      <c r="T19" s="89">
        <f>T$1</f>
        <v>10</v>
      </c>
      <c r="W19" s="45"/>
    </row>
    <row r="20" spans="1:23" s="89" customFormat="1" ht="18" customHeight="1" x14ac:dyDescent="0.25">
      <c r="A20" s="28">
        <v>2</v>
      </c>
      <c r="B20" s="89" t="s">
        <v>59</v>
      </c>
      <c r="C20" s="29">
        <f ca="1">'Last Month'!W20</f>
        <v>0</v>
      </c>
      <c r="D20" s="85" t="s">
        <v>23</v>
      </c>
      <c r="E20" s="30">
        <f ca="1">SUMIF(INDIRECT($S20&amp;"!AC:AC"),$T20&amp;"ACCU",INDIRECT($S20&amp;"!AD:AD"))</f>
        <v>0</v>
      </c>
      <c r="F20" s="85" t="s">
        <v>25</v>
      </c>
      <c r="G20" s="30">
        <f ca="1">SUMIF(INDIRECT($S20&amp;"!AC:AC"),$T20&amp;"DECU",INDIRECT($S20&amp;"!AD:AD"))</f>
        <v>0</v>
      </c>
      <c r="H20" s="85" t="s">
        <v>31</v>
      </c>
      <c r="I20" s="29">
        <f ca="1">C20+E20+G20</f>
        <v>0</v>
      </c>
      <c r="L20" s="51"/>
      <c r="Q20" s="85"/>
      <c r="S20" s="89" t="s">
        <v>60</v>
      </c>
      <c r="T20" s="89">
        <f>T$1</f>
        <v>10</v>
      </c>
    </row>
    <row r="21" spans="1:23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  <c r="Q21" s="94"/>
    </row>
    <row r="22" spans="1:23" s="96" customFormat="1" ht="15.75" customHeight="1" x14ac:dyDescent="0.25">
      <c r="A22" s="36"/>
      <c r="C22" s="97"/>
      <c r="E22" s="98"/>
      <c r="H22" s="98"/>
      <c r="I22" s="99"/>
      <c r="L22" s="47"/>
      <c r="Q22" s="98"/>
    </row>
    <row r="23" spans="1:23" s="96" customFormat="1" ht="15.75" customHeight="1" x14ac:dyDescent="0.25">
      <c r="A23" s="36"/>
      <c r="C23" s="97"/>
      <c r="E23" s="98"/>
      <c r="H23" s="98"/>
      <c r="I23" s="99"/>
      <c r="L23" s="47"/>
      <c r="Q23" s="98"/>
    </row>
    <row r="24" spans="1:23" s="89" customFormat="1" ht="18" hidden="1" customHeight="1" x14ac:dyDescent="0.25">
      <c r="A24" s="38" t="s">
        <v>61</v>
      </c>
      <c r="C24" s="29">
        <f ca="1">'Last Month'!W24</f>
        <v>0</v>
      </c>
      <c r="D24" s="85" t="s">
        <v>23</v>
      </c>
      <c r="E24" s="30">
        <f ca="1">SUMIF(INDIRECT($S24&amp;"!AC:AC"),$T24&amp;"ACCU",INDIRECT($S24&amp;"!AD:AD"))</f>
        <v>0</v>
      </c>
      <c r="F24" s="85" t="s">
        <v>25</v>
      </c>
      <c r="G24" s="30">
        <f ca="1">SUMIF(INDIRECT($S24&amp;"!AC:AC"),$T24&amp;"DECU",INDIRECT($S24&amp;"!AD:AD"))</f>
        <v>0</v>
      </c>
      <c r="H24" s="85" t="s">
        <v>31</v>
      </c>
      <c r="I24" s="29">
        <f ca="1">SUM(C24,E24,G24)</f>
        <v>0</v>
      </c>
      <c r="K24" s="96"/>
      <c r="L24" s="44"/>
      <c r="Q24" s="85"/>
      <c r="S24" s="89" t="s">
        <v>62</v>
      </c>
      <c r="T24" s="89">
        <f>T$1</f>
        <v>10</v>
      </c>
      <c r="W24" s="45"/>
    </row>
    <row r="25" spans="1:23" s="96" customFormat="1" ht="15.75" hidden="1" customHeight="1" x14ac:dyDescent="0.25">
      <c r="A25" s="36"/>
      <c r="C25" s="97"/>
      <c r="E25" s="98"/>
      <c r="H25" s="98"/>
      <c r="I25" s="99"/>
      <c r="L25" s="47"/>
      <c r="Q25" s="98"/>
    </row>
    <row r="26" spans="1:23" s="96" customFormat="1" ht="15.75" hidden="1" customHeight="1" x14ac:dyDescent="0.25">
      <c r="A26" s="36"/>
      <c r="C26" s="97"/>
      <c r="E26" s="98"/>
      <c r="H26" s="98"/>
      <c r="I26" s="99"/>
      <c r="L26" s="47"/>
      <c r="Q26" s="98"/>
    </row>
    <row r="27" spans="1:23" s="89" customFormat="1" ht="18" customHeight="1" x14ac:dyDescent="0.25">
      <c r="A27" s="38" t="s">
        <v>102</v>
      </c>
      <c r="C27" s="29">
        <f ca="1">'Last Month'!W27</f>
        <v>0</v>
      </c>
      <c r="D27" s="85" t="s">
        <v>23</v>
      </c>
      <c r="E27" s="30">
        <f ca="1">SUMIF(INDIRECT($S27&amp;"!AC:AC"),$T27&amp;"ACCU",INDIRECT($S27&amp;"!AD:AD"))</f>
        <v>0</v>
      </c>
      <c r="F27" s="85" t="s">
        <v>25</v>
      </c>
      <c r="G27" s="30">
        <f ca="1">SUMIF(INDIRECT($S27&amp;"!AC:AC"),$T27&amp;"DECU",INDIRECT($S27&amp;"!AD:AD"))</f>
        <v>0</v>
      </c>
      <c r="H27" s="85" t="s">
        <v>31</v>
      </c>
      <c r="I27" s="29">
        <f ca="1">SUM(C27,E27,G27)</f>
        <v>0</v>
      </c>
      <c r="K27" s="96"/>
      <c r="L27" s="44"/>
      <c r="Q27" s="85"/>
      <c r="S27" s="89" t="s">
        <v>64</v>
      </c>
      <c r="T27" s="89">
        <f>T$1</f>
        <v>10</v>
      </c>
      <c r="W27" s="45"/>
    </row>
    <row r="28" spans="1:23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J28" s="92"/>
      <c r="K28" s="96"/>
      <c r="L28" s="44"/>
      <c r="M28" s="92"/>
      <c r="P28" s="92"/>
      <c r="Q28" s="85"/>
    </row>
    <row r="29" spans="1:23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K29" s="96"/>
      <c r="L29" s="44"/>
      <c r="Q29" s="85"/>
    </row>
    <row r="30" spans="1:23" s="96" customFormat="1" ht="15.75" customHeight="1" x14ac:dyDescent="0.25">
      <c r="A30" s="24" t="s">
        <v>103</v>
      </c>
      <c r="C30" s="97"/>
      <c r="E30" s="98"/>
      <c r="H30" s="98"/>
      <c r="I30" s="99"/>
      <c r="L30" s="47"/>
      <c r="Q30" s="98"/>
    </row>
    <row r="31" spans="1:23" s="89" customFormat="1" ht="18" customHeight="1" x14ac:dyDescent="0.25">
      <c r="A31" s="28">
        <v>1</v>
      </c>
      <c r="B31" s="89" t="s">
        <v>66</v>
      </c>
      <c r="C31" s="29">
        <f ca="1">'Last Month'!W31</f>
        <v>0</v>
      </c>
      <c r="D31" s="85" t="s">
        <v>23</v>
      </c>
      <c r="E31" s="30">
        <f ca="1">SUMIF(INDIRECT($S31&amp;"!AC:AC"),$T31&amp;"ACCU",INDIRECT($S31&amp;"!AD:AD"))</f>
        <v>0</v>
      </c>
      <c r="F31" s="85" t="s">
        <v>25</v>
      </c>
      <c r="G31" s="30">
        <f ca="1">SUMIF(INDIRECT($S31&amp;"!AC:AC"),$T31&amp;"DECU",INDIRECT($S31&amp;"!AD:AD"))</f>
        <v>0</v>
      </c>
      <c r="H31" s="85" t="s">
        <v>31</v>
      </c>
      <c r="I31" s="29">
        <f ca="1">C31+E31+G31</f>
        <v>0</v>
      </c>
      <c r="L31" s="44"/>
      <c r="Q31" s="85"/>
      <c r="S31" s="89" t="s">
        <v>67</v>
      </c>
      <c r="T31" s="89">
        <f>T$1</f>
        <v>10</v>
      </c>
      <c r="W31" s="45"/>
    </row>
    <row r="32" spans="1:23" s="89" customFormat="1" ht="18" customHeight="1" x14ac:dyDescent="0.25">
      <c r="A32" s="28">
        <v>2</v>
      </c>
      <c r="B32" s="89" t="s">
        <v>68</v>
      </c>
      <c r="C32" s="29">
        <f ca="1">'Last Month'!W32</f>
        <v>0</v>
      </c>
      <c r="D32" s="85" t="s">
        <v>23</v>
      </c>
      <c r="E32" s="30">
        <f ca="1">SUMIF(INDIRECT($S32&amp;"!AC:AC"),$T32&amp;"ACCU",INDIRECT($S32&amp;"!AD:AD"))</f>
        <v>0</v>
      </c>
      <c r="F32" s="85" t="s">
        <v>25</v>
      </c>
      <c r="G32" s="30">
        <f ca="1">SUMIF(INDIRECT($S32&amp;"!AC:AC"),$T32&amp;"DECU",INDIRECT($S32&amp;"!AD:AD"))</f>
        <v>0</v>
      </c>
      <c r="H32" s="85" t="s">
        <v>31</v>
      </c>
      <c r="I32" s="29">
        <f ca="1">C32+E32+G32</f>
        <v>0</v>
      </c>
      <c r="K32" s="48"/>
      <c r="L32" s="44"/>
      <c r="Q32" s="85"/>
      <c r="S32" s="89" t="s">
        <v>69</v>
      </c>
      <c r="T32" s="89">
        <f>T$1</f>
        <v>10</v>
      </c>
      <c r="W32" s="45"/>
    </row>
    <row r="33" spans="1:23" s="89" customFormat="1" ht="18" customHeight="1" x14ac:dyDescent="0.25">
      <c r="A33" s="28">
        <v>3</v>
      </c>
      <c r="B33" s="89" t="s">
        <v>70</v>
      </c>
      <c r="C33" s="29">
        <f ca="1">'Last Month'!W33</f>
        <v>0</v>
      </c>
      <c r="D33" s="85" t="s">
        <v>23</v>
      </c>
      <c r="E33" s="30">
        <f ca="1">SUMIF(INDIRECT($S33&amp;"!AC:AC"),$T33&amp;"ACCU",INDIRECT($S33&amp;"!AD:AD"))</f>
        <v>0</v>
      </c>
      <c r="F33" s="85" t="s">
        <v>25</v>
      </c>
      <c r="G33" s="30">
        <f ca="1">SUMIF(INDIRECT($S33&amp;"!AC:AC"),$T33&amp;"DECU",INDIRECT($S33&amp;"!AD:AD"))</f>
        <v>0</v>
      </c>
      <c r="H33" s="85" t="s">
        <v>31</v>
      </c>
      <c r="I33" s="29">
        <f ca="1">C33+E33+G33</f>
        <v>0</v>
      </c>
      <c r="K33" s="52">
        <v>43076</v>
      </c>
      <c r="L33" s="44">
        <v>-156700</v>
      </c>
      <c r="N33" s="52">
        <v>42744</v>
      </c>
      <c r="O33" s="90">
        <v>-146700</v>
      </c>
      <c r="Q33" s="91" t="s">
        <v>42</v>
      </c>
      <c r="R33" s="90">
        <f>SUM(L33,O33)</f>
        <v>-303400</v>
      </c>
      <c r="S33" s="89" t="s">
        <v>71</v>
      </c>
      <c r="T33" s="89">
        <f>T$1</f>
        <v>10</v>
      </c>
      <c r="W33" s="45"/>
    </row>
    <row r="34" spans="1:23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K34" s="78"/>
      <c r="L34" s="19"/>
      <c r="Q34" s="94"/>
    </row>
    <row r="35" spans="1:23" ht="15.75" customHeight="1" x14ac:dyDescent="0.25">
      <c r="C35" s="97"/>
      <c r="E35" s="97"/>
      <c r="G35" s="97"/>
      <c r="I35" s="97"/>
      <c r="L35" s="19"/>
    </row>
    <row r="36" spans="1:23" ht="15.75" customHeight="1" x14ac:dyDescent="0.25">
      <c r="C36" s="97"/>
      <c r="E36" s="97"/>
      <c r="G36" s="97"/>
      <c r="I36" s="97"/>
      <c r="K36" s="102"/>
      <c r="L36" s="53"/>
      <c r="N36" s="102"/>
      <c r="O36" s="102"/>
      <c r="Q36" s="103"/>
      <c r="R36" s="102"/>
    </row>
    <row r="37" spans="1:23" s="104" customFormat="1" ht="15.75" customHeight="1" x14ac:dyDescent="0.25">
      <c r="A37" s="36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K37" s="104" t="s">
        <v>74</v>
      </c>
      <c r="L37" s="54">
        <f>SUM(L7,L13,L18:L28,L33:L34,)</f>
        <v>-482790</v>
      </c>
      <c r="N37" s="104" t="s">
        <v>74</v>
      </c>
      <c r="O37" s="105">
        <f>SUM(O7:O33)</f>
        <v>-1190500</v>
      </c>
      <c r="Q37" s="86" t="s">
        <v>74</v>
      </c>
      <c r="R37" s="105">
        <f>SUM(R7:R36)</f>
        <v>-1706090</v>
      </c>
    </row>
    <row r="38" spans="1:23" x14ac:dyDescent="0.25">
      <c r="E38" s="100"/>
      <c r="F38" s="92"/>
      <c r="G38" s="100"/>
      <c r="K38" s="108" t="s">
        <v>75</v>
      </c>
      <c r="L38" s="115"/>
      <c r="N38" s="108" t="s">
        <v>76</v>
      </c>
      <c r="O38" s="109"/>
    </row>
    <row r="39" spans="1:23" s="56" customFormat="1" x14ac:dyDescent="0.25">
      <c r="A39" s="55"/>
      <c r="B39" s="56" t="s">
        <v>72</v>
      </c>
      <c r="C39" s="57">
        <v>5045300</v>
      </c>
      <c r="D39" s="56" t="s">
        <v>23</v>
      </c>
      <c r="E39" s="58">
        <v>574000</v>
      </c>
      <c r="F39" s="56" t="s">
        <v>25</v>
      </c>
      <c r="G39" s="56">
        <v>-2208500</v>
      </c>
      <c r="H39" s="58" t="s">
        <v>31</v>
      </c>
      <c r="I39" s="56">
        <v>3410800</v>
      </c>
      <c r="K39" s="56" t="s">
        <v>74</v>
      </c>
      <c r="L39" s="40">
        <v>-482790</v>
      </c>
      <c r="N39" s="56" t="s">
        <v>74</v>
      </c>
      <c r="O39" s="56">
        <v>-1190500</v>
      </c>
      <c r="Q39" s="58" t="s">
        <v>74</v>
      </c>
      <c r="R39" s="56">
        <v>-1706090</v>
      </c>
    </row>
    <row r="40" spans="1:23" x14ac:dyDescent="0.25">
      <c r="G40" s="78">
        <f ca="1">G39-G37</f>
        <v>-2208500</v>
      </c>
    </row>
    <row r="41" spans="1:23" s="60" customFormat="1" x14ac:dyDescent="0.25">
      <c r="A41" s="59"/>
      <c r="C41" s="61"/>
      <c r="E41" s="62"/>
      <c r="G41" s="62"/>
      <c r="H41" s="62"/>
      <c r="L41" s="40"/>
      <c r="Q41" s="62"/>
    </row>
  </sheetData>
  <mergeCells count="4">
    <mergeCell ref="B2:C2"/>
    <mergeCell ref="Q6:R6"/>
    <mergeCell ref="K38:L38"/>
    <mergeCell ref="N38:O38"/>
  </mergeCells>
  <pageMargins left="0.5" right="0.45" top="0.5" bottom="0.5" header="0.3" footer="0.3"/>
  <pageSetup paperSize="14" scale="9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S41"/>
  <sheetViews>
    <sheetView zoomScaleNormal="100" zoomScaleSheetLayoutView="8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7.710937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8.140625" style="40" bestFit="1" customWidth="1"/>
    <col min="13" max="86" width="9.140625" style="78" customWidth="1"/>
    <col min="87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November 2022 End</v>
      </c>
      <c r="L1" s="40">
        <f>MONTH(I6)</f>
        <v>11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19" s="83" customFormat="1" ht="15.75" customHeight="1" x14ac:dyDescent="0.25">
      <c r="A5" s="21"/>
      <c r="C5" s="84"/>
      <c r="L5" s="41"/>
    </row>
    <row r="6" spans="1:19" s="86" customFormat="1" ht="15.75" customHeight="1" x14ac:dyDescent="0.25">
      <c r="A6" s="24" t="s">
        <v>39</v>
      </c>
      <c r="C6" s="25"/>
      <c r="I6" s="87">
        <f>_3rd</f>
        <v>44895</v>
      </c>
      <c r="K6" s="27"/>
      <c r="L6" s="42"/>
    </row>
    <row r="7" spans="1:19" s="89" customFormat="1" ht="18" customHeight="1" x14ac:dyDescent="0.25">
      <c r="A7" s="28">
        <v>1</v>
      </c>
      <c r="B7" s="89" t="s">
        <v>41</v>
      </c>
      <c r="C7" s="43">
        <f ca="1">'2nd'!I7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11</v>
      </c>
    </row>
    <row r="8" spans="1:19" s="89" customFormat="1" ht="18" customHeight="1" x14ac:dyDescent="0.25">
      <c r="A8" s="28">
        <v>2</v>
      </c>
      <c r="B8" s="89" t="s">
        <v>44</v>
      </c>
      <c r="C8" s="29">
        <f ca="1">'2nd'!I8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11</v>
      </c>
    </row>
    <row r="9" spans="1:19" s="89" customFormat="1" ht="18" customHeight="1" x14ac:dyDescent="0.25">
      <c r="A9" s="28">
        <v>3</v>
      </c>
      <c r="B9" s="89" t="s">
        <v>46</v>
      </c>
      <c r="C9" s="29">
        <f ca="1">'2nd'!I9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11</v>
      </c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'2nd'!I10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11</v>
      </c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'2nd'!I11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11</v>
      </c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</row>
    <row r="15" spans="1:19" s="89" customFormat="1" ht="18" customHeight="1" x14ac:dyDescent="0.25">
      <c r="A15" s="38" t="s">
        <v>53</v>
      </c>
      <c r="C15" s="29">
        <f ca="1">'2nd'!I15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11</v>
      </c>
    </row>
    <row r="16" spans="1:19" s="96" customFormat="1" ht="15.75" customHeight="1" x14ac:dyDescent="0.25">
      <c r="A16" s="36"/>
      <c r="C16" s="97"/>
      <c r="E16" s="98"/>
      <c r="H16" s="98"/>
      <c r="I16" s="99"/>
      <c r="L16" s="37"/>
    </row>
    <row r="17" spans="1:12" s="96" customFormat="1" ht="15.75" customHeight="1" x14ac:dyDescent="0.25">
      <c r="A17" s="36"/>
      <c r="C17" s="97"/>
      <c r="E17" s="98"/>
      <c r="H17" s="98"/>
      <c r="I17" s="99"/>
      <c r="L17" s="37"/>
    </row>
    <row r="18" spans="1:12" s="96" customFormat="1" ht="15.75" customHeight="1" x14ac:dyDescent="0.25">
      <c r="A18" s="24" t="s">
        <v>56</v>
      </c>
      <c r="C18" s="97"/>
      <c r="E18" s="98"/>
      <c r="H18" s="98"/>
      <c r="I18" s="99"/>
      <c r="L18" s="37"/>
    </row>
    <row r="19" spans="1:12" s="89" customFormat="1" ht="18" customHeight="1" x14ac:dyDescent="0.25">
      <c r="A19" s="28">
        <v>1</v>
      </c>
      <c r="B19" s="89" t="s">
        <v>57</v>
      </c>
      <c r="C19" s="49">
        <f ca="1">'2nd'!I19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11</v>
      </c>
    </row>
    <row r="20" spans="1:12" s="89" customFormat="1" ht="18" customHeight="1" x14ac:dyDescent="0.25">
      <c r="A20" s="28">
        <v>2</v>
      </c>
      <c r="B20" s="89" t="s">
        <v>59</v>
      </c>
      <c r="C20" s="29">
        <f ca="1">'2nd'!I20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11</v>
      </c>
    </row>
    <row r="21" spans="1:12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</row>
    <row r="22" spans="1:12" s="96" customFormat="1" ht="15.75" customHeight="1" x14ac:dyDescent="0.25">
      <c r="A22" s="36"/>
      <c r="C22" s="97"/>
      <c r="E22" s="98"/>
      <c r="H22" s="98"/>
      <c r="I22" s="99"/>
      <c r="L22" s="37"/>
    </row>
    <row r="23" spans="1:12" s="96" customFormat="1" ht="15.75" customHeight="1" x14ac:dyDescent="0.25">
      <c r="A23" s="36"/>
      <c r="C23" s="97"/>
      <c r="E23" s="98"/>
      <c r="H23" s="98"/>
      <c r="I23" s="99"/>
      <c r="L23" s="37"/>
    </row>
    <row r="24" spans="1:12" s="89" customFormat="1" ht="18" hidden="1" customHeight="1" x14ac:dyDescent="0.25">
      <c r="A24" s="38" t="s">
        <v>61</v>
      </c>
      <c r="C24" s="29">
        <f ca="1">'2nd'!I24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11</v>
      </c>
    </row>
    <row r="25" spans="1:12" s="96" customFormat="1" ht="15.75" hidden="1" customHeight="1" x14ac:dyDescent="0.25">
      <c r="A25" s="36"/>
      <c r="C25" s="97"/>
      <c r="E25" s="98"/>
      <c r="H25" s="98"/>
      <c r="I25" s="99"/>
      <c r="L25" s="37"/>
    </row>
    <row r="26" spans="1:12" s="96" customFormat="1" ht="15.75" hidden="1" customHeight="1" x14ac:dyDescent="0.25">
      <c r="A26" s="36"/>
      <c r="C26" s="97"/>
      <c r="E26" s="98"/>
      <c r="H26" s="98"/>
      <c r="I26" s="99"/>
      <c r="L26" s="37"/>
    </row>
    <row r="27" spans="1:12" s="89" customFormat="1" ht="18" customHeight="1" x14ac:dyDescent="0.25">
      <c r="A27" s="38" t="s">
        <v>102</v>
      </c>
      <c r="C27" s="29">
        <f ca="1">'2nd'!I27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11</v>
      </c>
    </row>
    <row r="28" spans="1:12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</row>
    <row r="29" spans="1:12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</row>
    <row r="30" spans="1:12" s="96" customFormat="1" ht="15.75" customHeight="1" x14ac:dyDescent="0.25">
      <c r="A30" s="24" t="s">
        <v>103</v>
      </c>
      <c r="C30" s="97"/>
      <c r="E30" s="98"/>
      <c r="H30" s="98"/>
      <c r="I30" s="99"/>
      <c r="L30" s="37"/>
    </row>
    <row r="31" spans="1:12" s="89" customFormat="1" ht="18" customHeight="1" x14ac:dyDescent="0.25">
      <c r="A31" s="28">
        <v>1</v>
      </c>
      <c r="B31" s="89" t="s">
        <v>66</v>
      </c>
      <c r="C31" s="29">
        <f ca="1">'2nd'!I31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11</v>
      </c>
    </row>
    <row r="32" spans="1:12" s="89" customFormat="1" ht="18" customHeight="1" x14ac:dyDescent="0.25">
      <c r="A32" s="28">
        <v>2</v>
      </c>
      <c r="B32" s="89" t="s">
        <v>68</v>
      </c>
      <c r="C32" s="29">
        <f ca="1">'2nd'!I32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11</v>
      </c>
    </row>
    <row r="33" spans="1:12" s="89" customFormat="1" ht="18" customHeight="1" x14ac:dyDescent="0.25">
      <c r="A33" s="28">
        <v>3</v>
      </c>
      <c r="B33" s="89" t="s">
        <v>70</v>
      </c>
      <c r="C33" s="29">
        <f ca="1">'2nd'!I33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11</v>
      </c>
    </row>
    <row r="34" spans="1:12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</row>
    <row r="35" spans="1:12" ht="15.75" customHeight="1" x14ac:dyDescent="0.25">
      <c r="C35" s="97"/>
      <c r="E35" s="97"/>
      <c r="G35" s="97"/>
      <c r="I35" s="97"/>
      <c r="L35" s="19"/>
    </row>
    <row r="36" spans="1:12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2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</row>
    <row r="39" spans="1:12" s="56" customFormat="1" x14ac:dyDescent="0.25">
      <c r="A39" s="55"/>
      <c r="B39" s="56" t="s">
        <v>72</v>
      </c>
      <c r="C39" s="57">
        <v>3410800</v>
      </c>
      <c r="D39" s="56" t="s">
        <v>23</v>
      </c>
      <c r="E39" s="58">
        <v>560000</v>
      </c>
      <c r="F39" s="56" t="s">
        <v>25</v>
      </c>
      <c r="G39" s="56">
        <v>-1807300</v>
      </c>
      <c r="H39" s="58" t="s">
        <v>31</v>
      </c>
      <c r="I39" s="56">
        <v>2163500</v>
      </c>
      <c r="L39" s="40"/>
    </row>
    <row r="41" spans="1:12" s="60" customFormat="1" x14ac:dyDescent="0.25">
      <c r="A41" s="59"/>
      <c r="C41" s="61"/>
      <c r="E41" s="62">
        <f ca="1">E37-E39</f>
        <v>-560000</v>
      </c>
      <c r="G41" s="62">
        <f ca="1">G37-G39</f>
        <v>1807300</v>
      </c>
      <c r="H41" s="62"/>
      <c r="L41" s="40"/>
    </row>
  </sheetData>
  <mergeCells count="1">
    <mergeCell ref="B2:C2"/>
  </mergeCells>
  <pageMargins left="0.5" right="0.45" top="0.5" bottom="0.5" header="0.3" footer="0.3"/>
  <pageSetup paperSize="14" scale="87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S41"/>
  <sheetViews>
    <sheetView zoomScaleNormal="10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7.710937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5.85546875" style="40" bestFit="1" customWidth="1"/>
    <col min="13" max="86" width="9.140625" style="78" customWidth="1"/>
    <col min="87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December 2022 End</v>
      </c>
      <c r="L1" s="40">
        <f>MONTH(I6)</f>
        <v>12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19" s="83" customFormat="1" ht="15.75" customHeight="1" x14ac:dyDescent="0.25">
      <c r="A5" s="21"/>
      <c r="C5" s="84"/>
      <c r="L5" s="41"/>
    </row>
    <row r="6" spans="1:19" s="86" customFormat="1" ht="15.75" customHeight="1" x14ac:dyDescent="0.25">
      <c r="A6" s="24" t="s">
        <v>39</v>
      </c>
      <c r="C6" s="25"/>
      <c r="I6" s="87">
        <f>_4th</f>
        <v>44926</v>
      </c>
      <c r="K6" s="27"/>
      <c r="L6" s="42"/>
    </row>
    <row r="7" spans="1:19" s="89" customFormat="1" ht="18" customHeight="1" x14ac:dyDescent="0.25">
      <c r="A7" s="28">
        <v>1</v>
      </c>
      <c r="B7" s="89" t="s">
        <v>41</v>
      </c>
      <c r="C7" s="43">
        <f ca="1">'3rd'!I7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12</v>
      </c>
    </row>
    <row r="8" spans="1:19" s="89" customFormat="1" ht="18" customHeight="1" x14ac:dyDescent="0.25">
      <c r="A8" s="28">
        <v>2</v>
      </c>
      <c r="B8" s="89" t="s">
        <v>44</v>
      </c>
      <c r="C8" s="29">
        <f ca="1">'3rd'!I8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12</v>
      </c>
    </row>
    <row r="9" spans="1:19" s="89" customFormat="1" ht="18" customHeight="1" x14ac:dyDescent="0.25">
      <c r="A9" s="28">
        <v>3</v>
      </c>
      <c r="B9" s="89" t="s">
        <v>46</v>
      </c>
      <c r="C9" s="29">
        <f ca="1">'3rd'!I9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12</v>
      </c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'3rd'!I10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12</v>
      </c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'3rd'!I11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12</v>
      </c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</row>
    <row r="15" spans="1:19" s="89" customFormat="1" ht="18" customHeight="1" x14ac:dyDescent="0.25">
      <c r="A15" s="38" t="s">
        <v>53</v>
      </c>
      <c r="C15" s="29">
        <f ca="1">'3rd'!I15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12</v>
      </c>
    </row>
    <row r="16" spans="1:19" s="96" customFormat="1" ht="15.75" customHeight="1" x14ac:dyDescent="0.25">
      <c r="A16" s="36"/>
      <c r="C16" s="97"/>
      <c r="E16" s="98"/>
      <c r="H16" s="98"/>
      <c r="I16" s="99"/>
      <c r="L16" s="37"/>
    </row>
    <row r="17" spans="1:12" s="96" customFormat="1" ht="15.75" customHeight="1" x14ac:dyDescent="0.25">
      <c r="A17" s="36"/>
      <c r="C17" s="97"/>
      <c r="E17" s="98"/>
      <c r="H17" s="98"/>
      <c r="I17" s="99"/>
      <c r="L17" s="37"/>
    </row>
    <row r="18" spans="1:12" s="96" customFormat="1" ht="15.75" customHeight="1" x14ac:dyDescent="0.25">
      <c r="A18" s="24" t="s">
        <v>56</v>
      </c>
      <c r="C18" s="97"/>
      <c r="E18" s="98"/>
      <c r="H18" s="98"/>
      <c r="I18" s="99"/>
      <c r="L18" s="37"/>
    </row>
    <row r="19" spans="1:12" s="89" customFormat="1" ht="18" customHeight="1" x14ac:dyDescent="0.25">
      <c r="A19" s="28">
        <v>1</v>
      </c>
      <c r="B19" s="89" t="s">
        <v>57</v>
      </c>
      <c r="C19" s="29">
        <f ca="1">'3rd'!I19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12</v>
      </c>
    </row>
    <row r="20" spans="1:12" s="89" customFormat="1" ht="18" customHeight="1" x14ac:dyDescent="0.25">
      <c r="A20" s="28">
        <v>2</v>
      </c>
      <c r="B20" s="89" t="s">
        <v>59</v>
      </c>
      <c r="C20" s="29">
        <f ca="1">'3rd'!I20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12</v>
      </c>
    </row>
    <row r="21" spans="1:12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</row>
    <row r="22" spans="1:12" s="96" customFormat="1" ht="15.75" customHeight="1" x14ac:dyDescent="0.25">
      <c r="A22" s="36"/>
      <c r="C22" s="97"/>
      <c r="E22" s="98"/>
      <c r="H22" s="98"/>
      <c r="I22" s="99"/>
      <c r="L22" s="37"/>
    </row>
    <row r="23" spans="1:12" s="96" customFormat="1" ht="15.75" customHeight="1" x14ac:dyDescent="0.25">
      <c r="A23" s="36"/>
      <c r="C23" s="97"/>
      <c r="E23" s="98"/>
      <c r="H23" s="98"/>
      <c r="I23" s="99"/>
      <c r="L23" s="37"/>
    </row>
    <row r="24" spans="1:12" s="89" customFormat="1" ht="18" hidden="1" customHeight="1" x14ac:dyDescent="0.25">
      <c r="A24" s="38" t="s">
        <v>61</v>
      </c>
      <c r="C24" s="29">
        <f ca="1">'3rd'!I24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12</v>
      </c>
    </row>
    <row r="25" spans="1:12" s="96" customFormat="1" ht="15.75" hidden="1" customHeight="1" x14ac:dyDescent="0.25">
      <c r="A25" s="36"/>
      <c r="C25" s="97"/>
      <c r="E25" s="98"/>
      <c r="H25" s="98"/>
      <c r="I25" s="99"/>
      <c r="L25" s="37"/>
    </row>
    <row r="26" spans="1:12" s="96" customFormat="1" ht="15.75" hidden="1" customHeight="1" x14ac:dyDescent="0.25">
      <c r="A26" s="36"/>
      <c r="C26" s="97"/>
      <c r="E26" s="98"/>
      <c r="H26" s="98"/>
      <c r="I26" s="99"/>
      <c r="L26" s="37"/>
    </row>
    <row r="27" spans="1:12" s="89" customFormat="1" ht="18" customHeight="1" x14ac:dyDescent="0.25">
      <c r="A27" s="38" t="s">
        <v>102</v>
      </c>
      <c r="C27" s="29">
        <f ca="1">'3rd'!I27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12</v>
      </c>
    </row>
    <row r="28" spans="1:12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</row>
    <row r="29" spans="1:12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</row>
    <row r="30" spans="1:12" s="96" customFormat="1" ht="15.75" customHeight="1" x14ac:dyDescent="0.25">
      <c r="A30" s="24" t="s">
        <v>103</v>
      </c>
      <c r="C30" s="97"/>
      <c r="E30" s="98"/>
      <c r="H30" s="98"/>
      <c r="I30" s="99"/>
      <c r="L30" s="37"/>
    </row>
    <row r="31" spans="1:12" s="89" customFormat="1" ht="18" customHeight="1" x14ac:dyDescent="0.25">
      <c r="A31" s="28">
        <v>1</v>
      </c>
      <c r="B31" s="89" t="s">
        <v>66</v>
      </c>
      <c r="C31" s="29">
        <f ca="1">'3rd'!I31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12</v>
      </c>
    </row>
    <row r="32" spans="1:12" s="89" customFormat="1" ht="18" customHeight="1" x14ac:dyDescent="0.25">
      <c r="A32" s="28">
        <v>2</v>
      </c>
      <c r="B32" s="89" t="s">
        <v>68</v>
      </c>
      <c r="C32" s="29">
        <f ca="1">'3rd'!I32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12</v>
      </c>
    </row>
    <row r="33" spans="1:12" s="89" customFormat="1" ht="18" customHeight="1" x14ac:dyDescent="0.25">
      <c r="A33" s="28">
        <v>3</v>
      </c>
      <c r="B33" s="89" t="s">
        <v>70</v>
      </c>
      <c r="C33" s="29">
        <f ca="1">'3rd'!I33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12</v>
      </c>
    </row>
    <row r="34" spans="1:12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</row>
    <row r="35" spans="1:12" ht="15.75" customHeight="1" x14ac:dyDescent="0.25">
      <c r="C35" s="97"/>
      <c r="E35" s="97"/>
      <c r="G35" s="97"/>
      <c r="I35" s="97"/>
      <c r="L35" s="19"/>
    </row>
    <row r="36" spans="1:12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2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</row>
    <row r="39" spans="1:12" s="56" customFormat="1" x14ac:dyDescent="0.25">
      <c r="A39" s="55"/>
      <c r="B39" s="56" t="s">
        <v>72</v>
      </c>
      <c r="C39" s="57">
        <v>2163500</v>
      </c>
      <c r="D39" s="56" t="s">
        <v>23</v>
      </c>
      <c r="E39" s="58">
        <v>322000</v>
      </c>
      <c r="F39" s="56" t="s">
        <v>25</v>
      </c>
      <c r="G39" s="56">
        <v>-882600</v>
      </c>
      <c r="H39" s="58" t="s">
        <v>31</v>
      </c>
      <c r="I39" s="56">
        <v>1602900</v>
      </c>
      <c r="L39" s="40"/>
    </row>
    <row r="41" spans="1:12" s="60" customFormat="1" x14ac:dyDescent="0.25">
      <c r="A41" s="59"/>
      <c r="C41" s="61"/>
      <c r="E41" s="62">
        <f ca="1">E37-E39</f>
        <v>-322000</v>
      </c>
      <c r="G41" s="62">
        <f ca="1">G37-G39</f>
        <v>882600</v>
      </c>
      <c r="H41" s="62"/>
      <c r="L41" s="40"/>
    </row>
  </sheetData>
  <mergeCells count="1">
    <mergeCell ref="B2:C2"/>
  </mergeCells>
  <pageMargins left="0.5" right="0.45" top="0.5" bottom="0.5" header="0.3" footer="0.3"/>
  <pageSetup paperSize="14" scale="87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S41"/>
  <sheetViews>
    <sheetView zoomScaleNormal="10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6.8554687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4.140625" style="40" bestFit="1" customWidth="1"/>
    <col min="13" max="86" width="9.140625" style="78" customWidth="1"/>
    <col min="87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January 2023 End</v>
      </c>
      <c r="L1" s="40">
        <f>MONTH(I6)</f>
        <v>1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19" s="83" customFormat="1" ht="15.75" customHeight="1" x14ac:dyDescent="0.25">
      <c r="A5" s="21"/>
      <c r="C5" s="84"/>
      <c r="L5" s="41"/>
    </row>
    <row r="6" spans="1:19" s="86" customFormat="1" ht="15.75" customHeight="1" x14ac:dyDescent="0.25">
      <c r="A6" s="24" t="s">
        <v>39</v>
      </c>
      <c r="C6" s="25"/>
      <c r="I6" s="87">
        <f>_5th</f>
        <v>44957</v>
      </c>
      <c r="K6" s="27"/>
      <c r="L6" s="42"/>
    </row>
    <row r="7" spans="1:19" s="89" customFormat="1" ht="18" customHeight="1" x14ac:dyDescent="0.25">
      <c r="A7" s="28">
        <v>1</v>
      </c>
      <c r="B7" s="89" t="s">
        <v>41</v>
      </c>
      <c r="C7" s="43">
        <f ca="1">'4th'!I7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1</v>
      </c>
    </row>
    <row r="8" spans="1:19" s="89" customFormat="1" ht="18" customHeight="1" x14ac:dyDescent="0.25">
      <c r="A8" s="28">
        <v>2</v>
      </c>
      <c r="B8" s="89" t="s">
        <v>44</v>
      </c>
      <c r="C8" s="29">
        <f ca="1">'4th'!I8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1</v>
      </c>
    </row>
    <row r="9" spans="1:19" s="89" customFormat="1" ht="18" customHeight="1" x14ac:dyDescent="0.25">
      <c r="A9" s="28">
        <v>3</v>
      </c>
      <c r="B9" s="89" t="s">
        <v>46</v>
      </c>
      <c r="C9" s="29">
        <f ca="1">'4th'!I9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1</v>
      </c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'4th'!I10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1</v>
      </c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'4th'!I11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1</v>
      </c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</row>
    <row r="15" spans="1:19" s="89" customFormat="1" ht="18" customHeight="1" x14ac:dyDescent="0.25">
      <c r="A15" s="38" t="s">
        <v>53</v>
      </c>
      <c r="C15" s="29">
        <f ca="1">'4th'!I15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1</v>
      </c>
    </row>
    <row r="16" spans="1:19" s="96" customFormat="1" ht="15.75" customHeight="1" x14ac:dyDescent="0.25">
      <c r="A16" s="36"/>
      <c r="C16" s="97"/>
      <c r="E16" s="98"/>
      <c r="H16" s="98"/>
      <c r="I16" s="99"/>
      <c r="L16" s="37"/>
    </row>
    <row r="17" spans="1:12" s="96" customFormat="1" ht="15.75" customHeight="1" x14ac:dyDescent="0.25">
      <c r="A17" s="36"/>
      <c r="C17" s="97"/>
      <c r="E17" s="98"/>
      <c r="H17" s="98"/>
      <c r="I17" s="99"/>
      <c r="L17" s="37"/>
    </row>
    <row r="18" spans="1:12" s="96" customFormat="1" ht="15.75" customHeight="1" x14ac:dyDescent="0.25">
      <c r="A18" s="24" t="s">
        <v>56</v>
      </c>
      <c r="C18" s="97"/>
      <c r="E18" s="98"/>
      <c r="H18" s="98"/>
      <c r="I18" s="99"/>
      <c r="L18" s="37"/>
    </row>
    <row r="19" spans="1:12" s="89" customFormat="1" ht="18" customHeight="1" x14ac:dyDescent="0.25">
      <c r="A19" s="28">
        <v>1</v>
      </c>
      <c r="B19" s="89" t="s">
        <v>57</v>
      </c>
      <c r="C19" s="29">
        <f ca="1">'4th'!I19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1</v>
      </c>
    </row>
    <row r="20" spans="1:12" s="89" customFormat="1" ht="18" customHeight="1" x14ac:dyDescent="0.25">
      <c r="A20" s="28">
        <v>2</v>
      </c>
      <c r="B20" s="89" t="s">
        <v>59</v>
      </c>
      <c r="C20" s="29">
        <f ca="1">'4th'!I20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1</v>
      </c>
    </row>
    <row r="21" spans="1:12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</row>
    <row r="22" spans="1:12" s="96" customFormat="1" ht="15.75" customHeight="1" x14ac:dyDescent="0.25">
      <c r="A22" s="36"/>
      <c r="C22" s="97"/>
      <c r="E22" s="98"/>
      <c r="H22" s="98"/>
      <c r="I22" s="99"/>
      <c r="L22" s="37"/>
    </row>
    <row r="23" spans="1:12" s="96" customFormat="1" ht="15.75" customHeight="1" x14ac:dyDescent="0.25">
      <c r="A23" s="36"/>
      <c r="C23" s="97"/>
      <c r="E23" s="98"/>
      <c r="H23" s="98"/>
      <c r="I23" s="99"/>
      <c r="L23" s="37"/>
    </row>
    <row r="24" spans="1:12" s="89" customFormat="1" ht="18" hidden="1" customHeight="1" x14ac:dyDescent="0.25">
      <c r="A24" s="38" t="s">
        <v>61</v>
      </c>
      <c r="C24" s="29">
        <f ca="1">'4th'!I24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1</v>
      </c>
    </row>
    <row r="25" spans="1:12" s="96" customFormat="1" ht="15.75" hidden="1" customHeight="1" x14ac:dyDescent="0.25">
      <c r="A25" s="36"/>
      <c r="C25" s="97"/>
      <c r="E25" s="98"/>
      <c r="H25" s="98"/>
      <c r="I25" s="99"/>
      <c r="L25" s="37"/>
    </row>
    <row r="26" spans="1:12" s="96" customFormat="1" ht="15.75" hidden="1" customHeight="1" x14ac:dyDescent="0.25">
      <c r="A26" s="36"/>
      <c r="C26" s="97"/>
      <c r="E26" s="98"/>
      <c r="H26" s="98"/>
      <c r="I26" s="99"/>
      <c r="L26" s="37"/>
    </row>
    <row r="27" spans="1:12" s="89" customFormat="1" ht="18" customHeight="1" x14ac:dyDescent="0.25">
      <c r="A27" s="38" t="s">
        <v>102</v>
      </c>
      <c r="C27" s="29">
        <f ca="1">'4th'!I27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1</v>
      </c>
    </row>
    <row r="28" spans="1:12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</row>
    <row r="29" spans="1:12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</row>
    <row r="30" spans="1:12" s="96" customFormat="1" ht="15.75" customHeight="1" x14ac:dyDescent="0.25">
      <c r="A30" s="24" t="s">
        <v>103</v>
      </c>
      <c r="C30" s="97"/>
      <c r="E30" s="98"/>
      <c r="H30" s="98"/>
      <c r="I30" s="99"/>
      <c r="L30" s="37"/>
    </row>
    <row r="31" spans="1:12" s="89" customFormat="1" ht="18" customHeight="1" x14ac:dyDescent="0.25">
      <c r="A31" s="28">
        <v>1</v>
      </c>
      <c r="B31" s="89" t="s">
        <v>66</v>
      </c>
      <c r="C31" s="29">
        <f ca="1">'4th'!I31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1</v>
      </c>
    </row>
    <row r="32" spans="1:12" s="89" customFormat="1" ht="18" customHeight="1" x14ac:dyDescent="0.25">
      <c r="A32" s="28">
        <v>2</v>
      </c>
      <c r="B32" s="89" t="s">
        <v>68</v>
      </c>
      <c r="C32" s="29">
        <f ca="1">'4th'!I32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1</v>
      </c>
    </row>
    <row r="33" spans="1:12" s="89" customFormat="1" ht="18" customHeight="1" x14ac:dyDescent="0.25">
      <c r="A33" s="28">
        <v>3</v>
      </c>
      <c r="B33" s="89" t="s">
        <v>70</v>
      </c>
      <c r="C33" s="29">
        <f ca="1">'4th'!I33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1</v>
      </c>
    </row>
    <row r="34" spans="1:12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</row>
    <row r="35" spans="1:12" ht="15.75" customHeight="1" x14ac:dyDescent="0.25">
      <c r="C35" s="97"/>
      <c r="E35" s="97"/>
      <c r="G35" s="97"/>
      <c r="I35" s="97"/>
      <c r="L35" s="19"/>
    </row>
    <row r="36" spans="1:12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2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</row>
    <row r="39" spans="1:12" s="56" customFormat="1" x14ac:dyDescent="0.25">
      <c r="A39" s="55"/>
      <c r="B39" s="56" t="s">
        <v>72</v>
      </c>
      <c r="C39" s="57">
        <v>1602900</v>
      </c>
      <c r="D39" s="56" t="s">
        <v>23</v>
      </c>
      <c r="E39" s="58">
        <v>294000</v>
      </c>
      <c r="F39" s="56" t="s">
        <v>25</v>
      </c>
      <c r="G39" s="56">
        <v>-52500</v>
      </c>
      <c r="H39" s="58" t="s">
        <v>31</v>
      </c>
      <c r="I39" s="56">
        <v>1844400</v>
      </c>
      <c r="L39" s="40"/>
    </row>
    <row r="41" spans="1:12" s="60" customFormat="1" x14ac:dyDescent="0.25">
      <c r="A41" s="59"/>
      <c r="C41" s="61"/>
      <c r="E41" s="62">
        <f ca="1">E37-E39</f>
        <v>-294000</v>
      </c>
      <c r="G41" s="62">
        <f ca="1">G37-G39</f>
        <v>52500</v>
      </c>
      <c r="H41" s="62"/>
      <c r="L41" s="40"/>
    </row>
  </sheetData>
  <mergeCells count="1">
    <mergeCell ref="B2:C2"/>
  </mergeCells>
  <pageMargins left="0.5" right="0.45" top="0.5" bottom="0.5" header="0.3" footer="0.3"/>
  <pageSetup paperSize="14" scale="87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1"/>
  <sheetViews>
    <sheetView zoomScaleNormal="10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8.2851562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5" style="40" bestFit="1" customWidth="1"/>
    <col min="13" max="86" width="9.140625" style="78" customWidth="1"/>
    <col min="87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February 2023 End</v>
      </c>
      <c r="L1" s="40">
        <f>MONTH(I6)</f>
        <v>2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19" s="83" customFormat="1" ht="15.75" customHeight="1" x14ac:dyDescent="0.25">
      <c r="A5" s="21"/>
      <c r="C5" s="84"/>
      <c r="L5" s="41"/>
    </row>
    <row r="6" spans="1:19" s="86" customFormat="1" ht="15.75" customHeight="1" x14ac:dyDescent="0.25">
      <c r="A6" s="24" t="s">
        <v>39</v>
      </c>
      <c r="C6" s="25"/>
      <c r="I6" s="87">
        <f>_6th</f>
        <v>44985</v>
      </c>
      <c r="K6" s="27"/>
      <c r="L6" s="42"/>
    </row>
    <row r="7" spans="1:19" s="89" customFormat="1" ht="18" customHeight="1" x14ac:dyDescent="0.25">
      <c r="A7" s="28">
        <v>1</v>
      </c>
      <c r="B7" s="89" t="s">
        <v>41</v>
      </c>
      <c r="C7" s="43">
        <f ca="1">'5th'!I7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2</v>
      </c>
    </row>
    <row r="8" spans="1:19" s="89" customFormat="1" ht="18" customHeight="1" x14ac:dyDescent="0.25">
      <c r="A8" s="28">
        <v>2</v>
      </c>
      <c r="B8" s="89" t="s">
        <v>44</v>
      </c>
      <c r="C8" s="29">
        <f ca="1">'5th'!I8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2</v>
      </c>
    </row>
    <row r="9" spans="1:19" s="89" customFormat="1" ht="18" customHeight="1" x14ac:dyDescent="0.25">
      <c r="A9" s="28">
        <v>3</v>
      </c>
      <c r="B9" s="89" t="s">
        <v>46</v>
      </c>
      <c r="C9" s="29">
        <f ca="1">'5th'!I9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2</v>
      </c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'5th'!I10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2</v>
      </c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'5th'!I11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2</v>
      </c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</row>
    <row r="15" spans="1:19" s="89" customFormat="1" ht="18" customHeight="1" x14ac:dyDescent="0.25">
      <c r="A15" s="38" t="s">
        <v>53</v>
      </c>
      <c r="C15" s="29">
        <f ca="1">'5th'!I15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2</v>
      </c>
    </row>
    <row r="16" spans="1:19" s="96" customFormat="1" ht="15.75" customHeight="1" x14ac:dyDescent="0.25">
      <c r="A16" s="36"/>
      <c r="C16" s="97"/>
      <c r="E16" s="98"/>
      <c r="H16" s="98"/>
      <c r="I16" s="99"/>
      <c r="L16" s="37"/>
    </row>
    <row r="17" spans="1:12" s="96" customFormat="1" ht="15.75" customHeight="1" x14ac:dyDescent="0.25">
      <c r="A17" s="36"/>
      <c r="C17" s="97"/>
      <c r="E17" s="98"/>
      <c r="H17" s="98"/>
      <c r="I17" s="99"/>
      <c r="L17" s="37"/>
    </row>
    <row r="18" spans="1:12" s="96" customFormat="1" ht="15.75" customHeight="1" x14ac:dyDescent="0.25">
      <c r="A18" s="24" t="s">
        <v>56</v>
      </c>
      <c r="C18" s="97"/>
      <c r="E18" s="98"/>
      <c r="H18" s="98"/>
      <c r="I18" s="99"/>
      <c r="L18" s="37"/>
    </row>
    <row r="19" spans="1:12" s="89" customFormat="1" ht="18" customHeight="1" x14ac:dyDescent="0.25">
      <c r="A19" s="28">
        <v>1</v>
      </c>
      <c r="B19" s="89" t="s">
        <v>57</v>
      </c>
      <c r="C19" s="29">
        <f ca="1">'5th'!I19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2</v>
      </c>
    </row>
    <row r="20" spans="1:12" s="89" customFormat="1" ht="18" customHeight="1" x14ac:dyDescent="0.25">
      <c r="A20" s="28">
        <v>2</v>
      </c>
      <c r="B20" s="89" t="s">
        <v>59</v>
      </c>
      <c r="C20" s="29">
        <f ca="1">'5th'!I20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2</v>
      </c>
    </row>
    <row r="21" spans="1:12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</row>
    <row r="22" spans="1:12" s="96" customFormat="1" ht="15.75" customHeight="1" x14ac:dyDescent="0.25">
      <c r="A22" s="36"/>
      <c r="C22" s="97"/>
      <c r="E22" s="98"/>
      <c r="H22" s="98"/>
      <c r="I22" s="99"/>
      <c r="L22" s="37"/>
    </row>
    <row r="23" spans="1:12" s="96" customFormat="1" ht="15.75" customHeight="1" x14ac:dyDescent="0.25">
      <c r="A23" s="36"/>
      <c r="C23" s="97"/>
      <c r="E23" s="98"/>
      <c r="H23" s="98"/>
      <c r="I23" s="99"/>
      <c r="L23" s="37"/>
    </row>
    <row r="24" spans="1:12" s="89" customFormat="1" ht="18" hidden="1" customHeight="1" x14ac:dyDescent="0.25">
      <c r="A24" s="38" t="s">
        <v>61</v>
      </c>
      <c r="C24" s="29">
        <f ca="1">'5th'!I24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2</v>
      </c>
    </row>
    <row r="25" spans="1:12" s="96" customFormat="1" ht="15.75" hidden="1" customHeight="1" x14ac:dyDescent="0.25">
      <c r="A25" s="36"/>
      <c r="C25" s="97"/>
      <c r="E25" s="98"/>
      <c r="H25" s="98"/>
      <c r="I25" s="99"/>
      <c r="L25" s="37"/>
    </row>
    <row r="26" spans="1:12" s="96" customFormat="1" ht="15.75" hidden="1" customHeight="1" x14ac:dyDescent="0.25">
      <c r="A26" s="36"/>
      <c r="C26" s="97"/>
      <c r="E26" s="98"/>
      <c r="H26" s="98"/>
      <c r="I26" s="99"/>
      <c r="L26" s="37"/>
    </row>
    <row r="27" spans="1:12" s="89" customFormat="1" ht="18" customHeight="1" x14ac:dyDescent="0.25">
      <c r="A27" s="38" t="s">
        <v>102</v>
      </c>
      <c r="C27" s="29">
        <f ca="1">'5th'!I27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2</v>
      </c>
    </row>
    <row r="28" spans="1:12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</row>
    <row r="29" spans="1:12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</row>
    <row r="30" spans="1:12" s="96" customFormat="1" ht="15.75" customHeight="1" x14ac:dyDescent="0.25">
      <c r="A30" s="24" t="s">
        <v>103</v>
      </c>
      <c r="C30" s="97"/>
      <c r="E30" s="98"/>
      <c r="H30" s="98"/>
      <c r="I30" s="99"/>
      <c r="L30" s="37"/>
    </row>
    <row r="31" spans="1:12" s="89" customFormat="1" ht="18" customHeight="1" x14ac:dyDescent="0.25">
      <c r="A31" s="28">
        <v>1</v>
      </c>
      <c r="B31" s="89" t="s">
        <v>66</v>
      </c>
      <c r="C31" s="29">
        <f ca="1">'5th'!I31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2</v>
      </c>
    </row>
    <row r="32" spans="1:12" s="89" customFormat="1" ht="18" customHeight="1" x14ac:dyDescent="0.25">
      <c r="A32" s="28">
        <v>2</v>
      </c>
      <c r="B32" s="89" t="s">
        <v>68</v>
      </c>
      <c r="C32" s="29">
        <f ca="1">'5th'!I32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2</v>
      </c>
    </row>
    <row r="33" spans="1:12" s="89" customFormat="1" ht="18" customHeight="1" x14ac:dyDescent="0.25">
      <c r="A33" s="28">
        <v>3</v>
      </c>
      <c r="B33" s="89" t="s">
        <v>70</v>
      </c>
      <c r="C33" s="29">
        <f ca="1">'5th'!I33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2</v>
      </c>
    </row>
    <row r="34" spans="1:12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</row>
    <row r="35" spans="1:12" ht="15.75" customHeight="1" x14ac:dyDescent="0.25">
      <c r="C35" s="97"/>
      <c r="E35" s="97"/>
      <c r="G35" s="97"/>
      <c r="I35" s="97"/>
      <c r="L35" s="19"/>
    </row>
    <row r="36" spans="1:12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2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</row>
    <row r="39" spans="1:12" s="56" customFormat="1" x14ac:dyDescent="0.25">
      <c r="A39" s="55"/>
      <c r="B39" s="56" t="s">
        <v>72</v>
      </c>
      <c r="C39" s="57">
        <v>1844400</v>
      </c>
      <c r="D39" s="56" t="s">
        <v>23</v>
      </c>
      <c r="E39" s="58">
        <v>266000</v>
      </c>
      <c r="F39" s="56" t="s">
        <v>25</v>
      </c>
      <c r="G39" s="56">
        <v>-61600</v>
      </c>
      <c r="H39" s="58" t="s">
        <v>31</v>
      </c>
      <c r="I39" s="56">
        <v>2048800</v>
      </c>
      <c r="L39" s="40"/>
    </row>
    <row r="41" spans="1:12" s="60" customFormat="1" x14ac:dyDescent="0.25">
      <c r="A41" s="59"/>
      <c r="C41" s="61"/>
      <c r="E41" s="62">
        <f ca="1">E37-E39</f>
        <v>-266000</v>
      </c>
      <c r="G41" s="62">
        <f ca="1">G37-G39</f>
        <v>61600</v>
      </c>
      <c r="H41" s="62"/>
      <c r="L41" s="40"/>
    </row>
  </sheetData>
  <mergeCells count="1">
    <mergeCell ref="B2:C2"/>
  </mergeCells>
  <pageMargins left="0.5" right="0.45" top="0.5" bottom="0.5" header="0.3" footer="0.3"/>
  <pageSetup paperSize="14" scale="87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41"/>
  <sheetViews>
    <sheetView zoomScaleNormal="100" zoomScaleSheetLayoutView="8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8.2851562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5" style="40" bestFit="1" customWidth="1"/>
    <col min="13" max="86" width="9.140625" style="78" customWidth="1"/>
    <col min="87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March 2023 End</v>
      </c>
      <c r="L1" s="40">
        <f>MONTH(I6)</f>
        <v>3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19" s="83" customFormat="1" ht="15.75" customHeight="1" x14ac:dyDescent="0.25">
      <c r="A5" s="21"/>
      <c r="C5" s="84"/>
      <c r="L5" s="41"/>
    </row>
    <row r="6" spans="1:19" s="86" customFormat="1" ht="15.75" customHeight="1" x14ac:dyDescent="0.25">
      <c r="A6" s="24" t="s">
        <v>39</v>
      </c>
      <c r="C6" s="25"/>
      <c r="I6" s="87">
        <f>_7th</f>
        <v>45016</v>
      </c>
      <c r="K6" s="27"/>
      <c r="L6" s="42"/>
    </row>
    <row r="7" spans="1:19" s="89" customFormat="1" ht="18" customHeight="1" x14ac:dyDescent="0.25">
      <c r="A7" s="28">
        <v>1</v>
      </c>
      <c r="B7" s="89" t="s">
        <v>41</v>
      </c>
      <c r="C7" s="43">
        <f ca="1">'6th'!I7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3</v>
      </c>
    </row>
    <row r="8" spans="1:19" s="89" customFormat="1" ht="18" customHeight="1" x14ac:dyDescent="0.25">
      <c r="A8" s="28">
        <v>2</v>
      </c>
      <c r="B8" s="89" t="s">
        <v>44</v>
      </c>
      <c r="C8" s="29">
        <f ca="1">'6th'!I8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3</v>
      </c>
    </row>
    <row r="9" spans="1:19" s="89" customFormat="1" ht="18" customHeight="1" x14ac:dyDescent="0.25">
      <c r="A9" s="28">
        <v>3</v>
      </c>
      <c r="B9" s="89" t="s">
        <v>46</v>
      </c>
      <c r="C9" s="29">
        <f ca="1">'6th'!I9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3</v>
      </c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'6th'!I10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3</v>
      </c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'6th'!I11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3</v>
      </c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</row>
    <row r="15" spans="1:19" s="89" customFormat="1" ht="18" customHeight="1" x14ac:dyDescent="0.25">
      <c r="A15" s="38" t="s">
        <v>53</v>
      </c>
      <c r="C15" s="29">
        <f ca="1">'6th'!I15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3</v>
      </c>
    </row>
    <row r="16" spans="1:19" s="96" customFormat="1" ht="15.75" customHeight="1" x14ac:dyDescent="0.25">
      <c r="A16" s="36"/>
      <c r="C16" s="97"/>
      <c r="E16" s="98"/>
      <c r="H16" s="98"/>
      <c r="I16" s="99"/>
      <c r="L16" s="37"/>
    </row>
    <row r="17" spans="1:12" s="96" customFormat="1" ht="15.75" customHeight="1" x14ac:dyDescent="0.25">
      <c r="A17" s="36"/>
      <c r="C17" s="97"/>
      <c r="E17" s="98"/>
      <c r="H17" s="98"/>
      <c r="I17" s="99"/>
      <c r="L17" s="37"/>
    </row>
    <row r="18" spans="1:12" s="96" customFormat="1" ht="15.75" customHeight="1" x14ac:dyDescent="0.25">
      <c r="A18" s="24" t="s">
        <v>56</v>
      </c>
      <c r="C18" s="97"/>
      <c r="E18" s="98"/>
      <c r="H18" s="98"/>
      <c r="I18" s="99"/>
      <c r="L18" s="37"/>
    </row>
    <row r="19" spans="1:12" s="89" customFormat="1" ht="18" customHeight="1" x14ac:dyDescent="0.25">
      <c r="A19" s="28">
        <v>1</v>
      </c>
      <c r="B19" s="89" t="s">
        <v>57</v>
      </c>
      <c r="C19" s="29">
        <f ca="1">'6th'!I19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3</v>
      </c>
    </row>
    <row r="20" spans="1:12" s="89" customFormat="1" ht="18" customHeight="1" x14ac:dyDescent="0.25">
      <c r="A20" s="28">
        <v>2</v>
      </c>
      <c r="B20" s="89" t="s">
        <v>59</v>
      </c>
      <c r="C20" s="29">
        <f ca="1">'3rd'!I20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3</v>
      </c>
    </row>
    <row r="21" spans="1:12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</row>
    <row r="22" spans="1:12" s="96" customFormat="1" ht="15.75" customHeight="1" x14ac:dyDescent="0.25">
      <c r="A22" s="36"/>
      <c r="C22" s="97"/>
      <c r="E22" s="98"/>
      <c r="H22" s="98"/>
      <c r="I22" s="99"/>
      <c r="L22" s="37"/>
    </row>
    <row r="23" spans="1:12" s="96" customFormat="1" ht="15.75" customHeight="1" x14ac:dyDescent="0.25">
      <c r="A23" s="36"/>
      <c r="C23" s="97"/>
      <c r="E23" s="98"/>
      <c r="H23" s="98"/>
      <c r="I23" s="99"/>
      <c r="L23" s="37"/>
    </row>
    <row r="24" spans="1:12" s="89" customFormat="1" ht="18" hidden="1" customHeight="1" x14ac:dyDescent="0.25">
      <c r="A24" s="38" t="s">
        <v>61</v>
      </c>
      <c r="C24" s="29">
        <f ca="1">'6th'!I24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3</v>
      </c>
    </row>
    <row r="25" spans="1:12" s="96" customFormat="1" ht="15.75" hidden="1" customHeight="1" x14ac:dyDescent="0.25">
      <c r="A25" s="36"/>
      <c r="C25" s="97"/>
      <c r="E25" s="98"/>
      <c r="H25" s="98"/>
      <c r="I25" s="99"/>
      <c r="L25" s="37"/>
    </row>
    <row r="26" spans="1:12" s="96" customFormat="1" ht="15.75" hidden="1" customHeight="1" x14ac:dyDescent="0.25">
      <c r="A26" s="36"/>
      <c r="C26" s="97"/>
      <c r="E26" s="98"/>
      <c r="H26" s="98"/>
      <c r="I26" s="99"/>
      <c r="L26" s="37"/>
    </row>
    <row r="27" spans="1:12" s="89" customFormat="1" ht="18" customHeight="1" x14ac:dyDescent="0.25">
      <c r="A27" s="38" t="s">
        <v>102</v>
      </c>
      <c r="C27" s="29">
        <f ca="1">'6th'!I27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3</v>
      </c>
    </row>
    <row r="28" spans="1:12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</row>
    <row r="29" spans="1:12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</row>
    <row r="30" spans="1:12" s="96" customFormat="1" ht="15.75" customHeight="1" x14ac:dyDescent="0.25">
      <c r="A30" s="24" t="s">
        <v>103</v>
      </c>
      <c r="C30" s="97"/>
      <c r="E30" s="98"/>
      <c r="H30" s="98"/>
      <c r="I30" s="99"/>
      <c r="L30" s="37"/>
    </row>
    <row r="31" spans="1:12" s="89" customFormat="1" ht="18" customHeight="1" x14ac:dyDescent="0.25">
      <c r="A31" s="28">
        <v>1</v>
      </c>
      <c r="B31" s="89" t="s">
        <v>66</v>
      </c>
      <c r="C31" s="29">
        <f ca="1">'6th'!I31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3</v>
      </c>
    </row>
    <row r="32" spans="1:12" s="89" customFormat="1" ht="18" customHeight="1" x14ac:dyDescent="0.25">
      <c r="A32" s="28">
        <v>2</v>
      </c>
      <c r="B32" s="89" t="s">
        <v>68</v>
      </c>
      <c r="C32" s="29">
        <f ca="1">'6th'!I32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3</v>
      </c>
    </row>
    <row r="33" spans="1:12" s="89" customFormat="1" ht="18" customHeight="1" x14ac:dyDescent="0.25">
      <c r="A33" s="28">
        <v>3</v>
      </c>
      <c r="B33" s="89" t="s">
        <v>70</v>
      </c>
      <c r="C33" s="29">
        <f ca="1">'6th'!I33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3</v>
      </c>
    </row>
    <row r="34" spans="1:12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</row>
    <row r="35" spans="1:12" ht="15.75" customHeight="1" x14ac:dyDescent="0.25">
      <c r="C35" s="97"/>
      <c r="E35" s="97"/>
      <c r="G35" s="97"/>
      <c r="I35" s="97"/>
      <c r="L35" s="19"/>
    </row>
    <row r="36" spans="1:12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2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</row>
    <row r="39" spans="1:12" s="56" customFormat="1" x14ac:dyDescent="0.25">
      <c r="A39" s="55"/>
      <c r="B39" s="56" t="s">
        <v>72</v>
      </c>
      <c r="C39" s="57">
        <v>62550</v>
      </c>
      <c r="D39" s="56" t="s">
        <v>23</v>
      </c>
      <c r="E39" s="58">
        <v>0</v>
      </c>
      <c r="F39" s="56" t="s">
        <v>25</v>
      </c>
      <c r="G39" s="56">
        <v>0</v>
      </c>
      <c r="H39" s="58" t="s">
        <v>31</v>
      </c>
      <c r="I39" s="56">
        <v>-647450</v>
      </c>
      <c r="L39" s="40"/>
    </row>
    <row r="41" spans="1:12" s="60" customFormat="1" x14ac:dyDescent="0.25">
      <c r="A41" s="59"/>
      <c r="C41" s="61"/>
      <c r="E41" s="62">
        <f ca="1">E37-E39</f>
        <v>0</v>
      </c>
      <c r="G41" s="62">
        <f ca="1">G37-G39</f>
        <v>0</v>
      </c>
      <c r="H41" s="62"/>
      <c r="L41" s="40"/>
    </row>
  </sheetData>
  <mergeCells count="1">
    <mergeCell ref="B2:C2"/>
  </mergeCells>
  <pageMargins left="0.5" right="0.45" top="0.5" bottom="0.5" header="0.3" footer="0.3"/>
  <pageSetup paperSize="10001" scale="53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41"/>
  <sheetViews>
    <sheetView zoomScaleNormal="100" zoomScaleSheetLayoutView="8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8.2851562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5" style="40" bestFit="1" customWidth="1"/>
    <col min="13" max="86" width="9.140625" style="78" customWidth="1"/>
    <col min="87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April 2023 End</v>
      </c>
      <c r="L1" s="40">
        <f>MONTH(I6)</f>
        <v>4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19" s="83" customFormat="1" ht="15.75" customHeight="1" x14ac:dyDescent="0.25">
      <c r="A5" s="21"/>
      <c r="C5" s="84"/>
      <c r="L5" s="41"/>
    </row>
    <row r="6" spans="1:19" s="86" customFormat="1" ht="15.75" customHeight="1" x14ac:dyDescent="0.25">
      <c r="A6" s="24" t="s">
        <v>39</v>
      </c>
      <c r="C6" s="25"/>
      <c r="I6" s="87">
        <f>_8th</f>
        <v>45046</v>
      </c>
      <c r="K6" s="27"/>
      <c r="L6" s="42"/>
    </row>
    <row r="7" spans="1:19" s="89" customFormat="1" ht="18" customHeight="1" x14ac:dyDescent="0.25">
      <c r="A7" s="28">
        <v>1</v>
      </c>
      <c r="B7" s="89" t="s">
        <v>41</v>
      </c>
      <c r="C7" s="29">
        <f ca="1">'7th'!I7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4</v>
      </c>
    </row>
    <row r="8" spans="1:19" s="89" customFormat="1" ht="18" customHeight="1" x14ac:dyDescent="0.25">
      <c r="A8" s="28">
        <v>2</v>
      </c>
      <c r="B8" s="89" t="s">
        <v>44</v>
      </c>
      <c r="C8" s="29">
        <f ca="1">'7th'!I8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4</v>
      </c>
    </row>
    <row r="9" spans="1:19" s="89" customFormat="1" ht="18" customHeight="1" x14ac:dyDescent="0.25">
      <c r="A9" s="28">
        <v>3</v>
      </c>
      <c r="B9" s="89" t="s">
        <v>46</v>
      </c>
      <c r="C9" s="29">
        <f ca="1">'7th'!I9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4</v>
      </c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'7th'!I10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4</v>
      </c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'7th'!I11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4</v>
      </c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</row>
    <row r="15" spans="1:19" s="89" customFormat="1" ht="18" customHeight="1" x14ac:dyDescent="0.25">
      <c r="A15" s="38" t="s">
        <v>53</v>
      </c>
      <c r="C15" s="29">
        <f ca="1">'7th'!I15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4</v>
      </c>
    </row>
    <row r="16" spans="1:19" s="96" customFormat="1" ht="15.75" customHeight="1" x14ac:dyDescent="0.25">
      <c r="A16" s="36"/>
      <c r="C16" s="97"/>
      <c r="E16" s="98"/>
      <c r="H16" s="98"/>
      <c r="I16" s="99"/>
      <c r="L16" s="37"/>
    </row>
    <row r="17" spans="1:12" s="96" customFormat="1" ht="15.75" customHeight="1" x14ac:dyDescent="0.25">
      <c r="A17" s="36"/>
      <c r="C17" s="97"/>
      <c r="E17" s="98"/>
      <c r="H17" s="98"/>
      <c r="I17" s="99"/>
      <c r="L17" s="37"/>
    </row>
    <row r="18" spans="1:12" s="96" customFormat="1" ht="15.75" customHeight="1" x14ac:dyDescent="0.25">
      <c r="A18" s="24" t="s">
        <v>56</v>
      </c>
      <c r="C18" s="97"/>
      <c r="E18" s="98"/>
      <c r="H18" s="98"/>
      <c r="I18" s="99"/>
      <c r="L18" s="37"/>
    </row>
    <row r="19" spans="1:12" s="89" customFormat="1" ht="18" customHeight="1" x14ac:dyDescent="0.25">
      <c r="A19" s="28">
        <v>1</v>
      </c>
      <c r="B19" s="89" t="s">
        <v>57</v>
      </c>
      <c r="C19" s="29">
        <f ca="1">'7th'!I19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4</v>
      </c>
    </row>
    <row r="20" spans="1:12" s="89" customFormat="1" ht="18" customHeight="1" x14ac:dyDescent="0.25">
      <c r="A20" s="28">
        <v>2</v>
      </c>
      <c r="B20" s="89" t="s">
        <v>59</v>
      </c>
      <c r="C20" s="29">
        <f ca="1">'3rd'!I20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4</v>
      </c>
    </row>
    <row r="21" spans="1:12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</row>
    <row r="22" spans="1:12" s="96" customFormat="1" ht="15.75" customHeight="1" x14ac:dyDescent="0.25">
      <c r="A22" s="36"/>
      <c r="C22" s="97"/>
      <c r="E22" s="98"/>
      <c r="H22" s="98"/>
      <c r="I22" s="99"/>
      <c r="L22" s="37"/>
    </row>
    <row r="23" spans="1:12" s="96" customFormat="1" ht="15.75" customHeight="1" x14ac:dyDescent="0.25">
      <c r="A23" s="36"/>
      <c r="C23" s="97"/>
      <c r="E23" s="98"/>
      <c r="H23" s="98"/>
      <c r="I23" s="99"/>
      <c r="L23" s="37"/>
    </row>
    <row r="24" spans="1:12" s="89" customFormat="1" ht="18" hidden="1" customHeight="1" x14ac:dyDescent="0.25">
      <c r="A24" s="38" t="s">
        <v>61</v>
      </c>
      <c r="C24" s="29">
        <f ca="1">'7th'!I24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4</v>
      </c>
    </row>
    <row r="25" spans="1:12" s="96" customFormat="1" ht="15.75" hidden="1" customHeight="1" x14ac:dyDescent="0.25">
      <c r="A25" s="36"/>
      <c r="C25" s="97"/>
      <c r="E25" s="98"/>
      <c r="H25" s="98"/>
      <c r="I25" s="99"/>
      <c r="L25" s="37"/>
    </row>
    <row r="26" spans="1:12" s="96" customFormat="1" ht="15.75" hidden="1" customHeight="1" x14ac:dyDescent="0.25">
      <c r="A26" s="36"/>
      <c r="C26" s="97"/>
      <c r="E26" s="98"/>
      <c r="H26" s="98"/>
      <c r="I26" s="99"/>
      <c r="L26" s="37"/>
    </row>
    <row r="27" spans="1:12" s="89" customFormat="1" ht="18" customHeight="1" x14ac:dyDescent="0.25">
      <c r="A27" s="38" t="s">
        <v>102</v>
      </c>
      <c r="C27" s="29">
        <f ca="1">'7th'!I27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4</v>
      </c>
    </row>
    <row r="28" spans="1:12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</row>
    <row r="29" spans="1:12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</row>
    <row r="30" spans="1:12" s="96" customFormat="1" ht="15.75" customHeight="1" x14ac:dyDescent="0.25">
      <c r="A30" s="24" t="s">
        <v>103</v>
      </c>
      <c r="C30" s="97"/>
      <c r="E30" s="98"/>
      <c r="H30" s="98"/>
      <c r="I30" s="99"/>
      <c r="L30" s="37"/>
    </row>
    <row r="31" spans="1:12" s="89" customFormat="1" ht="18" customHeight="1" x14ac:dyDescent="0.25">
      <c r="A31" s="28">
        <v>1</v>
      </c>
      <c r="B31" s="89" t="s">
        <v>66</v>
      </c>
      <c r="C31" s="29">
        <f ca="1">'7th'!I31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4</v>
      </c>
    </row>
    <row r="32" spans="1:12" s="89" customFormat="1" ht="18" customHeight="1" x14ac:dyDescent="0.25">
      <c r="A32" s="28">
        <v>2</v>
      </c>
      <c r="B32" s="89" t="s">
        <v>68</v>
      </c>
      <c r="C32" s="29">
        <f ca="1">'7th'!I32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4</v>
      </c>
    </row>
    <row r="33" spans="1:12" s="89" customFormat="1" ht="18" customHeight="1" x14ac:dyDescent="0.25">
      <c r="A33" s="28">
        <v>3</v>
      </c>
      <c r="B33" s="89" t="s">
        <v>70</v>
      </c>
      <c r="C33" s="29">
        <f ca="1">'7th'!I33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4</v>
      </c>
    </row>
    <row r="34" spans="1:12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</row>
    <row r="35" spans="1:12" ht="15.75" customHeight="1" x14ac:dyDescent="0.25">
      <c r="C35" s="97"/>
      <c r="E35" s="97"/>
      <c r="G35" s="97"/>
      <c r="I35" s="97"/>
      <c r="L35" s="19"/>
    </row>
    <row r="36" spans="1:12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2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</row>
    <row r="39" spans="1:12" s="56" customFormat="1" x14ac:dyDescent="0.25">
      <c r="A39" s="55"/>
      <c r="B39" s="56" t="s">
        <v>72</v>
      </c>
      <c r="C39" s="57">
        <v>188550</v>
      </c>
      <c r="D39" s="56" t="s">
        <v>23</v>
      </c>
      <c r="E39" s="58">
        <v>0</v>
      </c>
      <c r="F39" s="56" t="s">
        <v>25</v>
      </c>
      <c r="G39" s="56">
        <v>-710000</v>
      </c>
      <c r="H39" s="58" t="s">
        <v>31</v>
      </c>
      <c r="I39" s="56">
        <v>-521450</v>
      </c>
      <c r="L39" s="40"/>
    </row>
    <row r="41" spans="1:12" s="60" customFormat="1" x14ac:dyDescent="0.25">
      <c r="A41" s="59"/>
      <c r="C41" s="61"/>
      <c r="E41" s="62">
        <f ca="1">E37-E39</f>
        <v>0</v>
      </c>
      <c r="G41" s="62">
        <f ca="1">G37-G39</f>
        <v>710000</v>
      </c>
      <c r="H41" s="62"/>
      <c r="L41" s="40"/>
    </row>
  </sheetData>
  <mergeCells count="1">
    <mergeCell ref="B2:C2"/>
  </mergeCells>
  <pageMargins left="0.5" right="0.45" top="0.5" bottom="0.5" header="0.3" footer="0.3"/>
  <pageSetup paperSize="10002" fitToHeight="1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41"/>
  <sheetViews>
    <sheetView zoomScaleNormal="100" zoomScaleSheetLayoutView="9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8.2851562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8.140625" style="40" bestFit="1" customWidth="1"/>
    <col min="13" max="86" width="9.140625" style="78" customWidth="1"/>
    <col min="87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May 2023 End</v>
      </c>
      <c r="L1" s="40">
        <f>MONTH(I6)</f>
        <v>5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</row>
    <row r="5" spans="1:19" s="83" customFormat="1" ht="15.75" customHeight="1" x14ac:dyDescent="0.25">
      <c r="A5" s="21"/>
      <c r="C5" s="84"/>
      <c r="L5" s="41"/>
    </row>
    <row r="6" spans="1:19" s="86" customFormat="1" ht="15.75" customHeight="1" x14ac:dyDescent="0.25">
      <c r="A6" s="24" t="s">
        <v>39</v>
      </c>
      <c r="C6" s="25"/>
      <c r="I6" s="87">
        <f>_9th</f>
        <v>45077</v>
      </c>
      <c r="K6" s="27"/>
      <c r="L6" s="42"/>
    </row>
    <row r="7" spans="1:19" s="89" customFormat="1" ht="18" customHeight="1" x14ac:dyDescent="0.25">
      <c r="A7" s="28">
        <v>1</v>
      </c>
      <c r="B7" s="89" t="s">
        <v>41</v>
      </c>
      <c r="C7" s="29">
        <f ca="1">'8th'!I7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5</v>
      </c>
    </row>
    <row r="8" spans="1:19" s="89" customFormat="1" ht="18" customHeight="1" x14ac:dyDescent="0.25">
      <c r="A8" s="28">
        <v>2</v>
      </c>
      <c r="B8" s="89" t="s">
        <v>44</v>
      </c>
      <c r="C8" s="29">
        <f ca="1">'8th'!I8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5</v>
      </c>
    </row>
    <row r="9" spans="1:19" s="89" customFormat="1" ht="18" customHeight="1" x14ac:dyDescent="0.25">
      <c r="A9" s="28">
        <v>3</v>
      </c>
      <c r="B9" s="89" t="s">
        <v>46</v>
      </c>
      <c r="C9" s="29">
        <f ca="1">'8th'!I9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5</v>
      </c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'8th'!I10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5</v>
      </c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'8th'!I11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5</v>
      </c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</row>
    <row r="15" spans="1:19" s="89" customFormat="1" ht="18" customHeight="1" x14ac:dyDescent="0.25">
      <c r="A15" s="38" t="s">
        <v>53</v>
      </c>
      <c r="C15" s="29">
        <f ca="1">'8th'!I15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5</v>
      </c>
    </row>
    <row r="16" spans="1:19" s="96" customFormat="1" ht="15.75" customHeight="1" x14ac:dyDescent="0.25">
      <c r="A16" s="36"/>
      <c r="C16" s="97"/>
      <c r="E16" s="98"/>
      <c r="H16" s="98"/>
      <c r="I16" s="99"/>
      <c r="L16" s="37"/>
    </row>
    <row r="17" spans="1:12" s="96" customFormat="1" ht="15.75" customHeight="1" x14ac:dyDescent="0.25">
      <c r="A17" s="36"/>
      <c r="C17" s="97"/>
      <c r="E17" s="98"/>
      <c r="H17" s="98"/>
      <c r="I17" s="99"/>
      <c r="L17" s="37"/>
    </row>
    <row r="18" spans="1:12" s="96" customFormat="1" ht="15.75" customHeight="1" x14ac:dyDescent="0.25">
      <c r="A18" s="24" t="s">
        <v>56</v>
      </c>
      <c r="C18" s="97"/>
      <c r="E18" s="98"/>
      <c r="H18" s="98"/>
      <c r="I18" s="99"/>
      <c r="L18" s="37"/>
    </row>
    <row r="19" spans="1:12" s="89" customFormat="1" ht="18" customHeight="1" x14ac:dyDescent="0.25">
      <c r="A19" s="28">
        <v>1</v>
      </c>
      <c r="B19" s="89" t="s">
        <v>57</v>
      </c>
      <c r="C19" s="29">
        <f ca="1">'8th'!I19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5</v>
      </c>
    </row>
    <row r="20" spans="1:12" s="89" customFormat="1" ht="18" customHeight="1" x14ac:dyDescent="0.25">
      <c r="A20" s="28">
        <v>2</v>
      </c>
      <c r="B20" s="89" t="s">
        <v>59</v>
      </c>
      <c r="C20" s="29">
        <f ca="1">'3rd'!I20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5</v>
      </c>
    </row>
    <row r="21" spans="1:12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</row>
    <row r="22" spans="1:12" s="96" customFormat="1" ht="15.75" customHeight="1" x14ac:dyDescent="0.25">
      <c r="A22" s="36"/>
      <c r="C22" s="97"/>
      <c r="E22" s="98"/>
      <c r="H22" s="98"/>
      <c r="I22" s="99"/>
      <c r="L22" s="37"/>
    </row>
    <row r="23" spans="1:12" s="96" customFormat="1" ht="15.75" customHeight="1" x14ac:dyDescent="0.25">
      <c r="A23" s="36"/>
      <c r="C23" s="97"/>
      <c r="E23" s="98"/>
      <c r="H23" s="98"/>
      <c r="I23" s="99"/>
      <c r="L23" s="37"/>
    </row>
    <row r="24" spans="1:12" s="89" customFormat="1" ht="18" hidden="1" customHeight="1" x14ac:dyDescent="0.25">
      <c r="A24" s="38" t="s">
        <v>61</v>
      </c>
      <c r="C24" s="29">
        <f ca="1">'8th'!I24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5</v>
      </c>
    </row>
    <row r="25" spans="1:12" s="96" customFormat="1" ht="15.75" hidden="1" customHeight="1" x14ac:dyDescent="0.25">
      <c r="A25" s="36"/>
      <c r="C25" s="97"/>
      <c r="E25" s="98"/>
      <c r="H25" s="98"/>
      <c r="I25" s="99"/>
      <c r="L25" s="37"/>
    </row>
    <row r="26" spans="1:12" s="96" customFormat="1" ht="15.75" hidden="1" customHeight="1" x14ac:dyDescent="0.25">
      <c r="A26" s="36"/>
      <c r="C26" s="97"/>
      <c r="E26" s="98"/>
      <c r="H26" s="98"/>
      <c r="I26" s="99"/>
      <c r="L26" s="37"/>
    </row>
    <row r="27" spans="1:12" s="89" customFormat="1" ht="18" customHeight="1" x14ac:dyDescent="0.25">
      <c r="A27" s="38" t="s">
        <v>102</v>
      </c>
      <c r="C27" s="29">
        <f ca="1">'8th'!I27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5</v>
      </c>
    </row>
    <row r="28" spans="1:12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</row>
    <row r="29" spans="1:12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</row>
    <row r="30" spans="1:12" s="96" customFormat="1" ht="15.75" customHeight="1" x14ac:dyDescent="0.25">
      <c r="A30" s="24" t="s">
        <v>103</v>
      </c>
      <c r="C30" s="97"/>
      <c r="E30" s="98"/>
      <c r="H30" s="98"/>
      <c r="I30" s="99"/>
      <c r="L30" s="37"/>
    </row>
    <row r="31" spans="1:12" s="89" customFormat="1" ht="18" customHeight="1" x14ac:dyDescent="0.25">
      <c r="A31" s="28">
        <v>1</v>
      </c>
      <c r="B31" s="89" t="s">
        <v>66</v>
      </c>
      <c r="C31" s="29">
        <f ca="1">'8th'!I31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5</v>
      </c>
    </row>
    <row r="32" spans="1:12" s="89" customFormat="1" ht="18" customHeight="1" x14ac:dyDescent="0.25">
      <c r="A32" s="28">
        <v>2</v>
      </c>
      <c r="B32" s="89" t="s">
        <v>68</v>
      </c>
      <c r="C32" s="29">
        <f ca="1">'8th'!I32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5</v>
      </c>
    </row>
    <row r="33" spans="1:12" s="89" customFormat="1" ht="18" customHeight="1" x14ac:dyDescent="0.25">
      <c r="A33" s="28">
        <v>3</v>
      </c>
      <c r="B33" s="89" t="s">
        <v>70</v>
      </c>
      <c r="C33" s="29">
        <f ca="1">'8th'!I33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5</v>
      </c>
    </row>
    <row r="34" spans="1:12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</row>
    <row r="35" spans="1:12" ht="15.75" customHeight="1" x14ac:dyDescent="0.25">
      <c r="C35" s="97"/>
      <c r="E35" s="97"/>
      <c r="G35" s="97"/>
      <c r="I35" s="97"/>
      <c r="L35" s="19"/>
    </row>
    <row r="36" spans="1:12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2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</row>
    <row r="39" spans="1:12" s="56" customFormat="1" x14ac:dyDescent="0.25">
      <c r="A39" s="55"/>
      <c r="B39" s="56" t="s">
        <v>72</v>
      </c>
      <c r="C39" s="57">
        <v>-4011900</v>
      </c>
      <c r="D39" s="56" t="s">
        <v>23</v>
      </c>
      <c r="E39" s="58">
        <v>760000</v>
      </c>
      <c r="F39" s="56" t="s">
        <v>25</v>
      </c>
      <c r="G39" s="56">
        <v>-355000</v>
      </c>
      <c r="H39" s="58" t="s">
        <v>31</v>
      </c>
      <c r="I39" s="56">
        <v>-3606900</v>
      </c>
      <c r="L39" s="40"/>
    </row>
    <row r="41" spans="1:12" s="60" customFormat="1" x14ac:dyDescent="0.25">
      <c r="A41" s="59"/>
      <c r="C41" s="61"/>
      <c r="E41" s="62">
        <f ca="1">E37-E39</f>
        <v>-760000</v>
      </c>
      <c r="G41" s="62">
        <f ca="1">G37-G39</f>
        <v>355000</v>
      </c>
      <c r="H41" s="62"/>
      <c r="L41" s="40"/>
    </row>
  </sheetData>
  <mergeCells count="1">
    <mergeCell ref="B2:C2"/>
  </mergeCells>
  <pageMargins left="0.5" right="0.45" top="0.5" bottom="0.5" header="0.3" footer="0.3"/>
  <pageSetup paperSize="10002" fitToHeight="10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37"/>
  <sheetViews>
    <sheetView zoomScaleNormal="10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4.570312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5.85546875" style="40" bestFit="1" customWidth="1"/>
    <col min="13" max="13" width="9.140625" style="78" customWidth="1"/>
    <col min="14" max="14" width="14.42578125" style="60" customWidth="1"/>
    <col min="15" max="15" width="11" style="60" bestFit="1" customWidth="1"/>
    <col min="16" max="16" width="11" style="60" customWidth="1"/>
    <col min="17" max="17" width="12.42578125" style="78" bestFit="1" customWidth="1"/>
    <col min="18" max="18" width="11.42578125" style="78" bestFit="1" customWidth="1"/>
    <col min="19" max="19" width="11.28515625" style="78" bestFit="1" customWidth="1"/>
    <col min="20" max="88" width="9.140625" style="78" customWidth="1"/>
    <col min="89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June 2023 End</v>
      </c>
      <c r="L1" s="40">
        <f>MONTH(I6)</f>
        <v>6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  <c r="N4" s="64"/>
      <c r="O4" s="64"/>
      <c r="P4" s="64"/>
    </row>
    <row r="5" spans="1:19" s="83" customFormat="1" ht="15.75" customHeight="1" x14ac:dyDescent="0.25">
      <c r="A5" s="21"/>
      <c r="C5" s="84"/>
      <c r="L5" s="41"/>
      <c r="N5" s="64"/>
      <c r="O5" s="64"/>
      <c r="P5" s="64"/>
    </row>
    <row r="6" spans="1:19" s="86" customFormat="1" ht="15.75" customHeight="1" x14ac:dyDescent="0.25">
      <c r="A6" s="24" t="s">
        <v>39</v>
      </c>
      <c r="C6" s="25"/>
      <c r="I6" s="87">
        <f>_10th</f>
        <v>45107</v>
      </c>
      <c r="K6" s="27"/>
      <c r="L6" s="42"/>
      <c r="N6" s="65"/>
      <c r="O6" s="65"/>
      <c r="P6" s="65"/>
    </row>
    <row r="7" spans="1:19" s="89" customFormat="1" ht="18" customHeight="1" x14ac:dyDescent="0.25">
      <c r="A7" s="28">
        <v>1</v>
      </c>
      <c r="B7" s="89" t="s">
        <v>41</v>
      </c>
      <c r="C7" s="29">
        <f ca="1">'9th'!I7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6</v>
      </c>
      <c r="N7" s="66">
        <f ca="1">LOOKUP(2,1/(INDIRECT("'"&amp;$K7&amp;"'!T:T")&lt;&gt;""),INDIRECT("'"&amp;$K7&amp;"'!T:T"))</f>
        <v>0</v>
      </c>
      <c r="O7" s="66">
        <f ca="1">I7-N7</f>
        <v>0</v>
      </c>
      <c r="P7" s="66"/>
      <c r="Q7" s="67"/>
    </row>
    <row r="8" spans="1:19" s="89" customFormat="1" ht="18" customHeight="1" x14ac:dyDescent="0.25">
      <c r="A8" s="28">
        <v>2</v>
      </c>
      <c r="B8" s="89" t="s">
        <v>44</v>
      </c>
      <c r="C8" s="29">
        <f ca="1">'9th'!I8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6</v>
      </c>
      <c r="N8" s="66">
        <f ca="1">LOOKUP(2,1/(INDIRECT("'"&amp;$K8&amp;"'!T:T")&lt;&gt;""),INDIRECT("'"&amp;$K8&amp;"'!T:T"))</f>
        <v>0</v>
      </c>
      <c r="O8" s="66">
        <f ca="1">I8-N8</f>
        <v>0</v>
      </c>
      <c r="P8" s="66"/>
      <c r="Q8" s="67"/>
    </row>
    <row r="9" spans="1:19" s="89" customFormat="1" ht="18" customHeight="1" x14ac:dyDescent="0.25">
      <c r="A9" s="28">
        <v>3</v>
      </c>
      <c r="B9" s="89" t="s">
        <v>46</v>
      </c>
      <c r="C9" s="29">
        <f ca="1">'9th'!I9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6</v>
      </c>
      <c r="N9" s="66">
        <f ca="1">LOOKUP(2,1/(INDIRECT("'"&amp;$K9&amp;"'!T:T")&lt;&gt;""),INDIRECT("'"&amp;$K9&amp;"'!T:T"))</f>
        <v>0</v>
      </c>
      <c r="O9" s="66">
        <f ca="1">I9-N9</f>
        <v>0</v>
      </c>
      <c r="P9" s="66"/>
      <c r="Q9" s="67"/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'9th'!I10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6</v>
      </c>
      <c r="N10" s="66">
        <f ca="1">LOOKUP(2,1/(INDIRECT("'"&amp;$K10&amp;"'!T:T")&lt;&gt;""),INDIRECT("'"&amp;$K10&amp;"'!T:T"))</f>
        <v>0</v>
      </c>
      <c r="O10" s="66">
        <f ca="1">I10-N10</f>
        <v>0</v>
      </c>
      <c r="P10" s="66"/>
      <c r="Q10" s="67"/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'9th'!I11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6</v>
      </c>
      <c r="N11" s="66">
        <f ca="1">LOOKUP(2,1/(INDIRECT("'"&amp;$K11&amp;"'!T:T")&lt;&gt;""),INDIRECT("'"&amp;$K11&amp;"'!T:T"))</f>
        <v>0</v>
      </c>
      <c r="O11" s="66">
        <f ca="1">I11-N11</f>
        <v>0</v>
      </c>
      <c r="P11" s="66"/>
      <c r="Q11" s="67"/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  <c r="N12" s="68"/>
      <c r="O12" s="68"/>
      <c r="P12" s="68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  <c r="N13" s="69"/>
      <c r="O13" s="69"/>
      <c r="P13" s="69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  <c r="N14" s="69"/>
      <c r="O14" s="69"/>
      <c r="P14" s="69"/>
    </row>
    <row r="15" spans="1:19" s="89" customFormat="1" ht="18" customHeight="1" x14ac:dyDescent="0.25">
      <c r="A15" s="38" t="s">
        <v>53</v>
      </c>
      <c r="C15" s="29">
        <f ca="1">'9th'!I15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6</v>
      </c>
      <c r="N15" s="66">
        <f ca="1">LOOKUP(2,1/(INDIRECT("'"&amp;$K15&amp;"'!T:T")&lt;&gt;""),INDIRECT("'"&amp;$K15&amp;"'!T:T"))</f>
        <v>0</v>
      </c>
      <c r="O15" s="66">
        <f ca="1">I15-N15</f>
        <v>0</v>
      </c>
      <c r="P15" s="66"/>
      <c r="Q15" s="67"/>
    </row>
    <row r="16" spans="1:19" s="96" customFormat="1" ht="15.75" customHeight="1" x14ac:dyDescent="0.25">
      <c r="A16" s="36"/>
      <c r="C16" s="97"/>
      <c r="E16" s="98"/>
      <c r="H16" s="98"/>
      <c r="I16" s="99"/>
      <c r="L16" s="37"/>
      <c r="N16" s="69"/>
      <c r="O16" s="69"/>
      <c r="P16" s="69"/>
    </row>
    <row r="17" spans="1:17" s="96" customFormat="1" ht="15.75" customHeight="1" x14ac:dyDescent="0.25">
      <c r="A17" s="36"/>
      <c r="C17" s="97"/>
      <c r="E17" s="98"/>
      <c r="H17" s="98"/>
      <c r="I17" s="99"/>
      <c r="L17" s="37"/>
      <c r="N17" s="69"/>
      <c r="O17" s="69"/>
      <c r="P17" s="69"/>
    </row>
    <row r="18" spans="1:17" s="96" customFormat="1" ht="15.75" customHeight="1" x14ac:dyDescent="0.25">
      <c r="A18" s="24" t="s">
        <v>56</v>
      </c>
      <c r="C18" s="97"/>
      <c r="E18" s="98"/>
      <c r="H18" s="98"/>
      <c r="I18" s="99"/>
      <c r="L18" s="37"/>
      <c r="N18" s="69"/>
      <c r="O18" s="69"/>
      <c r="P18" s="69"/>
    </row>
    <row r="19" spans="1:17" s="89" customFormat="1" ht="18" customHeight="1" x14ac:dyDescent="0.25">
      <c r="A19" s="28">
        <v>1</v>
      </c>
      <c r="B19" s="89" t="s">
        <v>57</v>
      </c>
      <c r="C19" s="29">
        <f ca="1">'9th'!I19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6</v>
      </c>
      <c r="N19" s="66">
        <f ca="1">LOOKUP(2,1/(INDIRECT("'"&amp;$K19&amp;"'!T:T")&lt;&gt;""),INDIRECT("'"&amp;$K19&amp;"'!T:T"))</f>
        <v>0</v>
      </c>
      <c r="O19" s="66">
        <f ca="1">I19-N19</f>
        <v>0</v>
      </c>
      <c r="P19" s="66"/>
      <c r="Q19" s="67"/>
    </row>
    <row r="20" spans="1:17" s="89" customFormat="1" ht="18" customHeight="1" x14ac:dyDescent="0.25">
      <c r="A20" s="28">
        <v>2</v>
      </c>
      <c r="B20" s="89" t="s">
        <v>59</v>
      </c>
      <c r="C20" s="29">
        <f ca="1">'3rd'!I20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6</v>
      </c>
      <c r="N20" s="66">
        <f ca="1">LOOKUP(2,1/(INDIRECT("'"&amp;$K20&amp;"'!T:T")&lt;&gt;""),INDIRECT("'"&amp;$K20&amp;"'!T:T"))</f>
        <v>0</v>
      </c>
      <c r="O20" s="66">
        <f ca="1">I20-N20</f>
        <v>0</v>
      </c>
      <c r="P20" s="66"/>
    </row>
    <row r="21" spans="1:17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  <c r="N21" s="68"/>
      <c r="O21" s="68"/>
      <c r="P21" s="68"/>
    </row>
    <row r="22" spans="1:17" s="96" customFormat="1" ht="15.75" customHeight="1" x14ac:dyDescent="0.25">
      <c r="A22" s="36"/>
      <c r="C22" s="97"/>
      <c r="E22" s="98"/>
      <c r="H22" s="98"/>
      <c r="I22" s="99"/>
      <c r="L22" s="37"/>
      <c r="N22" s="69"/>
      <c r="O22" s="69"/>
      <c r="P22" s="69"/>
    </row>
    <row r="23" spans="1:17" s="96" customFormat="1" ht="15.75" customHeight="1" x14ac:dyDescent="0.25">
      <c r="A23" s="36"/>
      <c r="C23" s="97"/>
      <c r="E23" s="98"/>
      <c r="H23" s="98"/>
      <c r="I23" s="99"/>
      <c r="L23" s="37"/>
      <c r="N23" s="69"/>
      <c r="O23" s="69"/>
      <c r="P23" s="69"/>
    </row>
    <row r="24" spans="1:17" s="89" customFormat="1" ht="18" hidden="1" customHeight="1" x14ac:dyDescent="0.25">
      <c r="A24" s="38" t="s">
        <v>61</v>
      </c>
      <c r="C24" s="29">
        <f ca="1">'9th'!I24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6</v>
      </c>
      <c r="N24" s="66">
        <f ca="1">LOOKUP(2,1/(INDIRECT("'"&amp;$K24&amp;"'!T:T")&lt;&gt;""),INDIRECT("'"&amp;$K24&amp;"'!T:T"))</f>
        <v>0</v>
      </c>
      <c r="O24" s="66">
        <f ca="1">I24-N24</f>
        <v>0</v>
      </c>
      <c r="P24" s="66"/>
      <c r="Q24" s="67"/>
    </row>
    <row r="25" spans="1:17" s="96" customFormat="1" ht="15.75" hidden="1" customHeight="1" x14ac:dyDescent="0.25">
      <c r="A25" s="36"/>
      <c r="C25" s="97"/>
      <c r="E25" s="98"/>
      <c r="H25" s="98"/>
      <c r="I25" s="99"/>
      <c r="L25" s="37"/>
      <c r="N25" s="69"/>
      <c r="O25" s="69"/>
      <c r="P25" s="69"/>
    </row>
    <row r="26" spans="1:17" s="96" customFormat="1" ht="15.75" hidden="1" customHeight="1" x14ac:dyDescent="0.25">
      <c r="A26" s="36"/>
      <c r="C26" s="97"/>
      <c r="E26" s="98"/>
      <c r="H26" s="98"/>
      <c r="I26" s="99"/>
      <c r="L26" s="37"/>
      <c r="N26" s="69"/>
      <c r="O26" s="69"/>
      <c r="P26" s="69"/>
    </row>
    <row r="27" spans="1:17" s="89" customFormat="1" ht="18" customHeight="1" x14ac:dyDescent="0.25">
      <c r="A27" s="38" t="s">
        <v>102</v>
      </c>
      <c r="C27" s="29">
        <f ca="1">'9th'!I27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6</v>
      </c>
      <c r="N27" s="66">
        <f ca="1">LOOKUP(2,1/(INDIRECT("'"&amp;$K27&amp;"'!T:T")&lt;&gt;""),INDIRECT("'"&amp;$K27&amp;"'!T:T"))</f>
        <v>0</v>
      </c>
      <c r="O27" s="66">
        <f ca="1">I27-N27</f>
        <v>0</v>
      </c>
      <c r="P27" s="66"/>
      <c r="Q27" s="67"/>
    </row>
    <row r="28" spans="1:17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  <c r="N28" s="66"/>
      <c r="O28" s="66"/>
      <c r="P28" s="66"/>
    </row>
    <row r="29" spans="1:17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  <c r="N29" s="66"/>
      <c r="O29" s="66"/>
      <c r="P29" s="66"/>
    </row>
    <row r="30" spans="1:17" s="96" customFormat="1" ht="15.75" customHeight="1" x14ac:dyDescent="0.25">
      <c r="A30" s="24" t="s">
        <v>103</v>
      </c>
      <c r="C30" s="97"/>
      <c r="E30" s="98"/>
      <c r="H30" s="98"/>
      <c r="I30" s="99"/>
      <c r="L30" s="37"/>
      <c r="N30" s="69"/>
      <c r="O30" s="69"/>
      <c r="P30" s="69"/>
    </row>
    <row r="31" spans="1:17" s="89" customFormat="1" ht="18" customHeight="1" x14ac:dyDescent="0.25">
      <c r="A31" s="28">
        <v>1</v>
      </c>
      <c r="B31" s="89" t="s">
        <v>66</v>
      </c>
      <c r="C31" s="29">
        <f ca="1">'9th'!I31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6</v>
      </c>
      <c r="N31" s="66">
        <f ca="1">LOOKUP(2,1/(INDIRECT("'"&amp;$K31&amp;"'!T:T")&lt;&gt;""),INDIRECT("'"&amp;$K31&amp;"'!T:T"))</f>
        <v>0</v>
      </c>
      <c r="O31" s="66">
        <f ca="1">I31-N31</f>
        <v>0</v>
      </c>
      <c r="P31" s="66"/>
      <c r="Q31" s="67"/>
    </row>
    <row r="32" spans="1:17" s="89" customFormat="1" ht="18" customHeight="1" x14ac:dyDescent="0.25">
      <c r="A32" s="28">
        <v>2</v>
      </c>
      <c r="B32" s="89" t="s">
        <v>68</v>
      </c>
      <c r="C32" s="29">
        <f ca="1">'9th'!I32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6</v>
      </c>
      <c r="N32" s="66">
        <f ca="1">LOOKUP(2,1/(INDIRECT("'"&amp;$K32&amp;"'!T:T")&lt;&gt;""),INDIRECT("'"&amp;$K32&amp;"'!T:T"))</f>
        <v>0</v>
      </c>
      <c r="O32" s="66">
        <f ca="1">I32-N32</f>
        <v>0</v>
      </c>
      <c r="P32" s="66"/>
      <c r="Q32" s="67"/>
    </row>
    <row r="33" spans="1:19" s="89" customFormat="1" ht="18" customHeight="1" x14ac:dyDescent="0.25">
      <c r="A33" s="28">
        <v>3</v>
      </c>
      <c r="B33" s="89" t="s">
        <v>70</v>
      </c>
      <c r="C33" s="29">
        <f ca="1">'9th'!I33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6</v>
      </c>
      <c r="N33" s="66">
        <f ca="1">LOOKUP(2,1/(INDIRECT("'"&amp;$K33&amp;"'!T:T")&lt;&gt;""),INDIRECT("'"&amp;$K33&amp;"'!T:T"))</f>
        <v>0</v>
      </c>
      <c r="O33" s="66">
        <f ca="1">I33-N33</f>
        <v>0</v>
      </c>
      <c r="P33" s="66"/>
      <c r="Q33" s="67"/>
    </row>
    <row r="34" spans="1:19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  <c r="N34" s="68"/>
      <c r="O34" s="68"/>
      <c r="P34" s="68"/>
    </row>
    <row r="35" spans="1:19" ht="15.75" customHeight="1" x14ac:dyDescent="0.25">
      <c r="C35" s="97"/>
      <c r="E35" s="97"/>
      <c r="G35" s="97"/>
      <c r="I35" s="97"/>
      <c r="L35" s="19"/>
      <c r="O35" s="60">
        <f ca="1">SUM(O7:O34)</f>
        <v>0</v>
      </c>
      <c r="R35" s="70"/>
      <c r="S35" s="60"/>
    </row>
    <row r="36" spans="1:19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9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  <c r="N37" s="68"/>
      <c r="O37" s="68"/>
      <c r="P37" s="68"/>
    </row>
  </sheetData>
  <mergeCells count="1">
    <mergeCell ref="B2:C2"/>
  </mergeCells>
  <pageMargins left="0.5" right="0.45" top="0.5" bottom="0.5" header="0.3" footer="0.3"/>
  <pageSetup paperSize="10002" fitToHeight="10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37"/>
  <sheetViews>
    <sheetView zoomScaleNormal="100" workbookViewId="0">
      <selection activeCell="C7" sqref="C7"/>
    </sheetView>
  </sheetViews>
  <sheetFormatPr defaultColWidth="9.140625" defaultRowHeight="15" x14ac:dyDescent="0.25"/>
  <cols>
    <col min="1" max="1" width="7.85546875" style="20" customWidth="1"/>
    <col min="2" max="2" width="24" style="78" customWidth="1"/>
    <col min="3" max="3" width="14.5703125" style="79" bestFit="1" customWidth="1"/>
    <col min="4" max="4" width="3.5703125" style="78" customWidth="1"/>
    <col min="5" max="5" width="13.85546875" style="80" customWidth="1"/>
    <col min="6" max="6" width="3.5703125" style="78" customWidth="1"/>
    <col min="7" max="7" width="13.7109375" style="78" customWidth="1"/>
    <col min="8" max="8" width="3.5703125" style="80" customWidth="1"/>
    <col min="9" max="9" width="21.7109375" style="78" customWidth="1"/>
    <col min="10" max="10" width="5.7109375" style="78" customWidth="1"/>
    <col min="11" max="11" width="9.140625" style="78" customWidth="1"/>
    <col min="12" max="12" width="23.28515625" style="40" bestFit="1" customWidth="1"/>
    <col min="13" max="13" width="9.140625" style="78" customWidth="1"/>
    <col min="14" max="14" width="14.42578125" style="60" customWidth="1"/>
    <col min="15" max="15" width="11" style="60" bestFit="1" customWidth="1"/>
    <col min="16" max="16" width="11" style="60" customWidth="1"/>
    <col min="17" max="17" width="12.42578125" style="78" bestFit="1" customWidth="1"/>
    <col min="18" max="18" width="11.42578125" style="78" bestFit="1" customWidth="1"/>
    <col min="19" max="19" width="11.28515625" style="78" bestFit="1" customWidth="1"/>
    <col min="20" max="88" width="9.140625" style="78" customWidth="1"/>
    <col min="89" max="16384" width="9.140625" style="78"/>
  </cols>
  <sheetData>
    <row r="1" spans="1:19" ht="20.25" customHeight="1" x14ac:dyDescent="0.3">
      <c r="A1" s="18" t="str">
        <f>"Estimate "&amp;stock_name&amp;" Shares till Month of "&amp;TEXT(I6,"mmmm yyyy")&amp;" End"</f>
        <v>Estimate Great Wall Motor Shares till Month of July 2023 End</v>
      </c>
      <c r="L1" s="40">
        <f>MONTH(I6)</f>
        <v>7</v>
      </c>
    </row>
    <row r="2" spans="1:19" ht="20.25" customHeight="1" x14ac:dyDescent="0.3">
      <c r="A2" s="18" t="s">
        <v>73</v>
      </c>
      <c r="B2" s="113">
        <f ca="1">'2nd'!B2:C2</f>
        <v>44805.576643402776</v>
      </c>
      <c r="C2" s="114"/>
    </row>
    <row r="3" spans="1:19" ht="26.25" customHeight="1" x14ac:dyDescent="0.25"/>
    <row r="4" spans="1:19" s="83" customFormat="1" ht="27.75" customHeight="1" x14ac:dyDescent="0.25">
      <c r="A4" s="21" t="s">
        <v>20</v>
      </c>
      <c r="B4" s="83" t="s">
        <v>21</v>
      </c>
      <c r="C4" s="84" t="s">
        <v>22</v>
      </c>
      <c r="D4" s="85" t="s">
        <v>23</v>
      </c>
      <c r="E4" s="83" t="s">
        <v>33</v>
      </c>
      <c r="F4" s="85" t="s">
        <v>25</v>
      </c>
      <c r="G4" s="83" t="s">
        <v>34</v>
      </c>
      <c r="H4" s="85" t="s">
        <v>31</v>
      </c>
      <c r="I4" s="83" t="s">
        <v>35</v>
      </c>
      <c r="L4" s="41"/>
      <c r="N4" s="64"/>
      <c r="O4" s="64"/>
      <c r="P4" s="64"/>
    </row>
    <row r="5" spans="1:19" s="83" customFormat="1" ht="15.75" customHeight="1" x14ac:dyDescent="0.25">
      <c r="A5" s="21"/>
      <c r="C5" s="84"/>
      <c r="L5" s="41"/>
      <c r="N5" s="64"/>
      <c r="O5" s="64"/>
      <c r="P5" s="64"/>
    </row>
    <row r="6" spans="1:19" s="86" customFormat="1" ht="15.75" customHeight="1" x14ac:dyDescent="0.25">
      <c r="A6" s="24" t="s">
        <v>39</v>
      </c>
      <c r="C6" s="25"/>
      <c r="I6" s="87">
        <f>_11th</f>
        <v>45138</v>
      </c>
      <c r="K6" s="27"/>
      <c r="L6" s="42"/>
      <c r="N6" s="65"/>
      <c r="O6" s="65"/>
      <c r="P6" s="65"/>
    </row>
    <row r="7" spans="1:19" s="89" customFormat="1" ht="18" customHeight="1" x14ac:dyDescent="0.25">
      <c r="A7" s="28">
        <v>1</v>
      </c>
      <c r="B7" s="89" t="s">
        <v>41</v>
      </c>
      <c r="C7" s="29">
        <f ca="1">'10th'!I7</f>
        <v>0</v>
      </c>
      <c r="D7" s="85" t="s">
        <v>23</v>
      </c>
      <c r="E7" s="30">
        <f ca="1">SUMIF(INDIRECT($K7&amp;"!AC:AC"),$L7&amp;"ACCU",INDIRECT($K7&amp;"!AD:AD"))</f>
        <v>0</v>
      </c>
      <c r="F7" s="85" t="s">
        <v>25</v>
      </c>
      <c r="G7" s="30">
        <f ca="1">SUMIF(INDIRECT($K7&amp;"!AC:AC"),$L7&amp;"DECU",INDIRECT($K7&amp;"!AD:AD"))</f>
        <v>0</v>
      </c>
      <c r="H7" s="85" t="s">
        <v>31</v>
      </c>
      <c r="I7" s="29">
        <f ca="1">C7+E7+G7</f>
        <v>0</v>
      </c>
      <c r="K7" s="89" t="s">
        <v>43</v>
      </c>
      <c r="L7" s="51">
        <f>L$1</f>
        <v>7</v>
      </c>
      <c r="N7" s="66">
        <f ca="1">LOOKUP(2,1/(INDIRECT("'"&amp;$K7&amp;"'!T:T")&lt;&gt;""),INDIRECT("'"&amp;$K7&amp;"'!T:T"))</f>
        <v>0</v>
      </c>
      <c r="O7" s="66">
        <f ca="1">I7-N7</f>
        <v>0</v>
      </c>
      <c r="P7" s="66"/>
      <c r="Q7" s="67"/>
    </row>
    <row r="8" spans="1:19" s="89" customFormat="1" ht="18" customHeight="1" x14ac:dyDescent="0.25">
      <c r="A8" s="28">
        <v>2</v>
      </c>
      <c r="B8" s="89" t="s">
        <v>44</v>
      </c>
      <c r="C8" s="29">
        <f ca="1">'10th'!I8</f>
        <v>0</v>
      </c>
      <c r="D8" s="85" t="s">
        <v>23</v>
      </c>
      <c r="E8" s="30">
        <f ca="1">SUMIF(INDIRECT($K8&amp;"!AC:AC"),$L8&amp;"ACCU",INDIRECT($K8&amp;"!AD:AD"))</f>
        <v>0</v>
      </c>
      <c r="F8" s="85" t="s">
        <v>25</v>
      </c>
      <c r="G8" s="30">
        <f ca="1">SUMIF(INDIRECT($K8&amp;"!AC:AC"),$L8&amp;"DECU",INDIRECT($K8&amp;"!AD:AD"))</f>
        <v>0</v>
      </c>
      <c r="H8" s="85" t="s">
        <v>31</v>
      </c>
      <c r="I8" s="29">
        <f ca="1">C8+E8+G8</f>
        <v>0</v>
      </c>
      <c r="K8" s="89" t="s">
        <v>45</v>
      </c>
      <c r="L8" s="51">
        <f>L$1</f>
        <v>7</v>
      </c>
      <c r="N8" s="66">
        <f ca="1">LOOKUP(2,1/(INDIRECT("'"&amp;$K8&amp;"'!T:T")&lt;&gt;""),INDIRECT("'"&amp;$K8&amp;"'!T:T"))</f>
        <v>0</v>
      </c>
      <c r="O8" s="66">
        <f ca="1">I8-N8</f>
        <v>0</v>
      </c>
      <c r="P8" s="66"/>
      <c r="Q8" s="67"/>
    </row>
    <row r="9" spans="1:19" s="89" customFormat="1" ht="18" customHeight="1" x14ac:dyDescent="0.25">
      <c r="A9" s="28">
        <v>3</v>
      </c>
      <c r="B9" s="89" t="s">
        <v>46</v>
      </c>
      <c r="C9" s="29">
        <f ca="1">'10th'!I9</f>
        <v>0</v>
      </c>
      <c r="D9" s="85" t="s">
        <v>23</v>
      </c>
      <c r="E9" s="30">
        <f ca="1">SUMIF(INDIRECT($K9&amp;"!AC:AC"),$L9&amp;"ACCU",INDIRECT($K9&amp;"!AD:AD"))</f>
        <v>0</v>
      </c>
      <c r="F9" s="85" t="s">
        <v>25</v>
      </c>
      <c r="G9" s="30">
        <f ca="1">SUMIF(INDIRECT($K9&amp;"!AC:AC"),$L9&amp;"DECU",INDIRECT($K9&amp;"!AD:AD"))</f>
        <v>0</v>
      </c>
      <c r="H9" s="85" t="s">
        <v>31</v>
      </c>
      <c r="I9" s="29">
        <f ca="1">C9+E9+G9</f>
        <v>0</v>
      </c>
      <c r="K9" s="89" t="s">
        <v>47</v>
      </c>
      <c r="L9" s="51">
        <f>L$1</f>
        <v>7</v>
      </c>
      <c r="N9" s="66">
        <f ca="1">LOOKUP(2,1/(INDIRECT("'"&amp;$K9&amp;"'!T:T")&lt;&gt;""),INDIRECT("'"&amp;$K9&amp;"'!T:T"))</f>
        <v>0</v>
      </c>
      <c r="O9" s="66">
        <f ca="1">I9-N9</f>
        <v>0</v>
      </c>
      <c r="P9" s="66"/>
      <c r="Q9" s="67"/>
      <c r="S9" s="89" t="s">
        <v>47</v>
      </c>
    </row>
    <row r="10" spans="1:19" s="89" customFormat="1" ht="18" hidden="1" customHeight="1" x14ac:dyDescent="0.25">
      <c r="A10" s="28">
        <v>4</v>
      </c>
      <c r="B10" s="89" t="s">
        <v>48</v>
      </c>
      <c r="C10" s="29">
        <f ca="1">'10th'!I10</f>
        <v>0</v>
      </c>
      <c r="D10" s="85" t="s">
        <v>23</v>
      </c>
      <c r="E10" s="30">
        <f ca="1">SUMIF(INDIRECT($K10&amp;"!AC:AC"),$L10&amp;"ACCU",INDIRECT($K10&amp;"!AD:AD"))</f>
        <v>0</v>
      </c>
      <c r="F10" s="85" t="s">
        <v>25</v>
      </c>
      <c r="G10" s="30">
        <f ca="1">SUMIF(INDIRECT($K10&amp;"!AC:AC"),$L10&amp;"DECU",INDIRECT($K10&amp;"!AD:AD"))</f>
        <v>0</v>
      </c>
      <c r="H10" s="85" t="s">
        <v>31</v>
      </c>
      <c r="I10" s="29">
        <f ca="1">C10+E10+G10</f>
        <v>0</v>
      </c>
      <c r="K10" s="89" t="s">
        <v>49</v>
      </c>
      <c r="L10" s="51">
        <f>L$1</f>
        <v>7</v>
      </c>
      <c r="N10" s="66">
        <f ca="1">LOOKUP(2,1/(INDIRECT("'"&amp;$K10&amp;"'!T:T")&lt;&gt;""),INDIRECT("'"&amp;$K10&amp;"'!T:T"))</f>
        <v>0</v>
      </c>
      <c r="O10" s="66">
        <f ca="1">I10-N10</f>
        <v>0</v>
      </c>
      <c r="P10" s="66"/>
      <c r="Q10" s="67"/>
    </row>
    <row r="11" spans="1:19" s="89" customFormat="1" ht="18" hidden="1" customHeight="1" x14ac:dyDescent="0.25">
      <c r="A11" s="28">
        <v>5</v>
      </c>
      <c r="B11" s="89" t="s">
        <v>50</v>
      </c>
      <c r="C11" s="29">
        <f ca="1">'10th'!I11</f>
        <v>0</v>
      </c>
      <c r="D11" s="85" t="s">
        <v>23</v>
      </c>
      <c r="E11" s="30">
        <f ca="1">SUMIF(INDIRECT($K11&amp;"!AC:AC"),$L11&amp;"ACCU",INDIRECT($K11&amp;"!AD:AD"))</f>
        <v>0</v>
      </c>
      <c r="F11" s="85" t="s">
        <v>25</v>
      </c>
      <c r="G11" s="30">
        <f ca="1">SUMIF(INDIRECT($K11&amp;"!AC:AC"),$L11&amp;"DECU",INDIRECT($K11&amp;"!AD:AD"))</f>
        <v>0</v>
      </c>
      <c r="H11" s="85" t="s">
        <v>31</v>
      </c>
      <c r="I11" s="29">
        <f ca="1">C11+E11+G11</f>
        <v>0</v>
      </c>
      <c r="K11" s="89" t="s">
        <v>51</v>
      </c>
      <c r="L11" s="51">
        <f>L$1</f>
        <v>7</v>
      </c>
      <c r="N11" s="66">
        <f ca="1">LOOKUP(2,1/(INDIRECT("'"&amp;$K11&amp;"'!T:T")&lt;&gt;""),INDIRECT("'"&amp;$K11&amp;"'!T:T"))</f>
        <v>0</v>
      </c>
      <c r="O11" s="66">
        <f ca="1">I11-N11</f>
        <v>0</v>
      </c>
      <c r="P11" s="66"/>
      <c r="Q11" s="67"/>
      <c r="S11" s="89" t="s">
        <v>51</v>
      </c>
    </row>
    <row r="12" spans="1:19" s="92" customFormat="1" ht="14.25" customHeight="1" x14ac:dyDescent="0.25">
      <c r="A12" s="20"/>
      <c r="B12" s="92" t="s">
        <v>52</v>
      </c>
      <c r="C12" s="93">
        <f ca="1">SUM(C7:C11)</f>
        <v>0</v>
      </c>
      <c r="E12" s="93">
        <f ca="1">SUM(E7:E11)</f>
        <v>0</v>
      </c>
      <c r="G12" s="93">
        <f ca="1">SUM(G7:G11)</f>
        <v>0</v>
      </c>
      <c r="H12" s="94"/>
      <c r="I12" s="93">
        <f ca="1">SUM(I7:I11)</f>
        <v>0</v>
      </c>
      <c r="L12" s="34"/>
      <c r="N12" s="68"/>
      <c r="O12" s="68"/>
      <c r="P12" s="68"/>
    </row>
    <row r="13" spans="1:19" s="96" customFormat="1" ht="15.75" customHeight="1" x14ac:dyDescent="0.25">
      <c r="A13" s="36"/>
      <c r="C13" s="97"/>
      <c r="E13" s="98"/>
      <c r="H13" s="98"/>
      <c r="I13" s="99"/>
      <c r="L13" s="37"/>
      <c r="N13" s="69"/>
      <c r="O13" s="69"/>
      <c r="P13" s="69"/>
    </row>
    <row r="14" spans="1:19" s="96" customFormat="1" ht="15.75" customHeight="1" x14ac:dyDescent="0.25">
      <c r="A14" s="36"/>
      <c r="C14" s="97"/>
      <c r="E14" s="98"/>
      <c r="H14" s="98"/>
      <c r="I14" s="99"/>
      <c r="L14" s="37"/>
      <c r="N14" s="69"/>
      <c r="O14" s="69"/>
      <c r="P14" s="69"/>
    </row>
    <row r="15" spans="1:19" s="89" customFormat="1" ht="18" customHeight="1" x14ac:dyDescent="0.25">
      <c r="A15" s="38" t="s">
        <v>53</v>
      </c>
      <c r="C15" s="29">
        <f ca="1">'10th'!I15</f>
        <v>0</v>
      </c>
      <c r="D15" s="85" t="s">
        <v>23</v>
      </c>
      <c r="E15" s="30">
        <f ca="1">SUMIF(INDIRECT($K15&amp;"!AC:AC"),$L15&amp;"ACCU",INDIRECT($K15&amp;"!AD:AD"))</f>
        <v>0</v>
      </c>
      <c r="F15" s="85" t="s">
        <v>25</v>
      </c>
      <c r="G15" s="30">
        <f ca="1">SUMIF(INDIRECT($K15&amp;"!AC:AC"),$L15&amp;"DECU",INDIRECT($K15&amp;"!AD:AD"))</f>
        <v>0</v>
      </c>
      <c r="H15" s="85" t="s">
        <v>31</v>
      </c>
      <c r="I15" s="29">
        <f ca="1">C15+E15+G15</f>
        <v>0</v>
      </c>
      <c r="K15" s="89" t="s">
        <v>54</v>
      </c>
      <c r="L15" s="51">
        <f>L$1</f>
        <v>7</v>
      </c>
      <c r="N15" s="66">
        <f ca="1">LOOKUP(2,1/(INDIRECT("'"&amp;$K15&amp;"'!T:T")&lt;&gt;""),INDIRECT("'"&amp;$K15&amp;"'!T:T"))</f>
        <v>0</v>
      </c>
      <c r="O15" s="66">
        <f ca="1">I15-N15</f>
        <v>0</v>
      </c>
      <c r="P15" s="66"/>
      <c r="Q15" s="67"/>
    </row>
    <row r="16" spans="1:19" s="96" customFormat="1" ht="15.75" customHeight="1" x14ac:dyDescent="0.25">
      <c r="A16" s="36"/>
      <c r="C16" s="97"/>
      <c r="E16" s="98"/>
      <c r="H16" s="98"/>
      <c r="I16" s="99"/>
      <c r="L16" s="37"/>
      <c r="N16" s="69"/>
      <c r="O16" s="69"/>
      <c r="P16" s="69"/>
    </row>
    <row r="17" spans="1:17" s="96" customFormat="1" ht="15.75" customHeight="1" x14ac:dyDescent="0.25">
      <c r="A17" s="36"/>
      <c r="C17" s="97"/>
      <c r="E17" s="98"/>
      <c r="H17" s="98"/>
      <c r="I17" s="99"/>
      <c r="L17" s="37"/>
      <c r="N17" s="69"/>
      <c r="O17" s="69"/>
      <c r="P17" s="69"/>
    </row>
    <row r="18" spans="1:17" s="96" customFormat="1" ht="15.75" customHeight="1" x14ac:dyDescent="0.25">
      <c r="A18" s="24" t="s">
        <v>56</v>
      </c>
      <c r="C18" s="97"/>
      <c r="E18" s="98"/>
      <c r="H18" s="98"/>
      <c r="I18" s="99"/>
      <c r="L18" s="37"/>
      <c r="N18" s="69"/>
      <c r="O18" s="69"/>
      <c r="P18" s="69"/>
    </row>
    <row r="19" spans="1:17" s="89" customFormat="1" ht="18" customHeight="1" x14ac:dyDescent="0.25">
      <c r="A19" s="28">
        <v>1</v>
      </c>
      <c r="B19" s="89" t="s">
        <v>57</v>
      </c>
      <c r="C19" s="29">
        <f ca="1">'10th'!I19</f>
        <v>0</v>
      </c>
      <c r="D19" s="85" t="s">
        <v>23</v>
      </c>
      <c r="E19" s="30">
        <f ca="1">SUMIF(INDIRECT($K19&amp;"!AC:AC"),$L19&amp;"ACCU",INDIRECT($K19&amp;"!AD:AD"))</f>
        <v>0</v>
      </c>
      <c r="F19" s="85" t="s">
        <v>25</v>
      </c>
      <c r="G19" s="30">
        <f ca="1">SUMIF(INDIRECT($K19&amp;"!AC:AC"),$L19&amp;"DECU",INDIRECT($K19&amp;"!AD:AD"))</f>
        <v>0</v>
      </c>
      <c r="H19" s="85" t="s">
        <v>31</v>
      </c>
      <c r="I19" s="63">
        <f ca="1">C19+E19+G19</f>
        <v>0</v>
      </c>
      <c r="K19" s="89" t="s">
        <v>58</v>
      </c>
      <c r="L19" s="51">
        <f>L$1</f>
        <v>7</v>
      </c>
      <c r="N19" s="66">
        <f ca="1">LOOKUP(2,1/(INDIRECT("'"&amp;$K19&amp;"'!T:T")&lt;&gt;""),INDIRECT("'"&amp;$K19&amp;"'!T:T"))</f>
        <v>0</v>
      </c>
      <c r="O19" s="66">
        <f ca="1">I19-N19</f>
        <v>0</v>
      </c>
      <c r="P19" s="66"/>
      <c r="Q19" s="67"/>
    </row>
    <row r="20" spans="1:17" s="89" customFormat="1" ht="18" customHeight="1" x14ac:dyDescent="0.25">
      <c r="A20" s="28">
        <v>2</v>
      </c>
      <c r="B20" s="89" t="s">
        <v>59</v>
      </c>
      <c r="C20" s="29">
        <f ca="1">'3rd'!I20</f>
        <v>0</v>
      </c>
      <c r="D20" s="85" t="s">
        <v>23</v>
      </c>
      <c r="E20" s="30">
        <f ca="1">SUMIF(INDIRECT($K20&amp;"!AC:AC"),$L20&amp;"ACCU",INDIRECT($K20&amp;"!AD:AD"))</f>
        <v>0</v>
      </c>
      <c r="F20" s="85" t="s">
        <v>25</v>
      </c>
      <c r="G20" s="30">
        <f ca="1">SUMIF(INDIRECT($K20&amp;"!AC:AC"),$L20&amp;"DECU",INDIRECT($K20&amp;"!AD:AD"))</f>
        <v>0</v>
      </c>
      <c r="H20" s="85" t="s">
        <v>31</v>
      </c>
      <c r="I20" s="29">
        <f ca="1">C20+E20+G20</f>
        <v>0</v>
      </c>
      <c r="K20" s="89" t="s">
        <v>60</v>
      </c>
      <c r="L20" s="51">
        <f>L$1</f>
        <v>7</v>
      </c>
      <c r="N20" s="66"/>
      <c r="O20" s="66"/>
      <c r="P20" s="66"/>
    </row>
    <row r="21" spans="1:17" s="92" customFormat="1" ht="14.25" customHeight="1" x14ac:dyDescent="0.2">
      <c r="A21" s="20"/>
      <c r="B21" s="92" t="s">
        <v>52</v>
      </c>
      <c r="C21" s="100">
        <f ca="1">SUM(C19:C20)</f>
        <v>0</v>
      </c>
      <c r="E21" s="100">
        <f ca="1">SUM(E19:E20)</f>
        <v>0</v>
      </c>
      <c r="G21" s="100">
        <f ca="1">SUM(G19:G20)</f>
        <v>0</v>
      </c>
      <c r="H21" s="94"/>
      <c r="I21" s="100">
        <f ca="1">SUM(I19:I20)</f>
        <v>0</v>
      </c>
      <c r="L21" s="34"/>
      <c r="N21" s="68"/>
      <c r="O21" s="68"/>
      <c r="P21" s="68"/>
    </row>
    <row r="22" spans="1:17" s="96" customFormat="1" ht="15.75" customHeight="1" x14ac:dyDescent="0.25">
      <c r="A22" s="36"/>
      <c r="C22" s="97"/>
      <c r="E22" s="98"/>
      <c r="H22" s="98"/>
      <c r="I22" s="99"/>
      <c r="L22" s="37"/>
      <c r="N22" s="69"/>
      <c r="O22" s="69"/>
      <c r="P22" s="69"/>
    </row>
    <row r="23" spans="1:17" s="96" customFormat="1" ht="15.75" customHeight="1" x14ac:dyDescent="0.25">
      <c r="A23" s="36"/>
      <c r="C23" s="97"/>
      <c r="E23" s="98"/>
      <c r="H23" s="98"/>
      <c r="I23" s="99"/>
      <c r="L23" s="37"/>
      <c r="N23" s="69"/>
      <c r="O23" s="69"/>
      <c r="P23" s="69"/>
    </row>
    <row r="24" spans="1:17" s="89" customFormat="1" ht="18" hidden="1" customHeight="1" x14ac:dyDescent="0.25">
      <c r="A24" s="38" t="s">
        <v>61</v>
      </c>
      <c r="C24" s="29">
        <f ca="1">'10th'!I24</f>
        <v>0</v>
      </c>
      <c r="D24" s="85" t="s">
        <v>23</v>
      </c>
      <c r="E24" s="30">
        <f ca="1">SUMIF(INDIRECT($K24&amp;"!AC:AC"),$L24&amp;"ACCU",INDIRECT($K24&amp;"!AD:AD"))</f>
        <v>0</v>
      </c>
      <c r="F24" s="85" t="s">
        <v>25</v>
      </c>
      <c r="G24" s="30">
        <f ca="1">SUMIF(INDIRECT($K24&amp;"!AC:AC"),$L24&amp;"DECU",INDIRECT($K24&amp;"!AD:AD"))</f>
        <v>0</v>
      </c>
      <c r="H24" s="85" t="s">
        <v>31</v>
      </c>
      <c r="I24" s="29">
        <f ca="1">C24+E24+G24</f>
        <v>0</v>
      </c>
      <c r="K24" s="89" t="s">
        <v>62</v>
      </c>
      <c r="L24" s="51">
        <f>L$1</f>
        <v>7</v>
      </c>
      <c r="N24" s="66">
        <f ca="1">LOOKUP(2,1/(INDIRECT("'"&amp;$K24&amp;"'!T:T")&lt;&gt;""),INDIRECT("'"&amp;$K24&amp;"'!T:T"))</f>
        <v>0</v>
      </c>
      <c r="O24" s="66">
        <f ca="1">I24-N24</f>
        <v>0</v>
      </c>
      <c r="P24" s="66"/>
      <c r="Q24" s="67"/>
    </row>
    <row r="25" spans="1:17" s="96" customFormat="1" ht="15.75" hidden="1" customHeight="1" x14ac:dyDescent="0.25">
      <c r="A25" s="36"/>
      <c r="C25" s="97"/>
      <c r="E25" s="98"/>
      <c r="H25" s="98"/>
      <c r="I25" s="99"/>
      <c r="L25" s="37"/>
      <c r="N25" s="69"/>
      <c r="O25" s="69"/>
      <c r="P25" s="69"/>
    </row>
    <row r="26" spans="1:17" s="96" customFormat="1" ht="15.75" hidden="1" customHeight="1" x14ac:dyDescent="0.25">
      <c r="A26" s="36"/>
      <c r="C26" s="97"/>
      <c r="E26" s="98"/>
      <c r="H26" s="98"/>
      <c r="I26" s="99"/>
      <c r="L26" s="37"/>
      <c r="N26" s="69"/>
      <c r="O26" s="69"/>
      <c r="P26" s="69"/>
    </row>
    <row r="27" spans="1:17" s="89" customFormat="1" ht="18" customHeight="1" x14ac:dyDescent="0.25">
      <c r="A27" s="38" t="s">
        <v>102</v>
      </c>
      <c r="C27" s="29">
        <f ca="1">'10th'!I27</f>
        <v>0</v>
      </c>
      <c r="D27" s="85" t="s">
        <v>23</v>
      </c>
      <c r="E27" s="30">
        <f ca="1">SUMIF(INDIRECT($K27&amp;"!AC:AC"),$L27&amp;"ACCU",INDIRECT($K27&amp;"!AD:AD"))</f>
        <v>0</v>
      </c>
      <c r="F27" s="85" t="s">
        <v>25</v>
      </c>
      <c r="G27" s="30">
        <f ca="1">SUMIF(INDIRECT($K27&amp;"!AC:AC"),$L27&amp;"DECU",INDIRECT($K27&amp;"!AD:AD"))</f>
        <v>0</v>
      </c>
      <c r="H27" s="85" t="s">
        <v>31</v>
      </c>
      <c r="I27" s="29">
        <f ca="1">C27+E27+G27</f>
        <v>0</v>
      </c>
      <c r="K27" s="89" t="s">
        <v>64</v>
      </c>
      <c r="L27" s="51">
        <f>L$1</f>
        <v>7</v>
      </c>
      <c r="N27" s="66">
        <f ca="1">LOOKUP(2,1/(INDIRECT("'"&amp;$K27&amp;"'!T:T")&lt;&gt;""),INDIRECT("'"&amp;$K27&amp;"'!T:T"))</f>
        <v>0</v>
      </c>
      <c r="O27" s="66">
        <f ca="1">I27-N27</f>
        <v>0</v>
      </c>
      <c r="P27" s="66"/>
      <c r="Q27" s="67"/>
    </row>
    <row r="28" spans="1:17" s="89" customFormat="1" ht="18" customHeight="1" x14ac:dyDescent="0.25">
      <c r="A28" s="38"/>
      <c r="C28" s="90"/>
      <c r="D28" s="85"/>
      <c r="E28" s="85"/>
      <c r="F28" s="85"/>
      <c r="G28" s="85"/>
      <c r="H28" s="85"/>
      <c r="I28" s="101"/>
      <c r="L28" s="51"/>
      <c r="N28" s="66"/>
      <c r="O28" s="66"/>
      <c r="P28" s="66"/>
    </row>
    <row r="29" spans="1:17" s="89" customFormat="1" ht="18" customHeight="1" x14ac:dyDescent="0.25">
      <c r="A29" s="38"/>
      <c r="C29" s="90"/>
      <c r="D29" s="85"/>
      <c r="E29" s="85"/>
      <c r="F29" s="85"/>
      <c r="G29" s="85"/>
      <c r="H29" s="85"/>
      <c r="I29" s="101"/>
      <c r="L29" s="51"/>
      <c r="N29" s="66"/>
      <c r="O29" s="66"/>
      <c r="P29" s="66"/>
    </row>
    <row r="30" spans="1:17" s="96" customFormat="1" ht="15.75" customHeight="1" x14ac:dyDescent="0.25">
      <c r="A30" s="24" t="s">
        <v>103</v>
      </c>
      <c r="C30" s="97"/>
      <c r="E30" s="98"/>
      <c r="H30" s="98"/>
      <c r="I30" s="99"/>
      <c r="L30" s="37"/>
      <c r="N30" s="69"/>
      <c r="O30" s="69"/>
      <c r="P30" s="69"/>
    </row>
    <row r="31" spans="1:17" s="89" customFormat="1" ht="18" customHeight="1" x14ac:dyDescent="0.25">
      <c r="A31" s="28">
        <v>1</v>
      </c>
      <c r="B31" s="89" t="s">
        <v>66</v>
      </c>
      <c r="C31" s="29">
        <f ca="1">'10th'!I31</f>
        <v>0</v>
      </c>
      <c r="D31" s="85" t="s">
        <v>23</v>
      </c>
      <c r="E31" s="30">
        <f ca="1">SUMIF(INDIRECT($K31&amp;"!AC:AC"),$L31&amp;"ACCU",INDIRECT($K31&amp;"!AD:AD"))</f>
        <v>0</v>
      </c>
      <c r="F31" s="85" t="s">
        <v>25</v>
      </c>
      <c r="G31" s="30">
        <f ca="1">SUMIF(INDIRECT($K31&amp;"!AC:AC"),$L31&amp;"DECU",INDIRECT($K31&amp;"!AD:AD"))</f>
        <v>0</v>
      </c>
      <c r="H31" s="85" t="s">
        <v>31</v>
      </c>
      <c r="I31" s="29">
        <f ca="1">C31+E31+G31</f>
        <v>0</v>
      </c>
      <c r="K31" s="89" t="s">
        <v>67</v>
      </c>
      <c r="L31" s="51">
        <f>L$1</f>
        <v>7</v>
      </c>
      <c r="N31" s="66">
        <f ca="1">LOOKUP(2,1/(INDIRECT("'"&amp;$K31&amp;"'!T:T")&lt;&gt;""),INDIRECT("'"&amp;$K31&amp;"'!T:T"))</f>
        <v>0</v>
      </c>
      <c r="O31" s="66">
        <f ca="1">I31-N31</f>
        <v>0</v>
      </c>
      <c r="P31" s="66"/>
      <c r="Q31" s="67"/>
    </row>
    <row r="32" spans="1:17" s="89" customFormat="1" ht="18" customHeight="1" x14ac:dyDescent="0.25">
      <c r="A32" s="28">
        <v>2</v>
      </c>
      <c r="B32" s="89" t="s">
        <v>68</v>
      </c>
      <c r="C32" s="29">
        <f ca="1">'10th'!I32</f>
        <v>0</v>
      </c>
      <c r="D32" s="85" t="s">
        <v>23</v>
      </c>
      <c r="E32" s="30">
        <f ca="1">SUMIF(INDIRECT($K32&amp;"!AC:AC"),$L32&amp;"ACCU",INDIRECT($K32&amp;"!AD:AD"))</f>
        <v>0</v>
      </c>
      <c r="F32" s="85" t="s">
        <v>25</v>
      </c>
      <c r="G32" s="30">
        <f ca="1">SUMIF(INDIRECT($K32&amp;"!AC:AC"),$L32&amp;"DECU",INDIRECT($K32&amp;"!AD:AD"))</f>
        <v>0</v>
      </c>
      <c r="H32" s="85" t="s">
        <v>31</v>
      </c>
      <c r="I32" s="29">
        <f ca="1">C32+E32+G32</f>
        <v>0</v>
      </c>
      <c r="K32" s="89" t="s">
        <v>69</v>
      </c>
      <c r="L32" s="51">
        <f>L$1</f>
        <v>7</v>
      </c>
      <c r="N32" s="66">
        <f ca="1">LOOKUP(2,1/(INDIRECT("'"&amp;$K32&amp;"'!T:T")&lt;&gt;""),INDIRECT("'"&amp;$K32&amp;"'!T:T"))</f>
        <v>0</v>
      </c>
      <c r="O32" s="66">
        <f ca="1">I32-N32</f>
        <v>0</v>
      </c>
      <c r="P32" s="66"/>
      <c r="Q32" s="67"/>
    </row>
    <row r="33" spans="1:19" s="89" customFormat="1" ht="18" customHeight="1" x14ac:dyDescent="0.25">
      <c r="A33" s="28">
        <v>3</v>
      </c>
      <c r="B33" s="89" t="s">
        <v>70</v>
      </c>
      <c r="C33" s="29">
        <f ca="1">'10th'!I33</f>
        <v>0</v>
      </c>
      <c r="D33" s="85" t="s">
        <v>23</v>
      </c>
      <c r="E33" s="30">
        <f ca="1">SUMIF(INDIRECT($K33&amp;"!AC:AC"),$L33&amp;"ACCU",INDIRECT($K33&amp;"!AD:AD"))</f>
        <v>0</v>
      </c>
      <c r="F33" s="85" t="s">
        <v>25</v>
      </c>
      <c r="G33" s="30">
        <f ca="1">SUMIF(INDIRECT($K33&amp;"!AC:AC"),$L33&amp;"DECU",INDIRECT($K33&amp;"!AD:AD"))</f>
        <v>0</v>
      </c>
      <c r="H33" s="85" t="s">
        <v>31</v>
      </c>
      <c r="I33" s="29">
        <f ca="1">C33+E33+G33</f>
        <v>0</v>
      </c>
      <c r="K33" s="89" t="s">
        <v>71</v>
      </c>
      <c r="L33" s="51">
        <f>L$1</f>
        <v>7</v>
      </c>
      <c r="N33" s="66">
        <f ca="1">LOOKUP(2,1/(INDIRECT("'"&amp;$K33&amp;"'!T:T")&lt;&gt;""),INDIRECT("'"&amp;$K33&amp;"'!T:T"))</f>
        <v>0</v>
      </c>
      <c r="O33" s="66">
        <f ca="1">I33-N33</f>
        <v>0</v>
      </c>
      <c r="P33" s="66"/>
      <c r="Q33" s="67"/>
    </row>
    <row r="34" spans="1:19" s="92" customFormat="1" ht="15.75" customHeight="1" x14ac:dyDescent="0.25">
      <c r="A34" s="20"/>
      <c r="B34" s="92" t="s">
        <v>52</v>
      </c>
      <c r="C34" s="93">
        <f ca="1">SUM(C31:C33)</f>
        <v>0</v>
      </c>
      <c r="E34" s="93">
        <f ca="1">SUM(E31:E33)</f>
        <v>0</v>
      </c>
      <c r="G34" s="93">
        <f ca="1">SUM(G31:G33)</f>
        <v>0</v>
      </c>
      <c r="H34" s="94"/>
      <c r="I34" s="93">
        <f ca="1">SUM(I31:I33)</f>
        <v>0</v>
      </c>
      <c r="L34" s="34"/>
      <c r="N34" s="68"/>
      <c r="O34" s="68"/>
      <c r="P34" s="68"/>
    </row>
    <row r="35" spans="1:19" ht="15.75" customHeight="1" x14ac:dyDescent="0.25">
      <c r="C35" s="97"/>
      <c r="E35" s="97"/>
      <c r="G35" s="97"/>
      <c r="I35" s="97"/>
      <c r="L35" s="19"/>
      <c r="O35" s="60">
        <f ca="1">SUM(O7:O34)</f>
        <v>0</v>
      </c>
      <c r="R35" s="70"/>
      <c r="S35" s="60"/>
    </row>
    <row r="36" spans="1:19" ht="15.75" customHeight="1" x14ac:dyDescent="0.25">
      <c r="B36" s="96"/>
      <c r="C36" s="97"/>
      <c r="D36" s="96"/>
      <c r="E36" s="97"/>
      <c r="F36" s="96"/>
      <c r="G36" s="97"/>
      <c r="I36" s="97"/>
      <c r="L36" s="19"/>
    </row>
    <row r="37" spans="1:19" s="92" customFormat="1" ht="15.75" customHeight="1" x14ac:dyDescent="0.25">
      <c r="A37" s="20"/>
      <c r="B37" s="104" t="s">
        <v>72</v>
      </c>
      <c r="C37" s="93">
        <f ca="1">SUM(C12,C15,C21,C27,C34,C24)</f>
        <v>0</v>
      </c>
      <c r="D37" s="85" t="s">
        <v>23</v>
      </c>
      <c r="E37" s="93">
        <f ca="1">SUM(E12,E15,E21,E27,E34,E24)</f>
        <v>0</v>
      </c>
      <c r="F37" s="85" t="s">
        <v>25</v>
      </c>
      <c r="G37" s="93">
        <f ca="1">SUM(G12,G15,G21,G27,G34,G24)</f>
        <v>0</v>
      </c>
      <c r="H37" s="85" t="s">
        <v>31</v>
      </c>
      <c r="I37" s="93">
        <f ca="1">SUM(I12,I15,I21,I27,I34,I24)</f>
        <v>0</v>
      </c>
      <c r="L37" s="34"/>
      <c r="N37" s="68"/>
      <c r="O37" s="68"/>
      <c r="P37" s="68"/>
    </row>
  </sheetData>
  <mergeCells count="1">
    <mergeCell ref="B2:C2"/>
  </mergeCells>
  <pageMargins left="0.5" right="0.45" top="0.5" bottom="0.5" header="0.3" footer="0.3"/>
  <pageSetup paperSize="10002" fitToHeight="10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11"/>
  <sheetViews>
    <sheetView zoomScaleNormal="100" workbookViewId="0">
      <selection activeCell="Q19" sqref="Q1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C2:G2"/>
    <mergeCell ref="Q7:R7"/>
    <mergeCell ref="T7:U7"/>
    <mergeCell ref="G8:G9"/>
    <mergeCell ref="H8:H9"/>
    <mergeCell ref="I8:I9"/>
    <mergeCell ref="J8:J9"/>
    <mergeCell ref="L8:L9"/>
    <mergeCell ref="M8:N8"/>
    <mergeCell ref="B4:E5"/>
    <mergeCell ref="R10:R11"/>
    <mergeCell ref="O8:O9"/>
    <mergeCell ref="P8:P9"/>
    <mergeCell ref="Q8:R8"/>
    <mergeCell ref="T8:U8"/>
    <mergeCell ref="T11:U11"/>
  </mergeCells>
  <pageMargins left="0.2" right="0.2" top="0.25" bottom="0.25" header="0.3" footer="0.3"/>
  <pageSetup paperSize="10002" fitToHeight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11"/>
  <sheetViews>
    <sheetView topLeftCell="A4"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Y11"/>
  <sheetViews>
    <sheetView topLeftCell="A4"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Y11"/>
  <sheetViews>
    <sheetView zoomScaleNormal="100" workbookViewId="0">
      <selection activeCell="A9" sqref="A9"/>
    </sheetView>
  </sheetViews>
  <sheetFormatPr defaultRowHeight="15.75" x14ac:dyDescent="0.25"/>
  <cols>
    <col min="1" max="1" width="13.5703125" style="73" customWidth="1"/>
    <col min="2" max="2" width="12.7109375" style="72" customWidth="1"/>
    <col min="3" max="4" width="9.7109375" style="72" bestFit="1" customWidth="1"/>
    <col min="5" max="5" width="8" style="72" customWidth="1"/>
    <col min="6" max="6" width="1.5703125" style="73" customWidth="1"/>
    <col min="7" max="7" width="12.42578125" style="74" customWidth="1"/>
    <col min="8" max="9" width="6" style="73" customWidth="1"/>
    <col min="10" max="10" width="2.5703125" style="73" customWidth="1"/>
    <col min="11" max="11" width="10" style="73" hidden="1" customWidth="1"/>
    <col min="12" max="12" width="6.140625" style="73" customWidth="1"/>
    <col min="13" max="14" width="8.7109375" style="74" customWidth="1"/>
    <col min="15" max="15" width="2.7109375" style="73" customWidth="1"/>
    <col min="16" max="16" width="5.7109375" style="73" customWidth="1"/>
    <col min="17" max="18" width="10" style="74" customWidth="1"/>
    <col min="19" max="19" width="1.85546875" style="73" customWidth="1"/>
    <col min="20" max="21" width="9" style="74" customWidth="1"/>
    <col min="22" max="22" width="1.85546875" style="73" hidden="1" customWidth="1"/>
    <col min="23" max="23" width="9.140625" style="73" hidden="1" customWidth="1"/>
    <col min="24" max="24" width="16.140625" style="73" hidden="1" customWidth="1"/>
    <col min="25" max="25" width="2.7109375" style="75" customWidth="1"/>
    <col min="26" max="26" width="4.140625" customWidth="1"/>
  </cols>
  <sheetData>
    <row r="1" spans="1:25" ht="20.25" customHeight="1" x14ac:dyDescent="0.25">
      <c r="A1" s="1" t="s">
        <v>77</v>
      </c>
      <c r="B1" s="2"/>
      <c r="C1" s="2"/>
    </row>
    <row r="2" spans="1:25" ht="20.25" customHeight="1" x14ac:dyDescent="0.25">
      <c r="A2" s="3" t="s">
        <v>78</v>
      </c>
      <c r="C2" s="126" t="str">
        <f ca="1">'Last Month'!P1</f>
        <v>Sep 1, 2022 01:50 pm</v>
      </c>
      <c r="D2" s="127"/>
      <c r="E2" s="127"/>
      <c r="F2" s="128"/>
      <c r="G2" s="125"/>
      <c r="Q2" s="4" t="s">
        <v>79</v>
      </c>
      <c r="R2" s="5"/>
    </row>
    <row r="4" spans="1:25" x14ac:dyDescent="0.25">
      <c r="A4" s="6" t="s">
        <v>80</v>
      </c>
      <c r="B4" s="134"/>
      <c r="C4" s="127"/>
      <c r="D4" s="127"/>
      <c r="E4" s="127"/>
      <c r="F4" s="76"/>
      <c r="G4" s="16"/>
      <c r="H4" s="17"/>
      <c r="I4" s="17"/>
      <c r="J4" s="17"/>
      <c r="K4" s="17"/>
      <c r="L4" s="17"/>
      <c r="M4" s="17"/>
      <c r="N4" s="7"/>
      <c r="O4" s="76"/>
      <c r="P4" s="76"/>
      <c r="Q4" s="7"/>
      <c r="R4" s="7"/>
      <c r="S4" s="76"/>
      <c r="T4" s="7"/>
      <c r="U4" s="7"/>
      <c r="V4" s="76"/>
      <c r="W4" s="76"/>
      <c r="X4" s="76"/>
    </row>
    <row r="5" spans="1:25" x14ac:dyDescent="0.25">
      <c r="A5" s="6" t="s">
        <v>81</v>
      </c>
      <c r="B5" s="127"/>
      <c r="C5" s="127"/>
      <c r="D5" s="127"/>
      <c r="E5" s="127"/>
      <c r="F5" s="76"/>
      <c r="G5" s="8" t="str">
        <f>"Beginning Balance: "&amp;TEXT(T11,"#,##0")&amp;" Shares"</f>
        <v>Beginning Balance: 0 Shares</v>
      </c>
      <c r="H5" s="76"/>
      <c r="I5" s="76"/>
      <c r="J5" s="76"/>
      <c r="K5" s="76"/>
      <c r="L5" s="76"/>
      <c r="M5" s="76"/>
      <c r="N5" s="7"/>
      <c r="O5" s="76"/>
      <c r="P5" s="76"/>
      <c r="Q5" s="7"/>
      <c r="R5" s="7"/>
      <c r="S5" s="76"/>
      <c r="T5" s="7"/>
      <c r="U5" s="7"/>
      <c r="V5" s="76"/>
      <c r="W5" s="76"/>
      <c r="X5" s="76"/>
    </row>
    <row r="6" spans="1:25" x14ac:dyDescent="0.25">
      <c r="A6" s="9"/>
      <c r="B6" s="9"/>
      <c r="C6" s="75"/>
      <c r="D6" s="75"/>
      <c r="E6" s="75"/>
      <c r="F6" s="76"/>
      <c r="G6" s="7"/>
      <c r="H6" s="76"/>
      <c r="I6" s="76"/>
      <c r="J6" s="76"/>
      <c r="K6" s="76"/>
      <c r="L6" s="76"/>
      <c r="M6" s="7"/>
      <c r="N6" s="7"/>
      <c r="O6" s="76"/>
      <c r="P6" s="76"/>
      <c r="Q6" s="7"/>
      <c r="R6" s="7"/>
      <c r="S6" s="76"/>
      <c r="T6" s="7"/>
      <c r="U6" s="7"/>
      <c r="V6" s="76"/>
      <c r="W6" s="76"/>
      <c r="X6" s="76"/>
    </row>
    <row r="7" spans="1:25" x14ac:dyDescent="0.25">
      <c r="A7" s="76"/>
      <c r="B7" s="75"/>
      <c r="C7" s="75"/>
      <c r="D7" s="75"/>
      <c r="E7" s="75"/>
      <c r="F7" s="76"/>
      <c r="G7" s="7"/>
      <c r="H7" s="76"/>
      <c r="I7" s="76"/>
      <c r="J7" s="76"/>
      <c r="K7" s="76"/>
      <c r="L7" s="76"/>
      <c r="M7" s="7"/>
      <c r="N7" s="7"/>
      <c r="O7" s="76"/>
      <c r="P7" s="76"/>
      <c r="Q7" s="129"/>
      <c r="R7" s="125"/>
      <c r="S7" s="76"/>
      <c r="T7" s="129"/>
      <c r="U7" s="125"/>
      <c r="V7" s="76"/>
      <c r="W7" s="76"/>
      <c r="X7" s="76"/>
    </row>
    <row r="8" spans="1:25" ht="15.75" customHeight="1" x14ac:dyDescent="0.25">
      <c r="A8" s="76"/>
      <c r="B8" s="75"/>
      <c r="C8" s="75"/>
      <c r="D8" s="75"/>
      <c r="E8" s="75"/>
      <c r="F8" s="76"/>
      <c r="G8" s="130" t="s">
        <v>82</v>
      </c>
      <c r="H8" s="120" t="s">
        <v>83</v>
      </c>
      <c r="I8" s="131" t="s">
        <v>84</v>
      </c>
      <c r="J8" s="132" t="s">
        <v>23</v>
      </c>
      <c r="K8" s="10"/>
      <c r="L8" s="120" t="s">
        <v>85</v>
      </c>
      <c r="M8" s="133" t="s">
        <v>86</v>
      </c>
      <c r="N8" s="123"/>
      <c r="O8" s="118" t="s">
        <v>31</v>
      </c>
      <c r="P8" s="120" t="s">
        <v>87</v>
      </c>
      <c r="Q8" s="122" t="s">
        <v>42</v>
      </c>
      <c r="R8" s="123"/>
      <c r="S8" s="75"/>
      <c r="T8" s="122" t="s">
        <v>32</v>
      </c>
      <c r="U8" s="123"/>
      <c r="V8" s="75"/>
      <c r="W8" s="76"/>
      <c r="X8" s="76"/>
    </row>
    <row r="9" spans="1:25" ht="47.25" customHeight="1" x14ac:dyDescent="0.25">
      <c r="A9" s="71" t="s">
        <v>88</v>
      </c>
      <c r="B9" s="71" t="s">
        <v>89</v>
      </c>
      <c r="C9" s="71" t="s">
        <v>90</v>
      </c>
      <c r="D9" s="71" t="s">
        <v>91</v>
      </c>
      <c r="E9" s="11" t="s">
        <v>92</v>
      </c>
      <c r="F9" s="76"/>
      <c r="G9" s="121"/>
      <c r="H9" s="121"/>
      <c r="I9" s="121"/>
      <c r="J9" s="128"/>
      <c r="K9" s="10" t="s">
        <v>93</v>
      </c>
      <c r="L9" s="121"/>
      <c r="M9" s="12" t="s">
        <v>94</v>
      </c>
      <c r="N9" s="12" t="s">
        <v>95</v>
      </c>
      <c r="O9" s="119"/>
      <c r="P9" s="121"/>
      <c r="Q9" s="12" t="s">
        <v>94</v>
      </c>
      <c r="R9" s="12" t="s">
        <v>95</v>
      </c>
      <c r="S9" s="75"/>
      <c r="T9" s="12" t="s">
        <v>94</v>
      </c>
      <c r="U9" s="12" t="s">
        <v>95</v>
      </c>
      <c r="V9" s="75"/>
      <c r="W9" s="12" t="s">
        <v>96</v>
      </c>
      <c r="X9" s="12" t="s">
        <v>97</v>
      </c>
      <c r="Y9" s="15"/>
    </row>
    <row r="10" spans="1:25" x14ac:dyDescent="0.25">
      <c r="A10" s="76"/>
      <c r="B10" s="75"/>
      <c r="C10" s="75"/>
      <c r="D10" s="75"/>
      <c r="E10" s="75"/>
      <c r="F10" s="76"/>
      <c r="G10" s="15"/>
      <c r="H10" s="75"/>
      <c r="I10" s="75"/>
      <c r="J10" s="10"/>
      <c r="K10" s="75"/>
      <c r="L10" s="75"/>
      <c r="M10" s="15"/>
      <c r="N10" s="15"/>
      <c r="O10" s="10"/>
      <c r="P10" s="75"/>
      <c r="Q10" s="13" t="s">
        <v>98</v>
      </c>
      <c r="R10" s="116" t="s">
        <v>99</v>
      </c>
      <c r="S10" s="75"/>
      <c r="T10" s="15"/>
      <c r="U10" s="15"/>
      <c r="V10" s="75"/>
      <c r="W10" s="76"/>
      <c r="X10" s="76"/>
    </row>
    <row r="11" spans="1:25" ht="18.75" customHeight="1" x14ac:dyDescent="0.25">
      <c r="A11" s="14" t="s">
        <v>100</v>
      </c>
      <c r="B11" s="75"/>
      <c r="C11" s="75"/>
      <c r="D11" s="75"/>
      <c r="E11" s="75"/>
      <c r="F11" s="76"/>
      <c r="G11" s="15"/>
      <c r="H11" s="75"/>
      <c r="I11" s="75"/>
      <c r="J11" s="10"/>
      <c r="K11" s="75"/>
      <c r="L11" s="75"/>
      <c r="M11" s="15"/>
      <c r="N11" s="15"/>
      <c r="O11" s="10"/>
      <c r="P11" s="75"/>
      <c r="Q11" s="13" t="s">
        <v>101</v>
      </c>
      <c r="R11" s="117"/>
      <c r="S11" s="75"/>
      <c r="T11" s="124">
        <v>0</v>
      </c>
      <c r="U11" s="125"/>
      <c r="V11" s="75"/>
      <c r="W11" s="76"/>
      <c r="X11" s="76"/>
    </row>
  </sheetData>
  <mergeCells count="16">
    <mergeCell ref="R10:R11"/>
    <mergeCell ref="T11:U11"/>
    <mergeCell ref="C2:G2"/>
    <mergeCell ref="B4:E5"/>
    <mergeCell ref="Q7:R7"/>
    <mergeCell ref="T7:U7"/>
    <mergeCell ref="G8:G9"/>
    <mergeCell ref="H8:H9"/>
    <mergeCell ref="I8:I9"/>
    <mergeCell ref="J8:J9"/>
    <mergeCell ref="L8:L9"/>
    <mergeCell ref="M8:N8"/>
    <mergeCell ref="O8:O9"/>
    <mergeCell ref="P8:P9"/>
    <mergeCell ref="Q8:R8"/>
    <mergeCell ref="T8:U8"/>
  </mergeCells>
  <pageMargins left="0.2" right="0.2" top="0.25" bottom="0.25" header="0.3" footer="0.3"/>
  <pageSetup paperSize="10002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38</vt:i4>
      </vt:variant>
    </vt:vector>
  </HeadingPairs>
  <TitlesOfParts>
    <vt:vector size="63" baseType="lpstr">
      <vt:lpstr>System</vt:lpstr>
      <vt:lpstr>Last Month</vt:lpstr>
      <vt:lpstr>2nd</vt:lpstr>
      <vt:lpstr>3rd</vt:lpstr>
      <vt:lpstr>4th</vt:lpstr>
      <vt:lpstr>5th</vt:lpstr>
      <vt:lpstr>6th</vt:lpstr>
      <vt:lpstr>7th</vt:lpstr>
      <vt:lpstr>8th</vt:lpstr>
      <vt:lpstr>9th</vt:lpstr>
      <vt:lpstr>10th</vt:lpstr>
      <vt:lpstr>11th</vt:lpstr>
      <vt:lpstr>CB1</vt:lpstr>
      <vt:lpstr>CB2</vt:lpstr>
      <vt:lpstr>CB3</vt:lpstr>
      <vt:lpstr>CBBH</vt:lpstr>
      <vt:lpstr>CBBH2</vt:lpstr>
      <vt:lpstr>BOS</vt:lpstr>
      <vt:lpstr>DBPe</vt:lpstr>
      <vt:lpstr>DBPL</vt:lpstr>
      <vt:lpstr>SC</vt:lpstr>
      <vt:lpstr>SHK</vt:lpstr>
      <vt:lpstr>MST1</vt:lpstr>
      <vt:lpstr>MST2</vt:lpstr>
      <vt:lpstr>MSPL</vt:lpstr>
      <vt:lpstr>_10th</vt:lpstr>
      <vt:lpstr>_11th</vt:lpstr>
      <vt:lpstr>_2nd</vt:lpstr>
      <vt:lpstr>_3rd</vt:lpstr>
      <vt:lpstr>_4th</vt:lpstr>
      <vt:lpstr>_5th</vt:lpstr>
      <vt:lpstr>_6th</vt:lpstr>
      <vt:lpstr>_7th</vt:lpstr>
      <vt:lpstr>_8th</vt:lpstr>
      <vt:lpstr>_9th</vt:lpstr>
      <vt:lpstr>beginning</vt:lpstr>
      <vt:lpstr>Closing</vt:lpstr>
      <vt:lpstr>last_month</vt:lpstr>
      <vt:lpstr>'10th'!Print_Area</vt:lpstr>
      <vt:lpstr>'11th'!Print_Area</vt:lpstr>
      <vt:lpstr>'2nd'!Print_Area</vt:lpstr>
      <vt:lpstr>'3rd'!Print_Area</vt:lpstr>
      <vt:lpstr>'4th'!Print_Area</vt:lpstr>
      <vt:lpstr>'5th'!Print_Area</vt:lpstr>
      <vt:lpstr>'6th'!Print_Area</vt:lpstr>
      <vt:lpstr>'7th'!Print_Area</vt:lpstr>
      <vt:lpstr>'8th'!Print_Area</vt:lpstr>
      <vt:lpstr>'9th'!Print_Area</vt:lpstr>
      <vt:lpstr>BOS!Print_Area</vt:lpstr>
      <vt:lpstr>'CB1'!Print_Area</vt:lpstr>
      <vt:lpstr>'CB2'!Print_Area</vt:lpstr>
      <vt:lpstr>'CB3'!Print_Area</vt:lpstr>
      <vt:lpstr>CBBH!Print_Area</vt:lpstr>
      <vt:lpstr>CBBH2!Print_Area</vt:lpstr>
      <vt:lpstr>DBPe!Print_Area</vt:lpstr>
      <vt:lpstr>DBPL!Print_Area</vt:lpstr>
      <vt:lpstr>'Last Month'!Print_Area</vt:lpstr>
      <vt:lpstr>MSPL!Print_Area</vt:lpstr>
      <vt:lpstr>'MST1'!Print_Area</vt:lpstr>
      <vt:lpstr>'MST2'!Print_Area</vt:lpstr>
      <vt:lpstr>SC!Print_Area</vt:lpstr>
      <vt:lpstr>SHK!Print_Area</vt:lpstr>
      <vt:lpstr>stock_name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Alvin Stocks</cp:lastModifiedBy>
  <cp:lastPrinted>2021-10-07T08:45:23Z</cp:lastPrinted>
  <dcterms:created xsi:type="dcterms:W3CDTF">2015-06-05T18:17:20Z</dcterms:created>
  <dcterms:modified xsi:type="dcterms:W3CDTF">2022-09-01T05:50:32Z</dcterms:modified>
</cp:coreProperties>
</file>