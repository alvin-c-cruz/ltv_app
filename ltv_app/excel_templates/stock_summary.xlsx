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lvin Stocks\Dropbox\server\localhost\excel_templates\"/>
    </mc:Choice>
  </mc:AlternateContent>
  <xr:revisionPtr revIDLastSave="0" documentId="13_ncr:1_{5F06C966-3B61-40D4-8429-3785506A7AD6}" xr6:coauthVersionLast="47" xr6:coauthVersionMax="47" xr10:uidLastSave="{00000000-0000-0000-0000-000000000000}"/>
  <bookViews>
    <workbookView xWindow="-120" yWindow="-120" windowWidth="20730" windowHeight="11160" tabRatio="889" activeTab="5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DQ Monitoring" sheetId="5" state="hidden" r:id="rId5"/>
    <sheet name="ALL" sheetId="6" r:id="rId6"/>
    <sheet name="Download" sheetId="7" r:id="rId7"/>
    <sheet name="Heroku" sheetId="8" state="hidden" r:id="rId8"/>
    <sheet name="Stocks" sheetId="9" r:id="rId9"/>
  </sheets>
  <externalReferences>
    <externalReference r:id="rId10"/>
  </externalReferences>
  <definedNames>
    <definedName name="Average">[1]Equities!$D:$D</definedName>
    <definedName name="BLOCKED">[1]Equities!$I:$I</definedName>
    <definedName name="_xlnm.Print_Area" localSheetId="0">'1'!$A$1:$N$121</definedName>
    <definedName name="_xlnm.Print_Area" localSheetId="1">'2'!$A$1:$N$104</definedName>
    <definedName name="_xlnm.Print_Area" localSheetId="2">'3'!$A$1:$N$137</definedName>
    <definedName name="_xlnm.Print_Area" localSheetId="3">'4'!$A$1:$N$103</definedName>
    <definedName name="_xlnm.Print_Area" localSheetId="5">ALL!$A$1:$G$263</definedName>
    <definedName name="_xlnm.Print_Area" localSheetId="4">'DQ Monitoring'!$A$1:$I$181</definedName>
    <definedName name="UNBLOCKED">[1]Equities!$H:$H</definedName>
  </definedNames>
  <calcPr calcId="191029"/>
</workbook>
</file>

<file path=xl/calcChain.xml><?xml version="1.0" encoding="utf-8"?>
<calcChain xmlns="http://schemas.openxmlformats.org/spreadsheetml/2006/main">
  <c r="I96" i="6" l="1"/>
  <c r="J96" i="6" s="1"/>
  <c r="I213" i="6"/>
  <c r="J213" i="6" s="1"/>
  <c r="I193" i="6"/>
  <c r="J193" i="6" s="1"/>
  <c r="I153" i="6"/>
  <c r="J153" i="6" s="1"/>
  <c r="I126" i="6"/>
  <c r="J126" i="6" s="1"/>
  <c r="I97" i="6"/>
  <c r="J97" i="6" s="1"/>
  <c r="J9" i="4"/>
  <c r="J27" i="4"/>
  <c r="J46" i="4"/>
  <c r="J65" i="4"/>
  <c r="J86" i="4"/>
  <c r="J6" i="3"/>
  <c r="J24" i="3"/>
  <c r="J42" i="3"/>
  <c r="J61" i="3"/>
  <c r="J80" i="3"/>
  <c r="J99" i="3"/>
  <c r="J121" i="3"/>
  <c r="J7" i="2"/>
  <c r="J26" i="2"/>
  <c r="J45" i="2"/>
  <c r="J67" i="2"/>
  <c r="J86" i="2"/>
  <c r="J107" i="1"/>
  <c r="J88" i="1"/>
  <c r="J69" i="1"/>
  <c r="J47" i="1"/>
  <c r="J24" i="1"/>
  <c r="J10" i="1"/>
  <c r="J11" i="1"/>
  <c r="J6" i="1"/>
  <c r="J8" i="1"/>
  <c r="J7" i="1"/>
  <c r="K86" i="4"/>
  <c r="K65" i="4"/>
  <c r="K46" i="4"/>
  <c r="K27" i="4"/>
  <c r="K9" i="4"/>
  <c r="K121" i="3"/>
  <c r="K99" i="3"/>
  <c r="K80" i="3"/>
  <c r="K61" i="3"/>
  <c r="K42" i="3"/>
  <c r="K24" i="3"/>
  <c r="K6" i="3"/>
  <c r="K86" i="2"/>
  <c r="K67" i="2"/>
  <c r="K45" i="2"/>
  <c r="K26" i="2"/>
  <c r="K7" i="2"/>
  <c r="K107" i="1"/>
  <c r="K88" i="1"/>
  <c r="K69" i="1"/>
  <c r="K47" i="1"/>
  <c r="K24" i="1"/>
  <c r="K6" i="1"/>
  <c r="I197" i="6"/>
  <c r="J197" i="6" s="1"/>
  <c r="I188" i="6"/>
  <c r="J188" i="6" s="1"/>
  <c r="H8" i="1"/>
  <c r="H88" i="4"/>
  <c r="H89" i="4" s="1"/>
  <c r="H67" i="4"/>
  <c r="H68" i="4" s="1"/>
  <c r="H11" i="4"/>
  <c r="H12" i="4" s="1"/>
  <c r="H88" i="2"/>
  <c r="H89" i="2" s="1"/>
  <c r="H69" i="2"/>
  <c r="H70" i="2" s="1"/>
  <c r="H47" i="2"/>
  <c r="H48" i="2" s="1"/>
  <c r="H28" i="2"/>
  <c r="H29" i="2" s="1"/>
  <c r="H9" i="2"/>
  <c r="H10" i="2" s="1"/>
  <c r="H101" i="3"/>
  <c r="H102" i="3" s="1"/>
  <c r="H63" i="3"/>
  <c r="H64" i="3" s="1"/>
  <c r="H44" i="3"/>
  <c r="H45" i="3" s="1"/>
  <c r="H26" i="3"/>
  <c r="H27" i="3" s="1"/>
  <c r="H8" i="3"/>
  <c r="H9" i="3" s="1"/>
  <c r="H49" i="1"/>
  <c r="H50" i="1" s="1"/>
  <c r="H26" i="1"/>
  <c r="H27" i="1" s="1"/>
  <c r="H9" i="1"/>
  <c r="H10" i="1" s="1"/>
  <c r="K98" i="4"/>
  <c r="K97" i="4"/>
  <c r="K96" i="4"/>
  <c r="K95" i="4"/>
  <c r="K94" i="4"/>
  <c r="K93" i="4"/>
  <c r="K92" i="4"/>
  <c r="K91" i="4"/>
  <c r="K90" i="4"/>
  <c r="K89" i="4"/>
  <c r="K88" i="4"/>
  <c r="J88" i="4"/>
  <c r="I87" i="4"/>
  <c r="K77" i="4"/>
  <c r="K76" i="4"/>
  <c r="K75" i="4"/>
  <c r="K74" i="4"/>
  <c r="K73" i="4"/>
  <c r="K72" i="4"/>
  <c r="K71" i="4"/>
  <c r="K70" i="4"/>
  <c r="K69" i="4"/>
  <c r="K68" i="4"/>
  <c r="K67" i="4"/>
  <c r="J67" i="4"/>
  <c r="I67" i="4"/>
  <c r="I66" i="4"/>
  <c r="K58" i="4"/>
  <c r="K57" i="4"/>
  <c r="K56" i="4"/>
  <c r="K55" i="4"/>
  <c r="K54" i="4"/>
  <c r="K53" i="4"/>
  <c r="K52" i="4"/>
  <c r="K51" i="4"/>
  <c r="K50" i="4"/>
  <c r="K49" i="4"/>
  <c r="K48" i="4"/>
  <c r="I48" i="4"/>
  <c r="I47" i="4"/>
  <c r="K39" i="4"/>
  <c r="J39" i="4"/>
  <c r="I39" i="4"/>
  <c r="K38" i="4"/>
  <c r="J38" i="4"/>
  <c r="I38" i="4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I28" i="4"/>
  <c r="K21" i="4"/>
  <c r="K20" i="4"/>
  <c r="K19" i="4"/>
  <c r="K18" i="4"/>
  <c r="K17" i="4"/>
  <c r="K16" i="4"/>
  <c r="K15" i="4"/>
  <c r="K14" i="4"/>
  <c r="K13" i="4"/>
  <c r="K12" i="4"/>
  <c r="K11" i="4"/>
  <c r="J11" i="4"/>
  <c r="I11" i="4"/>
  <c r="I10" i="4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I122" i="3"/>
  <c r="K111" i="3"/>
  <c r="K110" i="3"/>
  <c r="K109" i="3"/>
  <c r="K108" i="3"/>
  <c r="K107" i="3"/>
  <c r="K106" i="3"/>
  <c r="K105" i="3"/>
  <c r="K104" i="3"/>
  <c r="K103" i="3"/>
  <c r="K102" i="3"/>
  <c r="K101" i="3"/>
  <c r="J101" i="3"/>
  <c r="I101" i="3"/>
  <c r="I100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I81" i="3"/>
  <c r="K73" i="3"/>
  <c r="K72" i="3"/>
  <c r="K71" i="3"/>
  <c r="K70" i="3"/>
  <c r="K69" i="3"/>
  <c r="K68" i="3"/>
  <c r="K67" i="3"/>
  <c r="K66" i="3"/>
  <c r="K65" i="3"/>
  <c r="K64" i="3"/>
  <c r="K63" i="3"/>
  <c r="J63" i="3"/>
  <c r="I63" i="3"/>
  <c r="I62" i="3"/>
  <c r="K54" i="3"/>
  <c r="K53" i="3"/>
  <c r="K52" i="3"/>
  <c r="K51" i="3"/>
  <c r="K50" i="3"/>
  <c r="K49" i="3"/>
  <c r="K48" i="3"/>
  <c r="K47" i="3"/>
  <c r="K46" i="3"/>
  <c r="K45" i="3"/>
  <c r="K44" i="3"/>
  <c r="J44" i="3"/>
  <c r="I44" i="3"/>
  <c r="I43" i="3"/>
  <c r="K36" i="3"/>
  <c r="K35" i="3"/>
  <c r="K34" i="3"/>
  <c r="K33" i="3"/>
  <c r="K32" i="3"/>
  <c r="K31" i="3"/>
  <c r="K30" i="3"/>
  <c r="K29" i="3"/>
  <c r="K28" i="3"/>
  <c r="K27" i="3"/>
  <c r="K26" i="3"/>
  <c r="J26" i="3"/>
  <c r="I26" i="3"/>
  <c r="I25" i="3"/>
  <c r="K18" i="3"/>
  <c r="K17" i="3"/>
  <c r="K16" i="3"/>
  <c r="K15" i="3"/>
  <c r="K14" i="3"/>
  <c r="K13" i="3"/>
  <c r="K12" i="3"/>
  <c r="K11" i="3"/>
  <c r="K10" i="3"/>
  <c r="K9" i="3"/>
  <c r="K8" i="3"/>
  <c r="J8" i="3"/>
  <c r="I8" i="3"/>
  <c r="I7" i="3"/>
  <c r="K98" i="2"/>
  <c r="K97" i="2"/>
  <c r="K96" i="2"/>
  <c r="K95" i="2"/>
  <c r="K94" i="2"/>
  <c r="K93" i="2"/>
  <c r="K92" i="2"/>
  <c r="K91" i="2"/>
  <c r="K90" i="2"/>
  <c r="K89" i="2"/>
  <c r="K88" i="2"/>
  <c r="J88" i="2"/>
  <c r="I88" i="2"/>
  <c r="I87" i="2"/>
  <c r="K79" i="2"/>
  <c r="K78" i="2"/>
  <c r="K77" i="2"/>
  <c r="K76" i="2"/>
  <c r="K75" i="2"/>
  <c r="K74" i="2"/>
  <c r="K73" i="2"/>
  <c r="K72" i="2"/>
  <c r="K71" i="2"/>
  <c r="K70" i="2"/>
  <c r="K69" i="2"/>
  <c r="J69" i="2"/>
  <c r="I69" i="2"/>
  <c r="I68" i="2"/>
  <c r="K57" i="2"/>
  <c r="K56" i="2"/>
  <c r="K55" i="2"/>
  <c r="K54" i="2"/>
  <c r="K53" i="2"/>
  <c r="K52" i="2"/>
  <c r="K51" i="2"/>
  <c r="K50" i="2"/>
  <c r="K49" i="2"/>
  <c r="K48" i="2"/>
  <c r="K47" i="2"/>
  <c r="J47" i="2"/>
  <c r="I47" i="2"/>
  <c r="I46" i="2"/>
  <c r="K38" i="2"/>
  <c r="K37" i="2"/>
  <c r="K36" i="2"/>
  <c r="K35" i="2"/>
  <c r="K34" i="2"/>
  <c r="K33" i="2"/>
  <c r="K32" i="2"/>
  <c r="K31" i="2"/>
  <c r="K30" i="2"/>
  <c r="K29" i="2"/>
  <c r="K28" i="2"/>
  <c r="J28" i="2"/>
  <c r="I28" i="2"/>
  <c r="I27" i="2"/>
  <c r="K19" i="2"/>
  <c r="K18" i="2"/>
  <c r="K17" i="2"/>
  <c r="K16" i="2"/>
  <c r="K15" i="2"/>
  <c r="K14" i="2"/>
  <c r="K13" i="2"/>
  <c r="K12" i="2"/>
  <c r="K11" i="2"/>
  <c r="K10" i="2"/>
  <c r="K9" i="2"/>
  <c r="J9" i="2"/>
  <c r="I9" i="2"/>
  <c r="I8" i="2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I108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I89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I70" i="1"/>
  <c r="K59" i="1"/>
  <c r="K58" i="1"/>
  <c r="K57" i="1"/>
  <c r="K56" i="1"/>
  <c r="K55" i="1"/>
  <c r="K54" i="1"/>
  <c r="K53" i="1"/>
  <c r="K52" i="1"/>
  <c r="K51" i="1"/>
  <c r="K50" i="1"/>
  <c r="K49" i="1"/>
  <c r="J49" i="1"/>
  <c r="I49" i="1"/>
  <c r="I48" i="1"/>
  <c r="K36" i="1"/>
  <c r="K35" i="1"/>
  <c r="K34" i="1"/>
  <c r="K33" i="1"/>
  <c r="K32" i="1"/>
  <c r="K31" i="1"/>
  <c r="K30" i="1"/>
  <c r="K29" i="1"/>
  <c r="K28" i="1"/>
  <c r="K27" i="1"/>
  <c r="K26" i="1"/>
  <c r="J26" i="1"/>
  <c r="I26" i="1"/>
  <c r="I25" i="1"/>
  <c r="K18" i="1"/>
  <c r="K17" i="1"/>
  <c r="K16" i="1"/>
  <c r="K15" i="1"/>
  <c r="K14" i="1"/>
  <c r="K13" i="1"/>
  <c r="K12" i="1"/>
  <c r="K11" i="1"/>
  <c r="K10" i="1"/>
  <c r="K9" i="1"/>
  <c r="J9" i="1"/>
  <c r="K8" i="1"/>
  <c r="I9" i="1"/>
  <c r="I8" i="1"/>
  <c r="I7" i="1"/>
  <c r="H272" i="8"/>
  <c r="G272" i="8"/>
  <c r="B272" i="8"/>
  <c r="K272" i="8" s="1"/>
  <c r="N271" i="8"/>
  <c r="M271" i="8"/>
  <c r="J271" i="8"/>
  <c r="H271" i="8"/>
  <c r="G271" i="8"/>
  <c r="B271" i="8"/>
  <c r="K271" i="8" s="1"/>
  <c r="H270" i="8"/>
  <c r="G270" i="8"/>
  <c r="B270" i="8"/>
  <c r="J269" i="8"/>
  <c r="H269" i="8"/>
  <c r="G269" i="8"/>
  <c r="B269" i="8"/>
  <c r="N269" i="8" s="1"/>
  <c r="H268" i="8"/>
  <c r="G268" i="8"/>
  <c r="B268" i="8"/>
  <c r="K268" i="8" s="1"/>
  <c r="N267" i="8"/>
  <c r="M267" i="8"/>
  <c r="J267" i="8"/>
  <c r="H267" i="8"/>
  <c r="G267" i="8"/>
  <c r="B267" i="8"/>
  <c r="K267" i="8" s="1"/>
  <c r="H266" i="8"/>
  <c r="G266" i="8"/>
  <c r="B266" i="8"/>
  <c r="J265" i="8"/>
  <c r="H265" i="8"/>
  <c r="G265" i="8"/>
  <c r="B265" i="8"/>
  <c r="N265" i="8" s="1"/>
  <c r="H264" i="8"/>
  <c r="G264" i="8"/>
  <c r="B264" i="8"/>
  <c r="K264" i="8" s="1"/>
  <c r="N263" i="8"/>
  <c r="M263" i="8"/>
  <c r="J263" i="8"/>
  <c r="H263" i="8"/>
  <c r="G263" i="8"/>
  <c r="B263" i="8"/>
  <c r="K263" i="8" s="1"/>
  <c r="H262" i="8"/>
  <c r="G262" i="8"/>
  <c r="B262" i="8"/>
  <c r="J261" i="8"/>
  <c r="H261" i="8"/>
  <c r="G261" i="8"/>
  <c r="B261" i="8"/>
  <c r="N261" i="8" s="1"/>
  <c r="H260" i="8"/>
  <c r="G260" i="8"/>
  <c r="B260" i="8"/>
  <c r="K260" i="8" s="1"/>
  <c r="N259" i="8"/>
  <c r="M259" i="8"/>
  <c r="J259" i="8"/>
  <c r="H259" i="8"/>
  <c r="G259" i="8"/>
  <c r="B259" i="8"/>
  <c r="K259" i="8" s="1"/>
  <c r="H258" i="8"/>
  <c r="G258" i="8"/>
  <c r="B258" i="8"/>
  <c r="J257" i="8"/>
  <c r="H257" i="8"/>
  <c r="G257" i="8"/>
  <c r="B257" i="8"/>
  <c r="N257" i="8" s="1"/>
  <c r="H256" i="8"/>
  <c r="G256" i="8"/>
  <c r="B256" i="8"/>
  <c r="K256" i="8" s="1"/>
  <c r="N255" i="8"/>
  <c r="M255" i="8"/>
  <c r="J255" i="8"/>
  <c r="H255" i="8"/>
  <c r="G255" i="8"/>
  <c r="B255" i="8"/>
  <c r="K255" i="8" s="1"/>
  <c r="H254" i="8"/>
  <c r="G254" i="8"/>
  <c r="B254" i="8"/>
  <c r="J253" i="8"/>
  <c r="H253" i="8"/>
  <c r="G253" i="8"/>
  <c r="B253" i="8"/>
  <c r="N253" i="8" s="1"/>
  <c r="H252" i="8"/>
  <c r="G252" i="8"/>
  <c r="B252" i="8"/>
  <c r="K252" i="8" s="1"/>
  <c r="N251" i="8"/>
  <c r="M251" i="8"/>
  <c r="J251" i="8"/>
  <c r="H251" i="8"/>
  <c r="G251" i="8"/>
  <c r="B251" i="8"/>
  <c r="K251" i="8" s="1"/>
  <c r="H250" i="8"/>
  <c r="G250" i="8"/>
  <c r="B250" i="8"/>
  <c r="M249" i="8"/>
  <c r="J249" i="8"/>
  <c r="H249" i="8"/>
  <c r="G249" i="8"/>
  <c r="B249" i="8"/>
  <c r="N249" i="8" s="1"/>
  <c r="K248" i="8"/>
  <c r="H248" i="8"/>
  <c r="G248" i="8"/>
  <c r="B248" i="8"/>
  <c r="N247" i="8"/>
  <c r="M247" i="8"/>
  <c r="J247" i="8"/>
  <c r="H247" i="8"/>
  <c r="G247" i="8"/>
  <c r="B247" i="8"/>
  <c r="K247" i="8" s="1"/>
  <c r="H246" i="8"/>
  <c r="G246" i="8"/>
  <c r="B246" i="8"/>
  <c r="M246" i="8" s="1"/>
  <c r="M245" i="8"/>
  <c r="J245" i="8"/>
  <c r="H245" i="8"/>
  <c r="G245" i="8"/>
  <c r="B245" i="8"/>
  <c r="N245" i="8" s="1"/>
  <c r="K244" i="8"/>
  <c r="H244" i="8"/>
  <c r="G244" i="8"/>
  <c r="B244" i="8"/>
  <c r="N243" i="8"/>
  <c r="M243" i="8"/>
  <c r="J243" i="8"/>
  <c r="H243" i="8"/>
  <c r="G243" i="8"/>
  <c r="B243" i="8"/>
  <c r="K243" i="8" s="1"/>
  <c r="M242" i="8"/>
  <c r="H242" i="8"/>
  <c r="G242" i="8"/>
  <c r="B242" i="8"/>
  <c r="J241" i="8"/>
  <c r="H241" i="8"/>
  <c r="G241" i="8"/>
  <c r="B241" i="8"/>
  <c r="N241" i="8" s="1"/>
  <c r="K240" i="8"/>
  <c r="H240" i="8"/>
  <c r="G240" i="8"/>
  <c r="B240" i="8"/>
  <c r="N239" i="8"/>
  <c r="M239" i="8"/>
  <c r="J239" i="8"/>
  <c r="H239" i="8"/>
  <c r="G239" i="8"/>
  <c r="B239" i="8"/>
  <c r="K239" i="8" s="1"/>
  <c r="M238" i="8"/>
  <c r="H238" i="8"/>
  <c r="G238" i="8"/>
  <c r="B238" i="8"/>
  <c r="J237" i="8"/>
  <c r="H237" i="8"/>
  <c r="G237" i="8"/>
  <c r="B237" i="8"/>
  <c r="N237" i="8" s="1"/>
  <c r="K236" i="8"/>
  <c r="H236" i="8"/>
  <c r="G236" i="8"/>
  <c r="B236" i="8"/>
  <c r="N235" i="8"/>
  <c r="M235" i="8"/>
  <c r="J235" i="8"/>
  <c r="H235" i="8"/>
  <c r="G235" i="8"/>
  <c r="B235" i="8"/>
  <c r="K235" i="8" s="1"/>
  <c r="M234" i="8"/>
  <c r="H234" i="8"/>
  <c r="G234" i="8"/>
  <c r="B234" i="8"/>
  <c r="J233" i="8"/>
  <c r="H233" i="8"/>
  <c r="G233" i="8"/>
  <c r="B233" i="8"/>
  <c r="N233" i="8" s="1"/>
  <c r="K232" i="8"/>
  <c r="H232" i="8"/>
  <c r="G232" i="8"/>
  <c r="B232" i="8"/>
  <c r="N231" i="8"/>
  <c r="M231" i="8"/>
  <c r="J231" i="8"/>
  <c r="H231" i="8"/>
  <c r="G231" i="8"/>
  <c r="B231" i="8"/>
  <c r="K231" i="8" s="1"/>
  <c r="M230" i="8"/>
  <c r="H230" i="8"/>
  <c r="G230" i="8"/>
  <c r="B230" i="8"/>
  <c r="J229" i="8"/>
  <c r="H229" i="8"/>
  <c r="G229" i="8"/>
  <c r="B229" i="8"/>
  <c r="N229" i="8" s="1"/>
  <c r="K228" i="8"/>
  <c r="H228" i="8"/>
  <c r="G228" i="8"/>
  <c r="B228" i="8"/>
  <c r="N227" i="8"/>
  <c r="M227" i="8"/>
  <c r="J227" i="8"/>
  <c r="H227" i="8"/>
  <c r="G227" i="8"/>
  <c r="B227" i="8"/>
  <c r="K227" i="8" s="1"/>
  <c r="M226" i="8"/>
  <c r="H226" i="8"/>
  <c r="G226" i="8"/>
  <c r="B226" i="8"/>
  <c r="J225" i="8"/>
  <c r="H225" i="8"/>
  <c r="G225" i="8"/>
  <c r="B225" i="8"/>
  <c r="N225" i="8" s="1"/>
  <c r="K224" i="8"/>
  <c r="H224" i="8"/>
  <c r="G224" i="8"/>
  <c r="B224" i="8"/>
  <c r="N223" i="8"/>
  <c r="M223" i="8"/>
  <c r="J223" i="8"/>
  <c r="H223" i="8"/>
  <c r="G223" i="8"/>
  <c r="B223" i="8"/>
  <c r="K223" i="8" s="1"/>
  <c r="M222" i="8"/>
  <c r="H222" i="8"/>
  <c r="G222" i="8"/>
  <c r="B222" i="8"/>
  <c r="J221" i="8"/>
  <c r="H221" i="8"/>
  <c r="G221" i="8"/>
  <c r="B221" i="8"/>
  <c r="N221" i="8" s="1"/>
  <c r="K220" i="8"/>
  <c r="H220" i="8"/>
  <c r="G220" i="8"/>
  <c r="B220" i="8"/>
  <c r="N219" i="8"/>
  <c r="M219" i="8"/>
  <c r="J219" i="8"/>
  <c r="H219" i="8"/>
  <c r="G219" i="8"/>
  <c r="B219" i="8"/>
  <c r="K219" i="8" s="1"/>
  <c r="M218" i="8"/>
  <c r="H218" i="8"/>
  <c r="G218" i="8"/>
  <c r="B218" i="8"/>
  <c r="J217" i="8"/>
  <c r="H217" i="8"/>
  <c r="G217" i="8"/>
  <c r="B217" i="8"/>
  <c r="N217" i="8" s="1"/>
  <c r="H216" i="8"/>
  <c r="G216" i="8"/>
  <c r="B216" i="8"/>
  <c r="K216" i="8" s="1"/>
  <c r="N215" i="8"/>
  <c r="M215" i="8"/>
  <c r="J215" i="8"/>
  <c r="H215" i="8"/>
  <c r="G215" i="8"/>
  <c r="B215" i="8"/>
  <c r="K215" i="8" s="1"/>
  <c r="M214" i="8"/>
  <c r="H214" i="8"/>
  <c r="G214" i="8"/>
  <c r="B214" i="8"/>
  <c r="J213" i="8"/>
  <c r="H213" i="8"/>
  <c r="G213" i="8"/>
  <c r="B213" i="8"/>
  <c r="N213" i="8" s="1"/>
  <c r="H212" i="8"/>
  <c r="G212" i="8"/>
  <c r="B212" i="8"/>
  <c r="K212" i="8" s="1"/>
  <c r="N211" i="8"/>
  <c r="M211" i="8"/>
  <c r="J211" i="8"/>
  <c r="H211" i="8"/>
  <c r="G211" i="8"/>
  <c r="B211" i="8"/>
  <c r="K211" i="8" s="1"/>
  <c r="M210" i="8"/>
  <c r="H210" i="8"/>
  <c r="G210" i="8"/>
  <c r="B210" i="8"/>
  <c r="J209" i="8"/>
  <c r="H209" i="8"/>
  <c r="G209" i="8"/>
  <c r="B209" i="8"/>
  <c r="N209" i="8" s="1"/>
  <c r="H208" i="8"/>
  <c r="G208" i="8"/>
  <c r="B208" i="8"/>
  <c r="K208" i="8" s="1"/>
  <c r="N207" i="8"/>
  <c r="M207" i="8"/>
  <c r="J207" i="8"/>
  <c r="H207" i="8"/>
  <c r="G207" i="8"/>
  <c r="B207" i="8"/>
  <c r="K207" i="8" s="1"/>
  <c r="M206" i="8"/>
  <c r="H206" i="8"/>
  <c r="G206" i="8"/>
  <c r="B206" i="8"/>
  <c r="J205" i="8"/>
  <c r="H205" i="8"/>
  <c r="G205" i="8"/>
  <c r="B205" i="8"/>
  <c r="N205" i="8" s="1"/>
  <c r="H204" i="8"/>
  <c r="G204" i="8"/>
  <c r="B204" i="8"/>
  <c r="K204" i="8" s="1"/>
  <c r="N203" i="8"/>
  <c r="M203" i="8"/>
  <c r="J203" i="8"/>
  <c r="H203" i="8"/>
  <c r="G203" i="8"/>
  <c r="B203" i="8"/>
  <c r="K203" i="8" s="1"/>
  <c r="M202" i="8"/>
  <c r="H202" i="8"/>
  <c r="G202" i="8"/>
  <c r="B202" i="8"/>
  <c r="J201" i="8"/>
  <c r="H201" i="8"/>
  <c r="G201" i="8"/>
  <c r="B201" i="8"/>
  <c r="N201" i="8" s="1"/>
  <c r="H200" i="8"/>
  <c r="G200" i="8"/>
  <c r="B200" i="8"/>
  <c r="K200" i="8" s="1"/>
  <c r="N199" i="8"/>
  <c r="M199" i="8"/>
  <c r="J199" i="8"/>
  <c r="H199" i="8"/>
  <c r="G199" i="8"/>
  <c r="B199" i="8"/>
  <c r="K199" i="8" s="1"/>
  <c r="M198" i="8"/>
  <c r="H198" i="8"/>
  <c r="G198" i="8"/>
  <c r="B198" i="8"/>
  <c r="J197" i="8"/>
  <c r="H197" i="8"/>
  <c r="G197" i="8"/>
  <c r="B197" i="8"/>
  <c r="N197" i="8" s="1"/>
  <c r="H196" i="8"/>
  <c r="G196" i="8"/>
  <c r="B196" i="8"/>
  <c r="K196" i="8" s="1"/>
  <c r="N195" i="8"/>
  <c r="M195" i="8"/>
  <c r="J195" i="8"/>
  <c r="H195" i="8"/>
  <c r="G195" i="8"/>
  <c r="B195" i="8"/>
  <c r="K195" i="8" s="1"/>
  <c r="M194" i="8"/>
  <c r="H194" i="8"/>
  <c r="G194" i="8"/>
  <c r="B194" i="8"/>
  <c r="J193" i="8"/>
  <c r="H193" i="8"/>
  <c r="G193" i="8"/>
  <c r="B193" i="8"/>
  <c r="N193" i="8" s="1"/>
  <c r="N192" i="8"/>
  <c r="M192" i="8"/>
  <c r="J192" i="8"/>
  <c r="H192" i="8"/>
  <c r="G192" i="8"/>
  <c r="B192" i="8"/>
  <c r="K192" i="8" s="1"/>
  <c r="H191" i="8"/>
  <c r="G191" i="8"/>
  <c r="B191" i="8"/>
  <c r="K191" i="8" s="1"/>
  <c r="J190" i="8"/>
  <c r="H190" i="8"/>
  <c r="G190" i="8"/>
  <c r="B190" i="8"/>
  <c r="N189" i="8"/>
  <c r="J189" i="8"/>
  <c r="H189" i="8"/>
  <c r="G189" i="8"/>
  <c r="B189" i="8"/>
  <c r="K189" i="8" s="1"/>
  <c r="N188" i="8"/>
  <c r="M188" i="8"/>
  <c r="J188" i="8"/>
  <c r="H188" i="8"/>
  <c r="G188" i="8"/>
  <c r="B188" i="8"/>
  <c r="K188" i="8" s="1"/>
  <c r="K187" i="8"/>
  <c r="H187" i="8"/>
  <c r="G187" i="8"/>
  <c r="B187" i="8"/>
  <c r="H186" i="8"/>
  <c r="G186" i="8"/>
  <c r="B186" i="8"/>
  <c r="J186" i="8" s="1"/>
  <c r="N185" i="8"/>
  <c r="J185" i="8"/>
  <c r="H185" i="8"/>
  <c r="G185" i="8"/>
  <c r="B185" i="8"/>
  <c r="K185" i="8" s="1"/>
  <c r="N184" i="8"/>
  <c r="M184" i="8"/>
  <c r="J184" i="8"/>
  <c r="H184" i="8"/>
  <c r="G184" i="8"/>
  <c r="B184" i="8"/>
  <c r="K184" i="8" s="1"/>
  <c r="H183" i="8"/>
  <c r="G183" i="8"/>
  <c r="B183" i="8"/>
  <c r="K183" i="8" s="1"/>
  <c r="H182" i="8"/>
  <c r="G182" i="8"/>
  <c r="B182" i="8"/>
  <c r="N181" i="8"/>
  <c r="J181" i="8"/>
  <c r="H181" i="8"/>
  <c r="G181" i="8"/>
  <c r="B181" i="8"/>
  <c r="K181" i="8" s="1"/>
  <c r="N180" i="8"/>
  <c r="M180" i="8"/>
  <c r="J180" i="8"/>
  <c r="H180" i="8"/>
  <c r="G180" i="8"/>
  <c r="B180" i="8"/>
  <c r="K180" i="8" s="1"/>
  <c r="H179" i="8"/>
  <c r="G179" i="8"/>
  <c r="B179" i="8"/>
  <c r="H178" i="8"/>
  <c r="G178" i="8"/>
  <c r="B178" i="8"/>
  <c r="J178" i="8" s="1"/>
  <c r="N177" i="8"/>
  <c r="J177" i="8"/>
  <c r="H177" i="8"/>
  <c r="G177" i="8"/>
  <c r="B177" i="8"/>
  <c r="K177" i="8" s="1"/>
  <c r="N176" i="8"/>
  <c r="M176" i="8"/>
  <c r="J176" i="8"/>
  <c r="H176" i="8"/>
  <c r="G176" i="8"/>
  <c r="B176" i="8"/>
  <c r="K176" i="8" s="1"/>
  <c r="H175" i="8"/>
  <c r="G175" i="8"/>
  <c r="B175" i="8"/>
  <c r="K175" i="8" s="1"/>
  <c r="J174" i="8"/>
  <c r="H174" i="8"/>
  <c r="G174" i="8"/>
  <c r="B174" i="8"/>
  <c r="N173" i="8"/>
  <c r="J173" i="8"/>
  <c r="H173" i="8"/>
  <c r="G173" i="8"/>
  <c r="B173" i="8"/>
  <c r="K173" i="8" s="1"/>
  <c r="N172" i="8"/>
  <c r="M172" i="8"/>
  <c r="J172" i="8"/>
  <c r="H172" i="8"/>
  <c r="G172" i="8"/>
  <c r="B172" i="8"/>
  <c r="K172" i="8" s="1"/>
  <c r="K171" i="8"/>
  <c r="H171" i="8"/>
  <c r="G171" i="8"/>
  <c r="B171" i="8"/>
  <c r="M170" i="8"/>
  <c r="H170" i="8"/>
  <c r="G170" i="8"/>
  <c r="B170" i="8"/>
  <c r="N170" i="8" s="1"/>
  <c r="N169" i="8"/>
  <c r="J169" i="8"/>
  <c r="H169" i="8"/>
  <c r="G169" i="8"/>
  <c r="B169" i="8"/>
  <c r="M169" i="8" s="1"/>
  <c r="N168" i="8"/>
  <c r="M168" i="8"/>
  <c r="J168" i="8"/>
  <c r="H168" i="8"/>
  <c r="G168" i="8"/>
  <c r="B168" i="8"/>
  <c r="K168" i="8" s="1"/>
  <c r="N167" i="8"/>
  <c r="K167" i="8"/>
  <c r="H167" i="8"/>
  <c r="G167" i="8"/>
  <c r="B167" i="8"/>
  <c r="J167" i="8" s="1"/>
  <c r="M166" i="8"/>
  <c r="H166" i="8"/>
  <c r="G166" i="8"/>
  <c r="B166" i="8"/>
  <c r="N166" i="8" s="1"/>
  <c r="H165" i="8"/>
  <c r="G165" i="8"/>
  <c r="B165" i="8"/>
  <c r="N165" i="8" s="1"/>
  <c r="N164" i="8"/>
  <c r="J164" i="8"/>
  <c r="H164" i="8"/>
  <c r="G164" i="8"/>
  <c r="B164" i="8"/>
  <c r="M164" i="8" s="1"/>
  <c r="N163" i="8"/>
  <c r="M163" i="8"/>
  <c r="H163" i="8"/>
  <c r="G163" i="8"/>
  <c r="B163" i="8"/>
  <c r="K163" i="8" s="1"/>
  <c r="M162" i="8"/>
  <c r="H162" i="8"/>
  <c r="G162" i="8"/>
  <c r="B162" i="8"/>
  <c r="J162" i="8" s="1"/>
  <c r="H161" i="8"/>
  <c r="G161" i="8"/>
  <c r="B161" i="8"/>
  <c r="N161" i="8" s="1"/>
  <c r="N160" i="8"/>
  <c r="J160" i="8"/>
  <c r="H160" i="8"/>
  <c r="G160" i="8"/>
  <c r="B160" i="8"/>
  <c r="M160" i="8" s="1"/>
  <c r="N159" i="8"/>
  <c r="M159" i="8"/>
  <c r="H159" i="8"/>
  <c r="G159" i="8"/>
  <c r="B159" i="8"/>
  <c r="K159" i="8" s="1"/>
  <c r="M158" i="8"/>
  <c r="H158" i="8"/>
  <c r="G158" i="8"/>
  <c r="B158" i="8"/>
  <c r="J158" i="8" s="1"/>
  <c r="H157" i="8"/>
  <c r="G157" i="8"/>
  <c r="B157" i="8"/>
  <c r="N157" i="8" s="1"/>
  <c r="N156" i="8"/>
  <c r="J156" i="8"/>
  <c r="H156" i="8"/>
  <c r="G156" i="8"/>
  <c r="B156" i="8"/>
  <c r="M156" i="8" s="1"/>
  <c r="N155" i="8"/>
  <c r="M155" i="8"/>
  <c r="H155" i="8"/>
  <c r="G155" i="8"/>
  <c r="B155" i="8"/>
  <c r="K155" i="8" s="1"/>
  <c r="M154" i="8"/>
  <c r="H154" i="8"/>
  <c r="G154" i="8"/>
  <c r="B154" i="8"/>
  <c r="J154" i="8" s="1"/>
  <c r="H153" i="8"/>
  <c r="G153" i="8"/>
  <c r="B153" i="8"/>
  <c r="N153" i="8" s="1"/>
  <c r="N152" i="8"/>
  <c r="J152" i="8"/>
  <c r="H152" i="8"/>
  <c r="G152" i="8"/>
  <c r="B152" i="8"/>
  <c r="M152" i="8" s="1"/>
  <c r="N151" i="8"/>
  <c r="M151" i="8"/>
  <c r="H151" i="8"/>
  <c r="G151" i="8"/>
  <c r="B151" i="8"/>
  <c r="K151" i="8" s="1"/>
  <c r="M150" i="8"/>
  <c r="H150" i="8"/>
  <c r="G150" i="8"/>
  <c r="B150" i="8"/>
  <c r="J150" i="8" s="1"/>
  <c r="H149" i="8"/>
  <c r="G149" i="8"/>
  <c r="B149" i="8"/>
  <c r="N149" i="8" s="1"/>
  <c r="N148" i="8"/>
  <c r="J148" i="8"/>
  <c r="H148" i="8"/>
  <c r="G148" i="8"/>
  <c r="B148" i="8"/>
  <c r="M148" i="8" s="1"/>
  <c r="N147" i="8"/>
  <c r="M147" i="8"/>
  <c r="H147" i="8"/>
  <c r="G147" i="8"/>
  <c r="B147" i="8"/>
  <c r="K147" i="8" s="1"/>
  <c r="M146" i="8"/>
  <c r="H146" i="8"/>
  <c r="G146" i="8"/>
  <c r="B146" i="8"/>
  <c r="J146" i="8" s="1"/>
  <c r="H145" i="8"/>
  <c r="G145" i="8"/>
  <c r="B145" i="8"/>
  <c r="N145" i="8" s="1"/>
  <c r="N144" i="8"/>
  <c r="J144" i="8"/>
  <c r="H144" i="8"/>
  <c r="G144" i="8"/>
  <c r="B144" i="8"/>
  <c r="M144" i="8" s="1"/>
  <c r="N143" i="8"/>
  <c r="M143" i="8"/>
  <c r="H143" i="8"/>
  <c r="G143" i="8"/>
  <c r="B143" i="8"/>
  <c r="K143" i="8" s="1"/>
  <c r="M142" i="8"/>
  <c r="H142" i="8"/>
  <c r="G142" i="8"/>
  <c r="B142" i="8"/>
  <c r="J142" i="8" s="1"/>
  <c r="K141" i="8"/>
  <c r="H141" i="8"/>
  <c r="G141" i="8"/>
  <c r="B141" i="8"/>
  <c r="N140" i="8"/>
  <c r="J140" i="8"/>
  <c r="H140" i="8"/>
  <c r="G140" i="8"/>
  <c r="B140" i="8"/>
  <c r="M140" i="8" s="1"/>
  <c r="N139" i="8"/>
  <c r="M139" i="8"/>
  <c r="H139" i="8"/>
  <c r="G139" i="8"/>
  <c r="B139" i="8"/>
  <c r="K139" i="8" s="1"/>
  <c r="M138" i="8"/>
  <c r="H138" i="8"/>
  <c r="G138" i="8"/>
  <c r="B138" i="8"/>
  <c r="J138" i="8" s="1"/>
  <c r="K137" i="8"/>
  <c r="H137" i="8"/>
  <c r="G137" i="8"/>
  <c r="B137" i="8"/>
  <c r="N136" i="8"/>
  <c r="J136" i="8"/>
  <c r="H136" i="8"/>
  <c r="G136" i="8"/>
  <c r="B136" i="8"/>
  <c r="M136" i="8" s="1"/>
  <c r="N135" i="8"/>
  <c r="M135" i="8"/>
  <c r="H135" i="8"/>
  <c r="G135" i="8"/>
  <c r="B135" i="8"/>
  <c r="K135" i="8" s="1"/>
  <c r="M134" i="8"/>
  <c r="H134" i="8"/>
  <c r="G134" i="8"/>
  <c r="B134" i="8"/>
  <c r="J134" i="8" s="1"/>
  <c r="K133" i="8"/>
  <c r="H133" i="8"/>
  <c r="G133" i="8"/>
  <c r="B133" i="8"/>
  <c r="N132" i="8"/>
  <c r="J132" i="8"/>
  <c r="H132" i="8"/>
  <c r="G132" i="8"/>
  <c r="B132" i="8"/>
  <c r="M132" i="8" s="1"/>
  <c r="N131" i="8"/>
  <c r="M131" i="8"/>
  <c r="H131" i="8"/>
  <c r="G131" i="8"/>
  <c r="B131" i="8"/>
  <c r="K131" i="8" s="1"/>
  <c r="M130" i="8"/>
  <c r="H130" i="8"/>
  <c r="G130" i="8"/>
  <c r="B130" i="8"/>
  <c r="J130" i="8" s="1"/>
  <c r="K129" i="8"/>
  <c r="H129" i="8"/>
  <c r="G129" i="8"/>
  <c r="B129" i="8"/>
  <c r="N128" i="8"/>
  <c r="J128" i="8"/>
  <c r="H128" i="8"/>
  <c r="G128" i="8"/>
  <c r="B128" i="8"/>
  <c r="M128" i="8" s="1"/>
  <c r="N127" i="8"/>
  <c r="M127" i="8"/>
  <c r="H127" i="8"/>
  <c r="G127" i="8"/>
  <c r="B127" i="8"/>
  <c r="K127" i="8" s="1"/>
  <c r="H126" i="8"/>
  <c r="G126" i="8"/>
  <c r="B126" i="8"/>
  <c r="J125" i="8"/>
  <c r="H125" i="8"/>
  <c r="G125" i="8"/>
  <c r="B125" i="8"/>
  <c r="N124" i="8"/>
  <c r="J124" i="8"/>
  <c r="H124" i="8"/>
  <c r="G124" i="8"/>
  <c r="B124" i="8"/>
  <c r="M124" i="8" s="1"/>
  <c r="N123" i="8"/>
  <c r="M123" i="8"/>
  <c r="H123" i="8"/>
  <c r="G123" i="8"/>
  <c r="B123" i="8"/>
  <c r="K123" i="8" s="1"/>
  <c r="H122" i="8"/>
  <c r="G122" i="8"/>
  <c r="B122" i="8"/>
  <c r="J121" i="8"/>
  <c r="H121" i="8"/>
  <c r="G121" i="8"/>
  <c r="B121" i="8"/>
  <c r="N120" i="8"/>
  <c r="J120" i="8"/>
  <c r="H120" i="8"/>
  <c r="G120" i="8"/>
  <c r="B120" i="8"/>
  <c r="M120" i="8" s="1"/>
  <c r="N119" i="8"/>
  <c r="M119" i="8"/>
  <c r="H119" i="8"/>
  <c r="G119" i="8"/>
  <c r="B119" i="8"/>
  <c r="K119" i="8" s="1"/>
  <c r="H118" i="8"/>
  <c r="G118" i="8"/>
  <c r="B118" i="8"/>
  <c r="J117" i="8"/>
  <c r="H117" i="8"/>
  <c r="G117" i="8"/>
  <c r="B117" i="8"/>
  <c r="N116" i="8"/>
  <c r="J116" i="8"/>
  <c r="H116" i="8"/>
  <c r="G116" i="8"/>
  <c r="B116" i="8"/>
  <c r="M116" i="8" s="1"/>
  <c r="N115" i="8"/>
  <c r="M115" i="8"/>
  <c r="H115" i="8"/>
  <c r="G115" i="8"/>
  <c r="B115" i="8"/>
  <c r="K115" i="8" s="1"/>
  <c r="H114" i="8"/>
  <c r="G114" i="8"/>
  <c r="B114" i="8"/>
  <c r="J113" i="8"/>
  <c r="H113" i="8"/>
  <c r="G113" i="8"/>
  <c r="B113" i="8"/>
  <c r="N112" i="8"/>
  <c r="J112" i="8"/>
  <c r="H112" i="8"/>
  <c r="G112" i="8"/>
  <c r="B112" i="8"/>
  <c r="M112" i="8" s="1"/>
  <c r="N111" i="8"/>
  <c r="M111" i="8"/>
  <c r="J111" i="8"/>
  <c r="H111" i="8"/>
  <c r="G111" i="8"/>
  <c r="B111" i="8"/>
  <c r="K111" i="8" s="1"/>
  <c r="K110" i="8"/>
  <c r="H110" i="8"/>
  <c r="G110" i="8"/>
  <c r="B110" i="8"/>
  <c r="H109" i="8"/>
  <c r="G109" i="8"/>
  <c r="B109" i="8"/>
  <c r="J109" i="8" s="1"/>
  <c r="N108" i="8"/>
  <c r="J108" i="8"/>
  <c r="H108" i="8"/>
  <c r="G108" i="8"/>
  <c r="B108" i="8"/>
  <c r="M108" i="8" s="1"/>
  <c r="N107" i="8"/>
  <c r="M107" i="8"/>
  <c r="H107" i="8"/>
  <c r="G107" i="8"/>
  <c r="B107" i="8"/>
  <c r="K107" i="8" s="1"/>
  <c r="K106" i="8"/>
  <c r="H106" i="8"/>
  <c r="G106" i="8"/>
  <c r="B106" i="8"/>
  <c r="H105" i="8"/>
  <c r="G105" i="8"/>
  <c r="B105" i="8"/>
  <c r="J105" i="8" s="1"/>
  <c r="H104" i="8"/>
  <c r="G104" i="8"/>
  <c r="B104" i="8"/>
  <c r="M104" i="8" s="1"/>
  <c r="J103" i="8"/>
  <c r="H103" i="8"/>
  <c r="G103" i="8"/>
  <c r="B103" i="8"/>
  <c r="N103" i="8" s="1"/>
  <c r="N102" i="8"/>
  <c r="H102" i="8"/>
  <c r="G102" i="8"/>
  <c r="B102" i="8"/>
  <c r="M102" i="8" s="1"/>
  <c r="N101" i="8"/>
  <c r="M101" i="8"/>
  <c r="J101" i="8"/>
  <c r="H101" i="8"/>
  <c r="G101" i="8"/>
  <c r="B101" i="8"/>
  <c r="K101" i="8" s="1"/>
  <c r="H100" i="8"/>
  <c r="G100" i="8"/>
  <c r="B100" i="8"/>
  <c r="J100" i="8" s="1"/>
  <c r="J99" i="8"/>
  <c r="H99" i="8"/>
  <c r="G99" i="8"/>
  <c r="B99" i="8"/>
  <c r="N99" i="8" s="1"/>
  <c r="N98" i="8"/>
  <c r="H98" i="8"/>
  <c r="G98" i="8"/>
  <c r="B98" i="8"/>
  <c r="M98" i="8" s="1"/>
  <c r="N97" i="8"/>
  <c r="M97" i="8"/>
  <c r="J97" i="8"/>
  <c r="H97" i="8"/>
  <c r="G97" i="8"/>
  <c r="B97" i="8"/>
  <c r="K97" i="8" s="1"/>
  <c r="H96" i="8"/>
  <c r="G96" i="8"/>
  <c r="B96" i="8"/>
  <c r="J96" i="8" s="1"/>
  <c r="J95" i="8"/>
  <c r="H95" i="8"/>
  <c r="G95" i="8"/>
  <c r="B95" i="8"/>
  <c r="N95" i="8" s="1"/>
  <c r="N94" i="8"/>
  <c r="H94" i="8"/>
  <c r="G94" i="8"/>
  <c r="B94" i="8"/>
  <c r="M94" i="8" s="1"/>
  <c r="N93" i="8"/>
  <c r="M93" i="8"/>
  <c r="J93" i="8"/>
  <c r="H93" i="8"/>
  <c r="G93" i="8"/>
  <c r="B93" i="8"/>
  <c r="K93" i="8" s="1"/>
  <c r="H92" i="8"/>
  <c r="G92" i="8"/>
  <c r="B92" i="8"/>
  <c r="J92" i="8" s="1"/>
  <c r="J91" i="8"/>
  <c r="H91" i="8"/>
  <c r="G91" i="8"/>
  <c r="B91" i="8"/>
  <c r="N91" i="8" s="1"/>
  <c r="N90" i="8"/>
  <c r="H90" i="8"/>
  <c r="G90" i="8"/>
  <c r="B90" i="8"/>
  <c r="M90" i="8" s="1"/>
  <c r="N89" i="8"/>
  <c r="M89" i="8"/>
  <c r="J89" i="8"/>
  <c r="H89" i="8"/>
  <c r="G89" i="8"/>
  <c r="B89" i="8"/>
  <c r="K89" i="8" s="1"/>
  <c r="H88" i="8"/>
  <c r="G88" i="8"/>
  <c r="B88" i="8"/>
  <c r="J88" i="8" s="1"/>
  <c r="J87" i="8"/>
  <c r="H87" i="8"/>
  <c r="G87" i="8"/>
  <c r="B87" i="8"/>
  <c r="N87" i="8" s="1"/>
  <c r="N86" i="8"/>
  <c r="H86" i="8"/>
  <c r="G86" i="8"/>
  <c r="B86" i="8"/>
  <c r="M86" i="8" s="1"/>
  <c r="N85" i="8"/>
  <c r="M85" i="8"/>
  <c r="J85" i="8"/>
  <c r="H85" i="8"/>
  <c r="G85" i="8"/>
  <c r="B85" i="8"/>
  <c r="K85" i="8" s="1"/>
  <c r="H84" i="8"/>
  <c r="G84" i="8"/>
  <c r="B84" i="8"/>
  <c r="J84" i="8" s="1"/>
  <c r="J83" i="8"/>
  <c r="H83" i="8"/>
  <c r="G83" i="8"/>
  <c r="B83" i="8"/>
  <c r="N83" i="8" s="1"/>
  <c r="N82" i="8"/>
  <c r="H82" i="8"/>
  <c r="G82" i="8"/>
  <c r="B82" i="8"/>
  <c r="M82" i="8" s="1"/>
  <c r="N81" i="8"/>
  <c r="M81" i="8"/>
  <c r="J81" i="8"/>
  <c r="H81" i="8"/>
  <c r="G81" i="8"/>
  <c r="B81" i="8"/>
  <c r="K81" i="8" s="1"/>
  <c r="H80" i="8"/>
  <c r="G80" i="8"/>
  <c r="B80" i="8"/>
  <c r="J80" i="8" s="1"/>
  <c r="M79" i="8"/>
  <c r="J79" i="8"/>
  <c r="H79" i="8"/>
  <c r="G79" i="8"/>
  <c r="B79" i="8"/>
  <c r="N79" i="8" s="1"/>
  <c r="N78" i="8"/>
  <c r="H78" i="8"/>
  <c r="G78" i="8"/>
  <c r="B78" i="8"/>
  <c r="M78" i="8" s="1"/>
  <c r="N77" i="8"/>
  <c r="M77" i="8"/>
  <c r="J77" i="8"/>
  <c r="H77" i="8"/>
  <c r="G77" i="8"/>
  <c r="B77" i="8"/>
  <c r="K77" i="8" s="1"/>
  <c r="H76" i="8"/>
  <c r="G76" i="8"/>
  <c r="B76" i="8"/>
  <c r="J76" i="8" s="1"/>
  <c r="M75" i="8"/>
  <c r="J75" i="8"/>
  <c r="H75" i="8"/>
  <c r="G75" i="8"/>
  <c r="B75" i="8"/>
  <c r="N75" i="8" s="1"/>
  <c r="N74" i="8"/>
  <c r="H74" i="8"/>
  <c r="G74" i="8"/>
  <c r="B74" i="8"/>
  <c r="M74" i="8" s="1"/>
  <c r="N73" i="8"/>
  <c r="M73" i="8"/>
  <c r="J73" i="8"/>
  <c r="H73" i="8"/>
  <c r="G73" i="8"/>
  <c r="B73" i="8"/>
  <c r="K73" i="8" s="1"/>
  <c r="H72" i="8"/>
  <c r="G72" i="8"/>
  <c r="B72" i="8"/>
  <c r="J72" i="8" s="1"/>
  <c r="M71" i="8"/>
  <c r="J71" i="8"/>
  <c r="H71" i="8"/>
  <c r="G71" i="8"/>
  <c r="B71" i="8"/>
  <c r="N71" i="8" s="1"/>
  <c r="N70" i="8"/>
  <c r="H70" i="8"/>
  <c r="G70" i="8"/>
  <c r="B70" i="8"/>
  <c r="M70" i="8" s="1"/>
  <c r="N69" i="8"/>
  <c r="M69" i="8"/>
  <c r="J69" i="8"/>
  <c r="H69" i="8"/>
  <c r="G69" i="8"/>
  <c r="B69" i="8"/>
  <c r="K69" i="8" s="1"/>
  <c r="H68" i="8"/>
  <c r="G68" i="8"/>
  <c r="B68" i="8"/>
  <c r="J68" i="8" s="1"/>
  <c r="M67" i="8"/>
  <c r="J67" i="8"/>
  <c r="H67" i="8"/>
  <c r="G67" i="8"/>
  <c r="B67" i="8"/>
  <c r="N67" i="8" s="1"/>
  <c r="N66" i="8"/>
  <c r="H66" i="8"/>
  <c r="G66" i="8"/>
  <c r="B66" i="8"/>
  <c r="M66" i="8" s="1"/>
  <c r="N65" i="8"/>
  <c r="M65" i="8"/>
  <c r="J65" i="8"/>
  <c r="H65" i="8"/>
  <c r="G65" i="8"/>
  <c r="B65" i="8"/>
  <c r="K65" i="8" s="1"/>
  <c r="H64" i="8"/>
  <c r="G64" i="8"/>
  <c r="B64" i="8"/>
  <c r="J64" i="8" s="1"/>
  <c r="M63" i="8"/>
  <c r="J63" i="8"/>
  <c r="H63" i="8"/>
  <c r="G63" i="8"/>
  <c r="B63" i="8"/>
  <c r="N63" i="8" s="1"/>
  <c r="N62" i="8"/>
  <c r="H62" i="8"/>
  <c r="G62" i="8"/>
  <c r="B62" i="8"/>
  <c r="M62" i="8" s="1"/>
  <c r="N61" i="8"/>
  <c r="M61" i="8"/>
  <c r="J61" i="8"/>
  <c r="H61" i="8"/>
  <c r="G61" i="8"/>
  <c r="B61" i="8"/>
  <c r="K61" i="8" s="1"/>
  <c r="H60" i="8"/>
  <c r="G60" i="8"/>
  <c r="B60" i="8"/>
  <c r="J60" i="8" s="1"/>
  <c r="M59" i="8"/>
  <c r="J59" i="8"/>
  <c r="H59" i="8"/>
  <c r="G59" i="8"/>
  <c r="B59" i="8"/>
  <c r="N59" i="8" s="1"/>
  <c r="N58" i="8"/>
  <c r="H58" i="8"/>
  <c r="G58" i="8"/>
  <c r="B58" i="8"/>
  <c r="M58" i="8" s="1"/>
  <c r="N57" i="8"/>
  <c r="M57" i="8"/>
  <c r="J57" i="8"/>
  <c r="H57" i="8"/>
  <c r="G57" i="8"/>
  <c r="B57" i="8"/>
  <c r="K57" i="8" s="1"/>
  <c r="H56" i="8"/>
  <c r="G56" i="8"/>
  <c r="B56" i="8"/>
  <c r="J56" i="8" s="1"/>
  <c r="M55" i="8"/>
  <c r="J55" i="8"/>
  <c r="H55" i="8"/>
  <c r="G55" i="8"/>
  <c r="B55" i="8"/>
  <c r="N55" i="8" s="1"/>
  <c r="N54" i="8"/>
  <c r="H54" i="8"/>
  <c r="G54" i="8"/>
  <c r="B54" i="8"/>
  <c r="M54" i="8" s="1"/>
  <c r="N53" i="8"/>
  <c r="M53" i="8"/>
  <c r="J53" i="8"/>
  <c r="H53" i="8"/>
  <c r="G53" i="8"/>
  <c r="B53" i="8"/>
  <c r="K53" i="8" s="1"/>
  <c r="H52" i="8"/>
  <c r="G52" i="8"/>
  <c r="B52" i="8"/>
  <c r="J52" i="8" s="1"/>
  <c r="M51" i="8"/>
  <c r="J51" i="8"/>
  <c r="H51" i="8"/>
  <c r="G51" i="8"/>
  <c r="B51" i="8"/>
  <c r="N51" i="8" s="1"/>
  <c r="N50" i="8"/>
  <c r="H50" i="8"/>
  <c r="G50" i="8"/>
  <c r="B50" i="8"/>
  <c r="M50" i="8" s="1"/>
  <c r="N49" i="8"/>
  <c r="M49" i="8"/>
  <c r="J49" i="8"/>
  <c r="H49" i="8"/>
  <c r="G49" i="8"/>
  <c r="B49" i="8"/>
  <c r="K49" i="8" s="1"/>
  <c r="H48" i="8"/>
  <c r="G48" i="8"/>
  <c r="B48" i="8"/>
  <c r="J48" i="8" s="1"/>
  <c r="M47" i="8"/>
  <c r="J47" i="8"/>
  <c r="H47" i="8"/>
  <c r="G47" i="8"/>
  <c r="B47" i="8"/>
  <c r="N47" i="8" s="1"/>
  <c r="N46" i="8"/>
  <c r="H46" i="8"/>
  <c r="G46" i="8"/>
  <c r="B46" i="8"/>
  <c r="M46" i="8" s="1"/>
  <c r="N45" i="8"/>
  <c r="M45" i="8"/>
  <c r="J45" i="8"/>
  <c r="H45" i="8"/>
  <c r="G45" i="8"/>
  <c r="B45" i="8"/>
  <c r="K45" i="8" s="1"/>
  <c r="H44" i="8"/>
  <c r="G44" i="8"/>
  <c r="B44" i="8"/>
  <c r="J44" i="8" s="1"/>
  <c r="M43" i="8"/>
  <c r="J43" i="8"/>
  <c r="H43" i="8"/>
  <c r="G43" i="8"/>
  <c r="B43" i="8"/>
  <c r="N43" i="8" s="1"/>
  <c r="N42" i="8"/>
  <c r="H42" i="8"/>
  <c r="G42" i="8"/>
  <c r="B42" i="8"/>
  <c r="M42" i="8" s="1"/>
  <c r="N41" i="8"/>
  <c r="M41" i="8"/>
  <c r="J41" i="8"/>
  <c r="H41" i="8"/>
  <c r="G41" i="8"/>
  <c r="B41" i="8"/>
  <c r="K41" i="8" s="1"/>
  <c r="H40" i="8"/>
  <c r="G40" i="8"/>
  <c r="B40" i="8"/>
  <c r="J40" i="8" s="1"/>
  <c r="M39" i="8"/>
  <c r="J39" i="8"/>
  <c r="H39" i="8"/>
  <c r="G39" i="8"/>
  <c r="B39" i="8"/>
  <c r="N39" i="8" s="1"/>
  <c r="N38" i="8"/>
  <c r="H38" i="8"/>
  <c r="G38" i="8"/>
  <c r="B38" i="8"/>
  <c r="M38" i="8" s="1"/>
  <c r="N37" i="8"/>
  <c r="M37" i="8"/>
  <c r="J37" i="8"/>
  <c r="H37" i="8"/>
  <c r="G37" i="8"/>
  <c r="B37" i="8"/>
  <c r="K37" i="8" s="1"/>
  <c r="H36" i="8"/>
  <c r="G36" i="8"/>
  <c r="B36" i="8"/>
  <c r="J36" i="8" s="1"/>
  <c r="M35" i="8"/>
  <c r="J35" i="8"/>
  <c r="H35" i="8"/>
  <c r="G35" i="8"/>
  <c r="B35" i="8"/>
  <c r="N35" i="8" s="1"/>
  <c r="N34" i="8"/>
  <c r="H34" i="8"/>
  <c r="G34" i="8"/>
  <c r="B34" i="8"/>
  <c r="M34" i="8" s="1"/>
  <c r="N33" i="8"/>
  <c r="M33" i="8"/>
  <c r="J33" i="8"/>
  <c r="H33" i="8"/>
  <c r="G33" i="8"/>
  <c r="B33" i="8"/>
  <c r="K33" i="8" s="1"/>
  <c r="H32" i="8"/>
  <c r="G32" i="8"/>
  <c r="B32" i="8"/>
  <c r="J32" i="8" s="1"/>
  <c r="M31" i="8"/>
  <c r="J31" i="8"/>
  <c r="H31" i="8"/>
  <c r="G31" i="8"/>
  <c r="B31" i="8"/>
  <c r="N31" i="8" s="1"/>
  <c r="N30" i="8"/>
  <c r="H30" i="8"/>
  <c r="G30" i="8"/>
  <c r="B30" i="8"/>
  <c r="M30" i="8" s="1"/>
  <c r="N29" i="8"/>
  <c r="M29" i="8"/>
  <c r="J29" i="8"/>
  <c r="H29" i="8"/>
  <c r="G29" i="8"/>
  <c r="B29" i="8"/>
  <c r="K29" i="8" s="1"/>
  <c r="H28" i="8"/>
  <c r="G28" i="8"/>
  <c r="B28" i="8"/>
  <c r="J28" i="8" s="1"/>
  <c r="M27" i="8"/>
  <c r="J27" i="8"/>
  <c r="H27" i="8"/>
  <c r="G27" i="8"/>
  <c r="B27" i="8"/>
  <c r="N27" i="8" s="1"/>
  <c r="N26" i="8"/>
  <c r="H26" i="8"/>
  <c r="G26" i="8"/>
  <c r="B26" i="8"/>
  <c r="M26" i="8" s="1"/>
  <c r="N25" i="8"/>
  <c r="M25" i="8"/>
  <c r="J25" i="8"/>
  <c r="H25" i="8"/>
  <c r="G25" i="8"/>
  <c r="B25" i="8"/>
  <c r="K25" i="8" s="1"/>
  <c r="H24" i="8"/>
  <c r="G24" i="8"/>
  <c r="B24" i="8"/>
  <c r="J24" i="8" s="1"/>
  <c r="M23" i="8"/>
  <c r="J23" i="8"/>
  <c r="H23" i="8"/>
  <c r="G23" i="8"/>
  <c r="B23" i="8"/>
  <c r="N23" i="8" s="1"/>
  <c r="N22" i="8"/>
  <c r="H22" i="8"/>
  <c r="G22" i="8"/>
  <c r="B22" i="8"/>
  <c r="M22" i="8" s="1"/>
  <c r="N21" i="8"/>
  <c r="M21" i="8"/>
  <c r="J21" i="8"/>
  <c r="H21" i="8"/>
  <c r="G21" i="8"/>
  <c r="B21" i="8"/>
  <c r="K21" i="8" s="1"/>
  <c r="H20" i="8"/>
  <c r="G20" i="8"/>
  <c r="B20" i="8"/>
  <c r="J20" i="8" s="1"/>
  <c r="M19" i="8"/>
  <c r="J19" i="8"/>
  <c r="H19" i="8"/>
  <c r="G19" i="8"/>
  <c r="B19" i="8"/>
  <c r="N19" i="8" s="1"/>
  <c r="N18" i="8"/>
  <c r="H18" i="8"/>
  <c r="G18" i="8"/>
  <c r="B18" i="8"/>
  <c r="M18" i="8" s="1"/>
  <c r="N17" i="8"/>
  <c r="M17" i="8"/>
  <c r="J17" i="8"/>
  <c r="H17" i="8"/>
  <c r="G17" i="8"/>
  <c r="B17" i="8"/>
  <c r="K17" i="8" s="1"/>
  <c r="H16" i="8"/>
  <c r="G16" i="8"/>
  <c r="B16" i="8"/>
  <c r="J16" i="8" s="1"/>
  <c r="M15" i="8"/>
  <c r="J15" i="8"/>
  <c r="H15" i="8"/>
  <c r="G15" i="8"/>
  <c r="B15" i="8"/>
  <c r="N15" i="8" s="1"/>
  <c r="N14" i="8"/>
  <c r="H14" i="8"/>
  <c r="G14" i="8"/>
  <c r="B14" i="8"/>
  <c r="M14" i="8" s="1"/>
  <c r="N13" i="8"/>
  <c r="M13" i="8"/>
  <c r="J13" i="8"/>
  <c r="H13" i="8"/>
  <c r="G13" i="8"/>
  <c r="B13" i="8"/>
  <c r="K13" i="8" s="1"/>
  <c r="H12" i="8"/>
  <c r="G12" i="8"/>
  <c r="B12" i="8"/>
  <c r="J12" i="8" s="1"/>
  <c r="M11" i="8"/>
  <c r="J11" i="8"/>
  <c r="H11" i="8"/>
  <c r="G11" i="8"/>
  <c r="B11" i="8"/>
  <c r="N11" i="8" s="1"/>
  <c r="N10" i="8"/>
  <c r="H10" i="8"/>
  <c r="G10" i="8"/>
  <c r="B10" i="8"/>
  <c r="M10" i="8" s="1"/>
  <c r="N9" i="8"/>
  <c r="M9" i="8"/>
  <c r="J9" i="8"/>
  <c r="H9" i="8"/>
  <c r="G9" i="8"/>
  <c r="B9" i="8"/>
  <c r="K9" i="8" s="1"/>
  <c r="H8" i="8"/>
  <c r="G8" i="8"/>
  <c r="B8" i="8"/>
  <c r="J8" i="8" s="1"/>
  <c r="M7" i="8"/>
  <c r="J7" i="8"/>
  <c r="H7" i="8"/>
  <c r="G7" i="8"/>
  <c r="B7" i="8"/>
  <c r="N7" i="8" s="1"/>
  <c r="N6" i="8"/>
  <c r="H6" i="8"/>
  <c r="G6" i="8"/>
  <c r="B6" i="8"/>
  <c r="M6" i="8" s="1"/>
  <c r="N5" i="8"/>
  <c r="M5" i="8"/>
  <c r="J5" i="8"/>
  <c r="H5" i="8"/>
  <c r="G5" i="8"/>
  <c r="B5" i="8"/>
  <c r="K5" i="8" s="1"/>
  <c r="H4" i="8"/>
  <c r="G4" i="8"/>
  <c r="B4" i="8"/>
  <c r="J4" i="8" s="1"/>
  <c r="M3" i="8"/>
  <c r="J3" i="8"/>
  <c r="H3" i="8"/>
  <c r="G3" i="8"/>
  <c r="B3" i="8"/>
  <c r="N3" i="8" s="1"/>
  <c r="N2" i="8"/>
  <c r="H2" i="8"/>
  <c r="G2" i="8"/>
  <c r="B2" i="8"/>
  <c r="M2" i="8" s="1"/>
  <c r="J299" i="7"/>
  <c r="H299" i="7"/>
  <c r="G299" i="7"/>
  <c r="J298" i="7"/>
  <c r="H298" i="7"/>
  <c r="G298" i="7"/>
  <c r="J297" i="7"/>
  <c r="H297" i="7"/>
  <c r="G297" i="7"/>
  <c r="J296" i="7"/>
  <c r="H296" i="7"/>
  <c r="G296" i="7"/>
  <c r="J295" i="7"/>
  <c r="H295" i="7"/>
  <c r="G295" i="7"/>
  <c r="J294" i="7"/>
  <c r="H294" i="7"/>
  <c r="G294" i="7"/>
  <c r="J293" i="7"/>
  <c r="H293" i="7"/>
  <c r="G293" i="7"/>
  <c r="J292" i="7"/>
  <c r="H292" i="7"/>
  <c r="G292" i="7"/>
  <c r="J291" i="7"/>
  <c r="H291" i="7"/>
  <c r="G291" i="7"/>
  <c r="J290" i="7"/>
  <c r="H290" i="7"/>
  <c r="G290" i="7"/>
  <c r="J289" i="7"/>
  <c r="H289" i="7"/>
  <c r="G289" i="7"/>
  <c r="J288" i="7"/>
  <c r="H288" i="7"/>
  <c r="G288" i="7"/>
  <c r="J287" i="7"/>
  <c r="H287" i="7"/>
  <c r="G287" i="7"/>
  <c r="J286" i="7"/>
  <c r="H286" i="7"/>
  <c r="G286" i="7"/>
  <c r="J285" i="7"/>
  <c r="H285" i="7"/>
  <c r="G285" i="7"/>
  <c r="J284" i="7"/>
  <c r="H284" i="7"/>
  <c r="G284" i="7"/>
  <c r="J283" i="7"/>
  <c r="H283" i="7"/>
  <c r="G283" i="7"/>
  <c r="J282" i="7"/>
  <c r="H282" i="7"/>
  <c r="G282" i="7"/>
  <c r="J281" i="7"/>
  <c r="H281" i="7"/>
  <c r="G281" i="7"/>
  <c r="J280" i="7"/>
  <c r="H280" i="7"/>
  <c r="G280" i="7"/>
  <c r="J279" i="7"/>
  <c r="H279" i="7"/>
  <c r="G279" i="7"/>
  <c r="J278" i="7"/>
  <c r="H278" i="7"/>
  <c r="G278" i="7"/>
  <c r="J277" i="7"/>
  <c r="H277" i="7"/>
  <c r="G277" i="7"/>
  <c r="J276" i="7"/>
  <c r="H276" i="7"/>
  <c r="G276" i="7"/>
  <c r="J275" i="7"/>
  <c r="H275" i="7"/>
  <c r="G275" i="7"/>
  <c r="J274" i="7"/>
  <c r="H274" i="7"/>
  <c r="G274" i="7"/>
  <c r="J273" i="7"/>
  <c r="H273" i="7"/>
  <c r="G273" i="7"/>
  <c r="J272" i="7"/>
  <c r="H272" i="7"/>
  <c r="G272" i="7"/>
  <c r="J271" i="7"/>
  <c r="H271" i="7"/>
  <c r="G271" i="7"/>
  <c r="J270" i="7"/>
  <c r="H270" i="7"/>
  <c r="G270" i="7"/>
  <c r="J269" i="7"/>
  <c r="H269" i="7"/>
  <c r="G269" i="7"/>
  <c r="J268" i="7"/>
  <c r="H268" i="7"/>
  <c r="G268" i="7"/>
  <c r="J267" i="7"/>
  <c r="H267" i="7"/>
  <c r="G267" i="7"/>
  <c r="J266" i="7"/>
  <c r="H266" i="7"/>
  <c r="G266" i="7"/>
  <c r="J265" i="7"/>
  <c r="H265" i="7"/>
  <c r="G265" i="7"/>
  <c r="J264" i="7"/>
  <c r="H264" i="7"/>
  <c r="G264" i="7"/>
  <c r="J263" i="7"/>
  <c r="H263" i="7"/>
  <c r="G263" i="7"/>
  <c r="J262" i="7"/>
  <c r="H262" i="7"/>
  <c r="G262" i="7"/>
  <c r="J261" i="7"/>
  <c r="H261" i="7"/>
  <c r="G261" i="7"/>
  <c r="J260" i="7"/>
  <c r="H260" i="7"/>
  <c r="G260" i="7"/>
  <c r="J259" i="7"/>
  <c r="H259" i="7"/>
  <c r="G259" i="7"/>
  <c r="J258" i="7"/>
  <c r="H258" i="7"/>
  <c r="G258" i="7"/>
  <c r="J257" i="7"/>
  <c r="H257" i="7"/>
  <c r="G257" i="7"/>
  <c r="J256" i="7"/>
  <c r="H256" i="7"/>
  <c r="G256" i="7"/>
  <c r="J255" i="7"/>
  <c r="H255" i="7"/>
  <c r="G255" i="7"/>
  <c r="J254" i="7"/>
  <c r="H254" i="7"/>
  <c r="G254" i="7"/>
  <c r="J253" i="7"/>
  <c r="H253" i="7"/>
  <c r="G253" i="7"/>
  <c r="J252" i="7"/>
  <c r="H252" i="7"/>
  <c r="G252" i="7"/>
  <c r="J251" i="7"/>
  <c r="H251" i="7"/>
  <c r="G251" i="7"/>
  <c r="J250" i="7"/>
  <c r="H250" i="7"/>
  <c r="G250" i="7"/>
  <c r="J249" i="7"/>
  <c r="H249" i="7"/>
  <c r="G249" i="7"/>
  <c r="J248" i="7"/>
  <c r="H248" i="7"/>
  <c r="G248" i="7"/>
  <c r="J247" i="7"/>
  <c r="H247" i="7"/>
  <c r="G247" i="7"/>
  <c r="J246" i="7"/>
  <c r="H246" i="7"/>
  <c r="G246" i="7"/>
  <c r="J245" i="7"/>
  <c r="H245" i="7"/>
  <c r="G245" i="7"/>
  <c r="J244" i="7"/>
  <c r="H244" i="7"/>
  <c r="G244" i="7"/>
  <c r="J243" i="7"/>
  <c r="H243" i="7"/>
  <c r="G243" i="7"/>
  <c r="J242" i="7"/>
  <c r="H242" i="7"/>
  <c r="G242" i="7"/>
  <c r="J241" i="7"/>
  <c r="H241" i="7"/>
  <c r="G241" i="7"/>
  <c r="J240" i="7"/>
  <c r="H240" i="7"/>
  <c r="G240" i="7"/>
  <c r="J239" i="7"/>
  <c r="H239" i="7"/>
  <c r="G239" i="7"/>
  <c r="J238" i="7"/>
  <c r="H238" i="7"/>
  <c r="G238" i="7"/>
  <c r="J237" i="7"/>
  <c r="H237" i="7"/>
  <c r="G237" i="7"/>
  <c r="J236" i="7"/>
  <c r="H236" i="7"/>
  <c r="G236" i="7"/>
  <c r="J235" i="7"/>
  <c r="H235" i="7"/>
  <c r="G235" i="7"/>
  <c r="J234" i="7"/>
  <c r="H234" i="7"/>
  <c r="G234" i="7"/>
  <c r="J233" i="7"/>
  <c r="H233" i="7"/>
  <c r="G233" i="7"/>
  <c r="J232" i="7"/>
  <c r="H232" i="7"/>
  <c r="G232" i="7"/>
  <c r="J231" i="7"/>
  <c r="H231" i="7"/>
  <c r="G231" i="7"/>
  <c r="J230" i="7"/>
  <c r="H230" i="7"/>
  <c r="G230" i="7"/>
  <c r="J229" i="7"/>
  <c r="H229" i="7"/>
  <c r="G229" i="7"/>
  <c r="J228" i="7"/>
  <c r="H228" i="7"/>
  <c r="G228" i="7"/>
  <c r="J227" i="7"/>
  <c r="H227" i="7"/>
  <c r="G227" i="7"/>
  <c r="J226" i="7"/>
  <c r="H226" i="7"/>
  <c r="G226" i="7"/>
  <c r="J225" i="7"/>
  <c r="H225" i="7"/>
  <c r="G225" i="7"/>
  <c r="J224" i="7"/>
  <c r="H224" i="7"/>
  <c r="G224" i="7"/>
  <c r="J223" i="7"/>
  <c r="H223" i="7"/>
  <c r="G223" i="7"/>
  <c r="J222" i="7"/>
  <c r="H222" i="7"/>
  <c r="G222" i="7"/>
  <c r="J221" i="7"/>
  <c r="H221" i="7"/>
  <c r="G221" i="7"/>
  <c r="J220" i="7"/>
  <c r="H220" i="7"/>
  <c r="G220" i="7"/>
  <c r="J219" i="7"/>
  <c r="H219" i="7"/>
  <c r="G219" i="7"/>
  <c r="J218" i="7"/>
  <c r="H218" i="7"/>
  <c r="G218" i="7"/>
  <c r="J217" i="7"/>
  <c r="H217" i="7"/>
  <c r="G217" i="7"/>
  <c r="J216" i="7"/>
  <c r="H216" i="7"/>
  <c r="G216" i="7"/>
  <c r="J215" i="7"/>
  <c r="H215" i="7"/>
  <c r="G215" i="7"/>
  <c r="J214" i="7"/>
  <c r="H214" i="7"/>
  <c r="G214" i="7"/>
  <c r="J213" i="7"/>
  <c r="H213" i="7"/>
  <c r="G213" i="7"/>
  <c r="J212" i="7"/>
  <c r="H212" i="7"/>
  <c r="G212" i="7"/>
  <c r="J211" i="7"/>
  <c r="H211" i="7"/>
  <c r="G211" i="7"/>
  <c r="J210" i="7"/>
  <c r="H210" i="7"/>
  <c r="G210" i="7"/>
  <c r="J209" i="7"/>
  <c r="H209" i="7"/>
  <c r="G209" i="7"/>
  <c r="J208" i="7"/>
  <c r="H208" i="7"/>
  <c r="G208" i="7"/>
  <c r="J207" i="7"/>
  <c r="H207" i="7"/>
  <c r="G207" i="7"/>
  <c r="J206" i="7"/>
  <c r="H206" i="7"/>
  <c r="G206" i="7"/>
  <c r="J205" i="7"/>
  <c r="H205" i="7"/>
  <c r="G205" i="7"/>
  <c r="J204" i="7"/>
  <c r="H204" i="7"/>
  <c r="G204" i="7"/>
  <c r="J203" i="7"/>
  <c r="H203" i="7"/>
  <c r="G203" i="7"/>
  <c r="J202" i="7"/>
  <c r="H202" i="7"/>
  <c r="G202" i="7"/>
  <c r="J201" i="7"/>
  <c r="H201" i="7"/>
  <c r="G201" i="7"/>
  <c r="J200" i="7"/>
  <c r="H200" i="7"/>
  <c r="G200" i="7"/>
  <c r="J199" i="7"/>
  <c r="H199" i="7"/>
  <c r="G199" i="7"/>
  <c r="J198" i="7"/>
  <c r="H198" i="7"/>
  <c r="G198" i="7"/>
  <c r="J197" i="7"/>
  <c r="H197" i="7"/>
  <c r="G197" i="7"/>
  <c r="J196" i="7"/>
  <c r="H196" i="7"/>
  <c r="G196" i="7"/>
  <c r="J195" i="7"/>
  <c r="H195" i="7"/>
  <c r="G195" i="7"/>
  <c r="J194" i="7"/>
  <c r="H194" i="7"/>
  <c r="G194" i="7"/>
  <c r="J193" i="7"/>
  <c r="H193" i="7"/>
  <c r="G193" i="7"/>
  <c r="J192" i="7"/>
  <c r="H192" i="7"/>
  <c r="G192" i="7"/>
  <c r="J191" i="7"/>
  <c r="H191" i="7"/>
  <c r="G191" i="7"/>
  <c r="J190" i="7"/>
  <c r="H190" i="7"/>
  <c r="G190" i="7"/>
  <c r="J189" i="7"/>
  <c r="H189" i="7"/>
  <c r="G189" i="7"/>
  <c r="J188" i="7"/>
  <c r="H188" i="7"/>
  <c r="G188" i="7"/>
  <c r="J187" i="7"/>
  <c r="H187" i="7"/>
  <c r="G187" i="7"/>
  <c r="J186" i="7"/>
  <c r="H186" i="7"/>
  <c r="G186" i="7"/>
  <c r="J185" i="7"/>
  <c r="H185" i="7"/>
  <c r="G185" i="7"/>
  <c r="J184" i="7"/>
  <c r="H184" i="7"/>
  <c r="G184" i="7"/>
  <c r="J183" i="7"/>
  <c r="H183" i="7"/>
  <c r="G183" i="7"/>
  <c r="J182" i="7"/>
  <c r="H182" i="7"/>
  <c r="G182" i="7"/>
  <c r="J181" i="7"/>
  <c r="H181" i="7"/>
  <c r="G181" i="7"/>
  <c r="J180" i="7"/>
  <c r="H180" i="7"/>
  <c r="G180" i="7"/>
  <c r="J179" i="7"/>
  <c r="H179" i="7"/>
  <c r="G179" i="7"/>
  <c r="J178" i="7"/>
  <c r="H178" i="7"/>
  <c r="G178" i="7"/>
  <c r="J177" i="7"/>
  <c r="H177" i="7"/>
  <c r="G177" i="7"/>
  <c r="J176" i="7"/>
  <c r="H176" i="7"/>
  <c r="G176" i="7"/>
  <c r="J175" i="7"/>
  <c r="H175" i="7"/>
  <c r="G175" i="7"/>
  <c r="J174" i="7"/>
  <c r="H174" i="7"/>
  <c r="G174" i="7"/>
  <c r="J173" i="7"/>
  <c r="H173" i="7"/>
  <c r="G173" i="7"/>
  <c r="J172" i="7"/>
  <c r="H172" i="7"/>
  <c r="G172" i="7"/>
  <c r="J171" i="7"/>
  <c r="H171" i="7"/>
  <c r="G171" i="7"/>
  <c r="J170" i="7"/>
  <c r="H170" i="7"/>
  <c r="G170" i="7"/>
  <c r="J169" i="7"/>
  <c r="H169" i="7"/>
  <c r="G169" i="7"/>
  <c r="J168" i="7"/>
  <c r="H168" i="7"/>
  <c r="G168" i="7"/>
  <c r="J167" i="7"/>
  <c r="H167" i="7"/>
  <c r="G167" i="7"/>
  <c r="J166" i="7"/>
  <c r="H166" i="7"/>
  <c r="G166" i="7"/>
  <c r="J165" i="7"/>
  <c r="H165" i="7"/>
  <c r="G165" i="7"/>
  <c r="J164" i="7"/>
  <c r="H164" i="7"/>
  <c r="G164" i="7"/>
  <c r="J163" i="7"/>
  <c r="H163" i="7"/>
  <c r="G163" i="7"/>
  <c r="J162" i="7"/>
  <c r="H162" i="7"/>
  <c r="G162" i="7"/>
  <c r="J161" i="7"/>
  <c r="H161" i="7"/>
  <c r="G161" i="7"/>
  <c r="J160" i="7"/>
  <c r="H160" i="7"/>
  <c r="G160" i="7"/>
  <c r="J159" i="7"/>
  <c r="H159" i="7"/>
  <c r="G159" i="7"/>
  <c r="J158" i="7"/>
  <c r="H158" i="7"/>
  <c r="G158" i="7"/>
  <c r="J157" i="7"/>
  <c r="H157" i="7"/>
  <c r="G157" i="7"/>
  <c r="J156" i="7"/>
  <c r="H156" i="7"/>
  <c r="G156" i="7"/>
  <c r="J155" i="7"/>
  <c r="H155" i="7"/>
  <c r="G155" i="7"/>
  <c r="J154" i="7"/>
  <c r="H154" i="7"/>
  <c r="G154" i="7"/>
  <c r="J153" i="7"/>
  <c r="H153" i="7"/>
  <c r="G153" i="7"/>
  <c r="J152" i="7"/>
  <c r="H152" i="7"/>
  <c r="G152" i="7"/>
  <c r="J151" i="7"/>
  <c r="H151" i="7"/>
  <c r="G151" i="7"/>
  <c r="J150" i="7"/>
  <c r="H150" i="7"/>
  <c r="G150" i="7"/>
  <c r="J149" i="7"/>
  <c r="H149" i="7"/>
  <c r="G149" i="7"/>
  <c r="J148" i="7"/>
  <c r="H148" i="7"/>
  <c r="G148" i="7"/>
  <c r="J147" i="7"/>
  <c r="H147" i="7"/>
  <c r="G147" i="7"/>
  <c r="J146" i="7"/>
  <c r="H146" i="7"/>
  <c r="G146" i="7"/>
  <c r="J145" i="7"/>
  <c r="H145" i="7"/>
  <c r="G145" i="7"/>
  <c r="J144" i="7"/>
  <c r="H144" i="7"/>
  <c r="G144" i="7"/>
  <c r="J143" i="7"/>
  <c r="H143" i="7"/>
  <c r="G143" i="7"/>
  <c r="J142" i="7"/>
  <c r="H142" i="7"/>
  <c r="G142" i="7"/>
  <c r="J141" i="7"/>
  <c r="H141" i="7"/>
  <c r="G141" i="7"/>
  <c r="J140" i="7"/>
  <c r="H140" i="7"/>
  <c r="G140" i="7"/>
  <c r="J139" i="7"/>
  <c r="H139" i="7"/>
  <c r="G139" i="7"/>
  <c r="J138" i="7"/>
  <c r="H138" i="7"/>
  <c r="G138" i="7"/>
  <c r="J137" i="7"/>
  <c r="H137" i="7"/>
  <c r="G137" i="7"/>
  <c r="J136" i="7"/>
  <c r="H136" i="7"/>
  <c r="G136" i="7"/>
  <c r="J135" i="7"/>
  <c r="H135" i="7"/>
  <c r="G135" i="7"/>
  <c r="J134" i="7"/>
  <c r="H134" i="7"/>
  <c r="G134" i="7"/>
  <c r="J133" i="7"/>
  <c r="H133" i="7"/>
  <c r="G133" i="7"/>
  <c r="J132" i="7"/>
  <c r="H132" i="7"/>
  <c r="G132" i="7"/>
  <c r="J131" i="7"/>
  <c r="H131" i="7"/>
  <c r="G131" i="7"/>
  <c r="J130" i="7"/>
  <c r="H130" i="7"/>
  <c r="G130" i="7"/>
  <c r="J129" i="7"/>
  <c r="H129" i="7"/>
  <c r="G129" i="7"/>
  <c r="J128" i="7"/>
  <c r="H128" i="7"/>
  <c r="G128" i="7"/>
  <c r="J127" i="7"/>
  <c r="H127" i="7"/>
  <c r="G127" i="7"/>
  <c r="J126" i="7"/>
  <c r="H126" i="7"/>
  <c r="G126" i="7"/>
  <c r="J125" i="7"/>
  <c r="H125" i="7"/>
  <c r="G125" i="7"/>
  <c r="J124" i="7"/>
  <c r="H124" i="7"/>
  <c r="G124" i="7"/>
  <c r="J123" i="7"/>
  <c r="H123" i="7"/>
  <c r="G123" i="7"/>
  <c r="J122" i="7"/>
  <c r="H122" i="7"/>
  <c r="G122" i="7"/>
  <c r="J121" i="7"/>
  <c r="H121" i="7"/>
  <c r="G121" i="7"/>
  <c r="J120" i="7"/>
  <c r="H120" i="7"/>
  <c r="G120" i="7"/>
  <c r="J119" i="7"/>
  <c r="H119" i="7"/>
  <c r="G119" i="7"/>
  <c r="J118" i="7"/>
  <c r="H118" i="7"/>
  <c r="G118" i="7"/>
  <c r="J117" i="7"/>
  <c r="H117" i="7"/>
  <c r="G117" i="7"/>
  <c r="J116" i="7"/>
  <c r="H116" i="7"/>
  <c r="G116" i="7"/>
  <c r="J115" i="7"/>
  <c r="H115" i="7"/>
  <c r="G115" i="7"/>
  <c r="J114" i="7"/>
  <c r="H114" i="7"/>
  <c r="G114" i="7"/>
  <c r="J113" i="7"/>
  <c r="H113" i="7"/>
  <c r="G113" i="7"/>
  <c r="J112" i="7"/>
  <c r="H112" i="7"/>
  <c r="G112" i="7"/>
  <c r="J111" i="7"/>
  <c r="H111" i="7"/>
  <c r="G111" i="7"/>
  <c r="J110" i="7"/>
  <c r="H110" i="7"/>
  <c r="G110" i="7"/>
  <c r="J109" i="7"/>
  <c r="H109" i="7"/>
  <c r="G109" i="7"/>
  <c r="J108" i="7"/>
  <c r="H108" i="7"/>
  <c r="G108" i="7"/>
  <c r="J107" i="7"/>
  <c r="H107" i="7"/>
  <c r="G107" i="7"/>
  <c r="J106" i="7"/>
  <c r="H106" i="7"/>
  <c r="G106" i="7"/>
  <c r="J105" i="7"/>
  <c r="H105" i="7"/>
  <c r="G105" i="7"/>
  <c r="J104" i="7"/>
  <c r="H104" i="7"/>
  <c r="G104" i="7"/>
  <c r="J103" i="7"/>
  <c r="H103" i="7"/>
  <c r="G103" i="7"/>
  <c r="J102" i="7"/>
  <c r="H102" i="7"/>
  <c r="G102" i="7"/>
  <c r="J101" i="7"/>
  <c r="H101" i="7"/>
  <c r="G101" i="7"/>
  <c r="J100" i="7"/>
  <c r="H100" i="7"/>
  <c r="G100" i="7"/>
  <c r="J99" i="7"/>
  <c r="H99" i="7"/>
  <c r="G99" i="7"/>
  <c r="J98" i="7"/>
  <c r="H98" i="7"/>
  <c r="G98" i="7"/>
  <c r="J97" i="7"/>
  <c r="H97" i="7"/>
  <c r="G97" i="7"/>
  <c r="J96" i="7"/>
  <c r="H96" i="7"/>
  <c r="G96" i="7"/>
  <c r="J95" i="7"/>
  <c r="H95" i="7"/>
  <c r="G95" i="7"/>
  <c r="J94" i="7"/>
  <c r="H94" i="7"/>
  <c r="G94" i="7"/>
  <c r="J93" i="7"/>
  <c r="H93" i="7"/>
  <c r="G93" i="7"/>
  <c r="J92" i="7"/>
  <c r="H92" i="7"/>
  <c r="G92" i="7"/>
  <c r="J91" i="7"/>
  <c r="H91" i="7"/>
  <c r="G91" i="7"/>
  <c r="J90" i="7"/>
  <c r="H90" i="7"/>
  <c r="G90" i="7"/>
  <c r="J89" i="7"/>
  <c r="H89" i="7"/>
  <c r="G89" i="7"/>
  <c r="J88" i="7"/>
  <c r="H88" i="7"/>
  <c r="G88" i="7"/>
  <c r="J87" i="7"/>
  <c r="H87" i="7"/>
  <c r="G87" i="7"/>
  <c r="J86" i="7"/>
  <c r="H86" i="7"/>
  <c r="G86" i="7"/>
  <c r="J85" i="7"/>
  <c r="H85" i="7"/>
  <c r="G85" i="7"/>
  <c r="J84" i="7"/>
  <c r="H84" i="7"/>
  <c r="G84" i="7"/>
  <c r="J83" i="7"/>
  <c r="H83" i="7"/>
  <c r="G83" i="7"/>
  <c r="J82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J73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J64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J56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J48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J40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J29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J20" i="7"/>
  <c r="H20" i="7"/>
  <c r="G20" i="7"/>
  <c r="H19" i="7"/>
  <c r="G19" i="7"/>
  <c r="H18" i="7"/>
  <c r="G18" i="7"/>
  <c r="H17" i="7"/>
  <c r="G17" i="7"/>
  <c r="J16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J8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G1" i="7"/>
  <c r="I258" i="6"/>
  <c r="I256" i="6"/>
  <c r="I254" i="6"/>
  <c r="I253" i="6"/>
  <c r="I252" i="6"/>
  <c r="J252" i="6" s="1"/>
  <c r="I251" i="6"/>
  <c r="J251" i="6" s="1"/>
  <c r="I250" i="6"/>
  <c r="I249" i="6"/>
  <c r="F249" i="6" s="1"/>
  <c r="I248" i="6"/>
  <c r="I247" i="6"/>
  <c r="I246" i="6"/>
  <c r="J246" i="6" s="1"/>
  <c r="I245" i="6"/>
  <c r="B245" i="6" s="1"/>
  <c r="I244" i="6"/>
  <c r="J244" i="6" s="1"/>
  <c r="I243" i="6"/>
  <c r="B243" i="6" s="1"/>
  <c r="I242" i="6"/>
  <c r="I237" i="6"/>
  <c r="I236" i="6"/>
  <c r="B236" i="6" s="1"/>
  <c r="I235" i="6"/>
  <c r="J235" i="6" s="1"/>
  <c r="I234" i="6"/>
  <c r="J234" i="6" s="1"/>
  <c r="I233" i="6"/>
  <c r="I232" i="6"/>
  <c r="I231" i="6"/>
  <c r="J231" i="6" s="1"/>
  <c r="I230" i="6"/>
  <c r="B230" i="6" s="1"/>
  <c r="I229" i="6"/>
  <c r="J229" i="6" s="1"/>
  <c r="I228" i="6"/>
  <c r="I227" i="6"/>
  <c r="J227" i="6" s="1"/>
  <c r="I226" i="6"/>
  <c r="J226" i="6" s="1"/>
  <c r="I221" i="6"/>
  <c r="J221" i="6" s="1"/>
  <c r="I219" i="6"/>
  <c r="B219" i="6" s="1"/>
  <c r="I218" i="6"/>
  <c r="F218" i="6" s="1"/>
  <c r="I217" i="6"/>
  <c r="I216" i="6"/>
  <c r="I215" i="6"/>
  <c r="I214" i="6"/>
  <c r="F214" i="6" s="1"/>
  <c r="I212" i="6"/>
  <c r="I211" i="6"/>
  <c r="B211" i="6" s="1"/>
  <c r="I210" i="6"/>
  <c r="B210" i="6" s="1"/>
  <c r="I209" i="6"/>
  <c r="I208" i="6"/>
  <c r="J208" i="6" s="1"/>
  <c r="I207" i="6"/>
  <c r="J207" i="6" s="1"/>
  <c r="I206" i="6"/>
  <c r="B206" i="6" s="1"/>
  <c r="I205" i="6"/>
  <c r="F205" i="6" s="1"/>
  <c r="I200" i="6"/>
  <c r="I198" i="6"/>
  <c r="J198" i="6" s="1"/>
  <c r="I196" i="6"/>
  <c r="J196" i="6" s="1"/>
  <c r="I195" i="6"/>
  <c r="B195" i="6" s="1"/>
  <c r="I194" i="6"/>
  <c r="F194" i="6" s="1"/>
  <c r="I192" i="6"/>
  <c r="J192" i="6" s="1"/>
  <c r="I191" i="6"/>
  <c r="J191" i="6" s="1"/>
  <c r="I190" i="6"/>
  <c r="B190" i="6" s="1"/>
  <c r="I189" i="6"/>
  <c r="F189" i="6" s="1"/>
  <c r="I187" i="6"/>
  <c r="J187" i="6" s="1"/>
  <c r="I186" i="6"/>
  <c r="J186" i="6" s="1"/>
  <c r="D186" i="6" s="1"/>
  <c r="B186" i="6"/>
  <c r="I185" i="6"/>
  <c r="B185" i="6" s="1"/>
  <c r="I184" i="6"/>
  <c r="F184" i="6" s="1"/>
  <c r="I183" i="6"/>
  <c r="J183" i="6" s="1"/>
  <c r="I182" i="6"/>
  <c r="I181" i="6"/>
  <c r="I176" i="6"/>
  <c r="B176" i="6" s="1"/>
  <c r="I175" i="6"/>
  <c r="I174" i="6"/>
  <c r="B174" i="6" s="1"/>
  <c r="I173" i="6"/>
  <c r="I172" i="6"/>
  <c r="F172" i="6" s="1"/>
  <c r="I171" i="6"/>
  <c r="F171" i="6" s="1"/>
  <c r="I170" i="6"/>
  <c r="J170" i="6" s="1"/>
  <c r="I169" i="6"/>
  <c r="B169" i="6" s="1"/>
  <c r="I168" i="6"/>
  <c r="B168" i="6" s="1"/>
  <c r="I167" i="6"/>
  <c r="F167" i="6" s="1"/>
  <c r="I166" i="6"/>
  <c r="B166" i="6" s="1"/>
  <c r="I165" i="6"/>
  <c r="J165" i="6" s="1"/>
  <c r="I160" i="6"/>
  <c r="J160" i="6" s="1"/>
  <c r="I158" i="6"/>
  <c r="J158" i="6" s="1"/>
  <c r="I157" i="6"/>
  <c r="B157" i="6" s="1"/>
  <c r="I156" i="6"/>
  <c r="I155" i="6"/>
  <c r="B155" i="6" s="1"/>
  <c r="I154" i="6"/>
  <c r="J154" i="6" s="1"/>
  <c r="I152" i="6"/>
  <c r="B152" i="6" s="1"/>
  <c r="I151" i="6"/>
  <c r="J151" i="6" s="1"/>
  <c r="I150" i="6"/>
  <c r="I149" i="6"/>
  <c r="J149" i="6" s="1"/>
  <c r="I148" i="6"/>
  <c r="B148" i="6" s="1"/>
  <c r="I147" i="6"/>
  <c r="I146" i="6"/>
  <c r="B146" i="6" s="1"/>
  <c r="I145" i="6"/>
  <c r="F145" i="6" s="1"/>
  <c r="I144" i="6"/>
  <c r="F144" i="6" s="1"/>
  <c r="I143" i="6"/>
  <c r="J143" i="6" s="1"/>
  <c r="I142" i="6"/>
  <c r="B142" i="6" s="1"/>
  <c r="I141" i="6"/>
  <c r="J141" i="6" s="1"/>
  <c r="I136" i="6"/>
  <c r="J136" i="6" s="1"/>
  <c r="I134" i="6"/>
  <c r="J134" i="6" s="1"/>
  <c r="I132" i="6"/>
  <c r="J132" i="6" s="1"/>
  <c r="I131" i="6"/>
  <c r="I130" i="6"/>
  <c r="I129" i="6"/>
  <c r="F129" i="6" s="1"/>
  <c r="I128" i="6"/>
  <c r="J128" i="6" s="1"/>
  <c r="I127" i="6"/>
  <c r="B127" i="6" s="1"/>
  <c r="I125" i="6"/>
  <c r="J125" i="6" s="1"/>
  <c r="I124" i="6"/>
  <c r="J124" i="6" s="1"/>
  <c r="I123" i="6"/>
  <c r="J123" i="6" s="1"/>
  <c r="I122" i="6"/>
  <c r="B122" i="6" s="1"/>
  <c r="I121" i="6"/>
  <c r="J121" i="6" s="1"/>
  <c r="I120" i="6"/>
  <c r="J120" i="6" s="1"/>
  <c r="I119" i="6"/>
  <c r="B119" i="6" s="1"/>
  <c r="I118" i="6"/>
  <c r="F118" i="6" s="1"/>
  <c r="I117" i="6"/>
  <c r="I116" i="6"/>
  <c r="I111" i="6"/>
  <c r="F111" i="6" s="1"/>
  <c r="I109" i="6"/>
  <c r="B109" i="6" s="1"/>
  <c r="I107" i="6"/>
  <c r="B107" i="6" s="1"/>
  <c r="I106" i="6"/>
  <c r="B106" i="6" s="1"/>
  <c r="I105" i="6"/>
  <c r="F105" i="6" s="1"/>
  <c r="I103" i="6"/>
  <c r="J103" i="6" s="1"/>
  <c r="I102" i="6"/>
  <c r="F102" i="6" s="1"/>
  <c r="I101" i="6"/>
  <c r="I100" i="6"/>
  <c r="B100" i="6" s="1"/>
  <c r="I99" i="6"/>
  <c r="B99" i="6" s="1"/>
  <c r="J98" i="6"/>
  <c r="E98" i="6" s="1"/>
  <c r="I98" i="6"/>
  <c r="F98" i="6" s="1"/>
  <c r="I95" i="6"/>
  <c r="B95" i="6" s="1"/>
  <c r="I94" i="6"/>
  <c r="F94" i="6" s="1"/>
  <c r="I93" i="6"/>
  <c r="I92" i="6"/>
  <c r="F92" i="6" s="1"/>
  <c r="I91" i="6"/>
  <c r="I90" i="6"/>
  <c r="B90" i="6" s="1"/>
  <c r="I89" i="6"/>
  <c r="B89" i="6" s="1"/>
  <c r="I88" i="6"/>
  <c r="F88" i="6" s="1"/>
  <c r="I87" i="6"/>
  <c r="I86" i="6"/>
  <c r="B86" i="6" s="1"/>
  <c r="I85" i="6"/>
  <c r="B85" i="6" s="1"/>
  <c r="I80" i="6"/>
  <c r="I78" i="6"/>
  <c r="J78" i="6" s="1"/>
  <c r="I77" i="6"/>
  <c r="J77" i="6" s="1"/>
  <c r="I76" i="6"/>
  <c r="J76" i="6" s="1"/>
  <c r="I75" i="6"/>
  <c r="F75" i="6" s="1"/>
  <c r="I74" i="6"/>
  <c r="I73" i="6"/>
  <c r="J73" i="6" s="1"/>
  <c r="D73" i="6" s="1"/>
  <c r="I72" i="6"/>
  <c r="J72" i="6" s="1"/>
  <c r="I71" i="6"/>
  <c r="J71" i="6" s="1"/>
  <c r="I70" i="6"/>
  <c r="J70" i="6" s="1"/>
  <c r="I69" i="6"/>
  <c r="F69" i="6" s="1"/>
  <c r="I68" i="6"/>
  <c r="B68" i="6" s="1"/>
  <c r="I67" i="6"/>
  <c r="B67" i="6" s="1"/>
  <c r="I62" i="6"/>
  <c r="I61" i="6"/>
  <c r="F61" i="6" s="1"/>
  <c r="I60" i="6"/>
  <c r="J60" i="6" s="1"/>
  <c r="D60" i="6" s="1"/>
  <c r="I59" i="6"/>
  <c r="F59" i="6" s="1"/>
  <c r="I58" i="6"/>
  <c r="J58" i="6" s="1"/>
  <c r="E58" i="6" s="1"/>
  <c r="I57" i="6"/>
  <c r="B57" i="6" s="1"/>
  <c r="I56" i="6"/>
  <c r="B56" i="6" s="1"/>
  <c r="I55" i="6"/>
  <c r="F55" i="6" s="1"/>
  <c r="I54" i="6"/>
  <c r="B54" i="6" s="1"/>
  <c r="I53" i="6"/>
  <c r="B53" i="6" s="1"/>
  <c r="I52" i="6"/>
  <c r="I51" i="6"/>
  <c r="B51" i="6" s="1"/>
  <c r="I50" i="6"/>
  <c r="B50" i="6" s="1"/>
  <c r="I49" i="6"/>
  <c r="B49" i="6" s="1"/>
  <c r="I44" i="6"/>
  <c r="J44" i="6" s="1"/>
  <c r="I43" i="6"/>
  <c r="F43" i="6" s="1"/>
  <c r="I42" i="6"/>
  <c r="B42" i="6" s="1"/>
  <c r="I41" i="6"/>
  <c r="J41" i="6" s="1"/>
  <c r="I40" i="6"/>
  <c r="J40" i="6" s="1"/>
  <c r="I39" i="6"/>
  <c r="J39" i="6" s="1"/>
  <c r="I38" i="6"/>
  <c r="I37" i="6"/>
  <c r="F37" i="6" s="1"/>
  <c r="I36" i="6"/>
  <c r="J36" i="6" s="1"/>
  <c r="I35" i="6"/>
  <c r="B35" i="6" s="1"/>
  <c r="I34" i="6"/>
  <c r="B34" i="6" s="1"/>
  <c r="I33" i="6"/>
  <c r="F33" i="6" s="1"/>
  <c r="I32" i="6"/>
  <c r="J32" i="6" s="1"/>
  <c r="D32" i="6" s="1"/>
  <c r="I31" i="6"/>
  <c r="B31" i="6" s="1"/>
  <c r="I30" i="6"/>
  <c r="B30" i="6" s="1"/>
  <c r="I29" i="6"/>
  <c r="F29" i="6" s="1"/>
  <c r="I28" i="6"/>
  <c r="J28" i="6" s="1"/>
  <c r="I23" i="6"/>
  <c r="J23" i="6" s="1"/>
  <c r="I22" i="6"/>
  <c r="J22" i="6" s="1"/>
  <c r="I20" i="6"/>
  <c r="B20" i="6" s="1"/>
  <c r="I19" i="6"/>
  <c r="F19" i="6" s="1"/>
  <c r="I18" i="6"/>
  <c r="J18" i="6" s="1"/>
  <c r="E18" i="6" s="1"/>
  <c r="I17" i="6"/>
  <c r="F17" i="6" s="1"/>
  <c r="I16" i="6"/>
  <c r="B16" i="6" s="1"/>
  <c r="I15" i="6"/>
  <c r="F15" i="6" s="1"/>
  <c r="I14" i="6"/>
  <c r="J14" i="6" s="1"/>
  <c r="I13" i="6"/>
  <c r="B13" i="6" s="1"/>
  <c r="I12" i="6"/>
  <c r="B12" i="6" s="1"/>
  <c r="I11" i="6"/>
  <c r="F11" i="6" s="1"/>
  <c r="I10" i="6"/>
  <c r="B10" i="6" s="1"/>
  <c r="I9" i="6"/>
  <c r="B9" i="6" s="1"/>
  <c r="I8" i="6"/>
  <c r="I7" i="6"/>
  <c r="F7" i="6" s="1"/>
  <c r="I6" i="6"/>
  <c r="J6" i="6" s="1"/>
  <c r="D6" i="6" s="1"/>
  <c r="A2" i="4"/>
  <c r="K168" i="5"/>
  <c r="B166" i="5"/>
  <c r="K152" i="5"/>
  <c r="L152" i="5" s="1"/>
  <c r="K151" i="5"/>
  <c r="L151" i="5" s="1"/>
  <c r="E151" i="5" s="1"/>
  <c r="H151" i="5" s="1"/>
  <c r="L150" i="5"/>
  <c r="K150" i="5"/>
  <c r="B148" i="5"/>
  <c r="K133" i="5"/>
  <c r="L132" i="5"/>
  <c r="D132" i="5" s="1"/>
  <c r="K132" i="5"/>
  <c r="K134" i="5" s="1"/>
  <c r="L134" i="5" s="1"/>
  <c r="E132" i="5"/>
  <c r="H132" i="5" s="1"/>
  <c r="B130" i="5"/>
  <c r="K114" i="5"/>
  <c r="K115" i="5" s="1"/>
  <c r="B112" i="5"/>
  <c r="K97" i="5"/>
  <c r="L97" i="5" s="1"/>
  <c r="E97" i="5" s="1"/>
  <c r="H97" i="5" s="1"/>
  <c r="L96" i="5"/>
  <c r="K96" i="5"/>
  <c r="K98" i="5" s="1"/>
  <c r="L98" i="5" s="1"/>
  <c r="B94" i="5"/>
  <c r="K81" i="5"/>
  <c r="K82" i="5" s="1"/>
  <c r="L82" i="5" s="1"/>
  <c r="L79" i="5"/>
  <c r="K79" i="5"/>
  <c r="L78" i="5"/>
  <c r="K78" i="5"/>
  <c r="K80" i="5" s="1"/>
  <c r="L80" i="5" s="1"/>
  <c r="E78" i="5"/>
  <c r="H78" i="5" s="1"/>
  <c r="B76" i="5"/>
  <c r="K60" i="5"/>
  <c r="B58" i="5"/>
  <c r="K42" i="5"/>
  <c r="K43" i="5" s="1"/>
  <c r="B40" i="5"/>
  <c r="K24" i="5"/>
  <c r="K26" i="5" s="1"/>
  <c r="L26" i="5" s="1"/>
  <c r="B22" i="5"/>
  <c r="L8" i="5"/>
  <c r="D8" i="5" s="1"/>
  <c r="K7" i="5"/>
  <c r="K9" i="5" s="1"/>
  <c r="L6" i="5"/>
  <c r="D6" i="5" s="1"/>
  <c r="K6" i="5"/>
  <c r="K8" i="5" s="1"/>
  <c r="E6" i="5"/>
  <c r="H6" i="5" s="1"/>
  <c r="B4" i="5"/>
  <c r="P87" i="4"/>
  <c r="P89" i="4" s="1"/>
  <c r="Q89" i="4" s="1"/>
  <c r="B85" i="4"/>
  <c r="P67" i="4"/>
  <c r="Q67" i="4" s="1"/>
  <c r="P66" i="4"/>
  <c r="P68" i="4" s="1"/>
  <c r="B64" i="4"/>
  <c r="P47" i="4"/>
  <c r="P49" i="4" s="1"/>
  <c r="Q49" i="4" s="1"/>
  <c r="B45" i="4"/>
  <c r="P29" i="4"/>
  <c r="Q29" i="4" s="1"/>
  <c r="P28" i="4"/>
  <c r="P30" i="4" s="1"/>
  <c r="B26" i="4"/>
  <c r="P11" i="4"/>
  <c r="Q11" i="4" s="1"/>
  <c r="D11" i="4" s="1"/>
  <c r="P10" i="4"/>
  <c r="P12" i="4" s="1"/>
  <c r="P13" i="4" s="1"/>
  <c r="B8" i="4"/>
  <c r="P123" i="3"/>
  <c r="Q123" i="3" s="1"/>
  <c r="P122" i="3"/>
  <c r="B120" i="3"/>
  <c r="P101" i="3"/>
  <c r="Q101" i="3" s="1"/>
  <c r="P100" i="3"/>
  <c r="B98" i="3"/>
  <c r="P82" i="3"/>
  <c r="Q82" i="3" s="1"/>
  <c r="P81" i="3"/>
  <c r="B79" i="3"/>
  <c r="P63" i="3"/>
  <c r="Q63" i="3" s="1"/>
  <c r="P62" i="3"/>
  <c r="B60" i="3"/>
  <c r="P44" i="3"/>
  <c r="Q44" i="3" s="1"/>
  <c r="P43" i="3"/>
  <c r="B41" i="3"/>
  <c r="P26" i="3"/>
  <c r="Q26" i="3" s="1"/>
  <c r="P25" i="3"/>
  <c r="B23" i="3"/>
  <c r="P8" i="3"/>
  <c r="Q8" i="3" s="1"/>
  <c r="P7" i="3"/>
  <c r="B5" i="3"/>
  <c r="P88" i="2"/>
  <c r="Q88" i="2" s="1"/>
  <c r="P87" i="2"/>
  <c r="Q87" i="2" s="1"/>
  <c r="B85" i="2"/>
  <c r="P69" i="2"/>
  <c r="Q69" i="2" s="1"/>
  <c r="P68" i="2"/>
  <c r="P70" i="2" s="1"/>
  <c r="P71" i="2" s="1"/>
  <c r="B66" i="2"/>
  <c r="P47" i="2"/>
  <c r="Q47" i="2" s="1"/>
  <c r="P46" i="2"/>
  <c r="P48" i="2" s="1"/>
  <c r="B44" i="2"/>
  <c r="P28" i="2"/>
  <c r="Q28" i="2" s="1"/>
  <c r="P27" i="2"/>
  <c r="P29" i="2" s="1"/>
  <c r="B25" i="2"/>
  <c r="P9" i="2"/>
  <c r="Q9" i="2" s="1"/>
  <c r="Q8" i="2"/>
  <c r="E8" i="2" s="1"/>
  <c r="K8" i="2" s="1"/>
  <c r="P8" i="2"/>
  <c r="P10" i="2" s="1"/>
  <c r="P11" i="2" s="1"/>
  <c r="B6" i="2"/>
  <c r="P109" i="1"/>
  <c r="Q109" i="1" s="1"/>
  <c r="Q108" i="1"/>
  <c r="P108" i="1"/>
  <c r="P110" i="1" s="1"/>
  <c r="B106" i="1"/>
  <c r="P91" i="1"/>
  <c r="P92" i="1" s="1"/>
  <c r="P93" i="1" s="1"/>
  <c r="P90" i="1"/>
  <c r="Q90" i="1" s="1"/>
  <c r="P89" i="1"/>
  <c r="Q89" i="1" s="1"/>
  <c r="B87" i="1"/>
  <c r="P70" i="1"/>
  <c r="P71" i="1" s="1"/>
  <c r="B68" i="1"/>
  <c r="P49" i="1"/>
  <c r="Q49" i="1" s="1"/>
  <c r="P48" i="1"/>
  <c r="P50" i="1" s="1"/>
  <c r="Q50" i="1" s="1"/>
  <c r="E50" i="1" s="1"/>
  <c r="B46" i="1"/>
  <c r="P25" i="1"/>
  <c r="P26" i="1" s="1"/>
  <c r="P27" i="1" s="1"/>
  <c r="Q27" i="1" s="1"/>
  <c r="B23" i="1"/>
  <c r="P7" i="1"/>
  <c r="P8" i="1" s="1"/>
  <c r="P10" i="1" s="1"/>
  <c r="P11" i="1" s="1"/>
  <c r="B5" i="1"/>
  <c r="A22" i="5"/>
  <c r="E96" i="6" l="1"/>
  <c r="D96" i="6"/>
  <c r="G96" i="6" s="1"/>
  <c r="F96" i="6"/>
  <c r="F198" i="6"/>
  <c r="B96" i="6"/>
  <c r="F186" i="6"/>
  <c r="F213" i="6"/>
  <c r="E213" i="6"/>
  <c r="D213" i="6"/>
  <c r="B213" i="6"/>
  <c r="F193" i="6"/>
  <c r="E193" i="6"/>
  <c r="D193" i="6"/>
  <c r="F40" i="6"/>
  <c r="B193" i="6"/>
  <c r="B121" i="6"/>
  <c r="F169" i="6"/>
  <c r="B208" i="6"/>
  <c r="F185" i="6"/>
  <c r="F208" i="6"/>
  <c r="F211" i="6"/>
  <c r="F153" i="6"/>
  <c r="E153" i="6"/>
  <c r="D153" i="6"/>
  <c r="F195" i="6"/>
  <c r="B207" i="6"/>
  <c r="B251" i="6"/>
  <c r="B153" i="6"/>
  <c r="B73" i="6"/>
  <c r="B98" i="6"/>
  <c r="F125" i="6"/>
  <c r="B192" i="6"/>
  <c r="B249" i="6"/>
  <c r="F251" i="6"/>
  <c r="F86" i="6"/>
  <c r="B120" i="6"/>
  <c r="F134" i="6"/>
  <c r="F243" i="6"/>
  <c r="F126" i="6"/>
  <c r="E126" i="6"/>
  <c r="D126" i="6"/>
  <c r="B59" i="6"/>
  <c r="F77" i="6"/>
  <c r="B88" i="6"/>
  <c r="B118" i="6"/>
  <c r="F120" i="6"/>
  <c r="F121" i="6"/>
  <c r="F154" i="6"/>
  <c r="B171" i="6"/>
  <c r="B126" i="6"/>
  <c r="F6" i="6"/>
  <c r="J15" i="6"/>
  <c r="D15" i="6" s="1"/>
  <c r="B19" i="6"/>
  <c r="B136" i="6"/>
  <c r="B191" i="6"/>
  <c r="B221" i="6"/>
  <c r="F227" i="6"/>
  <c r="F230" i="6"/>
  <c r="B252" i="6"/>
  <c r="F14" i="6"/>
  <c r="B134" i="6"/>
  <c r="F136" i="6"/>
  <c r="F160" i="6"/>
  <c r="B167" i="6"/>
  <c r="F176" i="6"/>
  <c r="B183" i="6"/>
  <c r="F191" i="6"/>
  <c r="B194" i="6"/>
  <c r="B218" i="6"/>
  <c r="F221" i="6"/>
  <c r="F252" i="6"/>
  <c r="B188" i="6"/>
  <c r="F97" i="6"/>
  <c r="E97" i="6"/>
  <c r="D97" i="6"/>
  <c r="J29" i="6"/>
  <c r="E29" i="6" s="1"/>
  <c r="J85" i="6"/>
  <c r="D85" i="6" s="1"/>
  <c r="B198" i="6"/>
  <c r="B205" i="6"/>
  <c r="F207" i="6"/>
  <c r="B227" i="6"/>
  <c r="B97" i="6"/>
  <c r="B165" i="6"/>
  <c r="B187" i="6"/>
  <c r="B226" i="6"/>
  <c r="B6" i="6"/>
  <c r="J19" i="6"/>
  <c r="D19" i="6" s="1"/>
  <c r="F85" i="6"/>
  <c r="B125" i="6"/>
  <c r="F141" i="6"/>
  <c r="B160" i="6"/>
  <c r="F165" i="6"/>
  <c r="F187" i="6"/>
  <c r="B214" i="6"/>
  <c r="F226" i="6"/>
  <c r="F234" i="6"/>
  <c r="J68" i="6"/>
  <c r="D68" i="6" s="1"/>
  <c r="J67" i="6"/>
  <c r="E67" i="6" s="1"/>
  <c r="B32" i="6"/>
  <c r="F68" i="6"/>
  <c r="J8" i="2"/>
  <c r="D22" i="6"/>
  <c r="E22" i="6"/>
  <c r="E197" i="6"/>
  <c r="D197" i="6"/>
  <c r="F9" i="6"/>
  <c r="F13" i="6"/>
  <c r="F22" i="6"/>
  <c r="F23" i="6"/>
  <c r="F35" i="6"/>
  <c r="F39" i="6"/>
  <c r="B44" i="6"/>
  <c r="F76" i="6"/>
  <c r="F100" i="6"/>
  <c r="B102" i="6"/>
  <c r="B105" i="6"/>
  <c r="J111" i="6"/>
  <c r="D111" i="6" s="1"/>
  <c r="F124" i="6"/>
  <c r="B141" i="6"/>
  <c r="F148" i="6"/>
  <c r="F149" i="6"/>
  <c r="F152" i="6"/>
  <c r="F157" i="6"/>
  <c r="F158" i="6"/>
  <c r="F168" i="6"/>
  <c r="F170" i="6"/>
  <c r="J171" i="6"/>
  <c r="E171" i="6" s="1"/>
  <c r="B184" i="6"/>
  <c r="J185" i="6"/>
  <c r="E185" i="6" s="1"/>
  <c r="F196" i="6"/>
  <c r="F206" i="6"/>
  <c r="F231" i="6"/>
  <c r="B234" i="6"/>
  <c r="F235" i="6"/>
  <c r="F197" i="6"/>
  <c r="B197" i="6"/>
  <c r="J9" i="6"/>
  <c r="D9" i="6" s="1"/>
  <c r="J11" i="6"/>
  <c r="E11" i="6" s="1"/>
  <c r="B22" i="6"/>
  <c r="J35" i="6"/>
  <c r="D35" i="6" s="1"/>
  <c r="J55" i="6"/>
  <c r="E55" i="6" s="1"/>
  <c r="J61" i="6"/>
  <c r="D61" i="6" s="1"/>
  <c r="J90" i="6"/>
  <c r="E90" i="6" s="1"/>
  <c r="J100" i="6"/>
  <c r="E100" i="6" s="1"/>
  <c r="J105" i="6"/>
  <c r="E105" i="6" s="1"/>
  <c r="J148" i="6"/>
  <c r="E148" i="6" s="1"/>
  <c r="J157" i="6"/>
  <c r="E157" i="6" s="1"/>
  <c r="B23" i="6"/>
  <c r="B29" i="6"/>
  <c r="F31" i="6"/>
  <c r="F32" i="6"/>
  <c r="B36" i="6"/>
  <c r="B39" i="6"/>
  <c r="F60" i="6"/>
  <c r="B76" i="6"/>
  <c r="J88" i="6"/>
  <c r="D88" i="6" s="1"/>
  <c r="J94" i="6"/>
  <c r="D94" i="6" s="1"/>
  <c r="J99" i="6"/>
  <c r="E99" i="6" s="1"/>
  <c r="B124" i="6"/>
  <c r="B149" i="6"/>
  <c r="B158" i="6"/>
  <c r="J176" i="6"/>
  <c r="E176" i="6" s="1"/>
  <c r="B196" i="6"/>
  <c r="B235" i="6"/>
  <c r="F244" i="6"/>
  <c r="F188" i="6"/>
  <c r="B189" i="6"/>
  <c r="B80" i="6"/>
  <c r="J80" i="6"/>
  <c r="D80" i="6" s="1"/>
  <c r="J130" i="6"/>
  <c r="E130" i="6" s="1"/>
  <c r="B130" i="6"/>
  <c r="F175" i="6"/>
  <c r="B175" i="6"/>
  <c r="F256" i="6"/>
  <c r="B256" i="6"/>
  <c r="J256" i="6"/>
  <c r="E256" i="6" s="1"/>
  <c r="B93" i="6"/>
  <c r="F93" i="6"/>
  <c r="J17" i="6"/>
  <c r="D17" i="6" s="1"/>
  <c r="J89" i="6"/>
  <c r="D89" i="6" s="1"/>
  <c r="J106" i="6"/>
  <c r="E106" i="6" s="1"/>
  <c r="F106" i="6"/>
  <c r="J109" i="6"/>
  <c r="E109" i="6" s="1"/>
  <c r="F116" i="6"/>
  <c r="B116" i="6"/>
  <c r="B144" i="6"/>
  <c r="J144" i="6"/>
  <c r="E144" i="6" s="1"/>
  <c r="F182" i="6"/>
  <c r="B182" i="6"/>
  <c r="J182" i="6"/>
  <c r="E182" i="6" s="1"/>
  <c r="J258" i="6"/>
  <c r="E258" i="6" s="1"/>
  <c r="F258" i="6"/>
  <c r="B258" i="6"/>
  <c r="J7" i="6"/>
  <c r="B11" i="6"/>
  <c r="J12" i="6"/>
  <c r="E12" i="6" s="1"/>
  <c r="J13" i="6"/>
  <c r="E13" i="6" s="1"/>
  <c r="B15" i="6"/>
  <c r="B17" i="6"/>
  <c r="B18" i="6"/>
  <c r="J20" i="6"/>
  <c r="E20" i="6" s="1"/>
  <c r="J30" i="6"/>
  <c r="E30" i="6" s="1"/>
  <c r="J31" i="6"/>
  <c r="E31" i="6" s="1"/>
  <c r="J33" i="6"/>
  <c r="D33" i="6" s="1"/>
  <c r="B37" i="6"/>
  <c r="F41" i="6"/>
  <c r="B41" i="6"/>
  <c r="B55" i="6"/>
  <c r="B58" i="6"/>
  <c r="F58" i="6"/>
  <c r="J59" i="6"/>
  <c r="E59" i="6" s="1"/>
  <c r="B61" i="6"/>
  <c r="F67" i="6"/>
  <c r="J69" i="6"/>
  <c r="B69" i="6"/>
  <c r="B72" i="6"/>
  <c r="F78" i="6"/>
  <c r="B78" i="6"/>
  <c r="J86" i="6"/>
  <c r="E86" i="6" s="1"/>
  <c r="F90" i="6"/>
  <c r="B92" i="6"/>
  <c r="B94" i="6"/>
  <c r="J95" i="6"/>
  <c r="D95" i="6" s="1"/>
  <c r="F95" i="6"/>
  <c r="B111" i="6"/>
  <c r="J116" i="6"/>
  <c r="E116" i="6" s="1"/>
  <c r="B129" i="6"/>
  <c r="J129" i="6"/>
  <c r="E129" i="6" s="1"/>
  <c r="F173" i="6"/>
  <c r="B173" i="6"/>
  <c r="J173" i="6"/>
  <c r="E173" i="6" s="1"/>
  <c r="B215" i="6"/>
  <c r="F215" i="6"/>
  <c r="J215" i="6"/>
  <c r="E215" i="6" s="1"/>
  <c r="F253" i="6"/>
  <c r="B253" i="6"/>
  <c r="J87" i="6"/>
  <c r="D87" i="6" s="1"/>
  <c r="B87" i="6"/>
  <c r="J101" i="6"/>
  <c r="E101" i="6" s="1"/>
  <c r="B101" i="6"/>
  <c r="J217" i="6"/>
  <c r="D217" i="6" s="1"/>
  <c r="F217" i="6"/>
  <c r="B217" i="6"/>
  <c r="J248" i="6"/>
  <c r="E248" i="6" s="1"/>
  <c r="F248" i="6"/>
  <c r="B248" i="6"/>
  <c r="J37" i="6"/>
  <c r="D37" i="6" s="1"/>
  <c r="F50" i="6"/>
  <c r="J50" i="6"/>
  <c r="D50" i="6" s="1"/>
  <c r="J52" i="6"/>
  <c r="D52" i="6" s="1"/>
  <c r="F52" i="6"/>
  <c r="J54" i="6"/>
  <c r="E54" i="6" s="1"/>
  <c r="B62" i="6"/>
  <c r="J62" i="6"/>
  <c r="E62" i="6" s="1"/>
  <c r="J91" i="6"/>
  <c r="E91" i="6" s="1"/>
  <c r="B91" i="6"/>
  <c r="J93" i="6"/>
  <c r="E93" i="6" s="1"/>
  <c r="B7" i="6"/>
  <c r="B14" i="6"/>
  <c r="B28" i="6"/>
  <c r="B33" i="6"/>
  <c r="B38" i="6"/>
  <c r="J38" i="6"/>
  <c r="D38" i="6" s="1"/>
  <c r="B40" i="6"/>
  <c r="J43" i="6"/>
  <c r="E43" i="6" s="1"/>
  <c r="B43" i="6"/>
  <c r="J49" i="6"/>
  <c r="E49" i="6" s="1"/>
  <c r="F49" i="6"/>
  <c r="B52" i="6"/>
  <c r="F53" i="6"/>
  <c r="J53" i="6"/>
  <c r="D53" i="6" s="1"/>
  <c r="B60" i="6"/>
  <c r="F70" i="6"/>
  <c r="B70" i="6"/>
  <c r="F72" i="6"/>
  <c r="B75" i="6"/>
  <c r="J75" i="6"/>
  <c r="E75" i="6" s="1"/>
  <c r="B77" i="6"/>
  <c r="F87" i="6"/>
  <c r="B103" i="6"/>
  <c r="F103" i="6"/>
  <c r="F107" i="6"/>
  <c r="J107" i="6"/>
  <c r="E107" i="6" s="1"/>
  <c r="J117" i="6"/>
  <c r="D117" i="6" s="1"/>
  <c r="F117" i="6"/>
  <c r="B117" i="6"/>
  <c r="F130" i="6"/>
  <c r="J145" i="6"/>
  <c r="E145" i="6" s="1"/>
  <c r="B145" i="6"/>
  <c r="F200" i="6"/>
  <c r="B200" i="6"/>
  <c r="J200" i="6"/>
  <c r="D200" i="6" s="1"/>
  <c r="F209" i="6"/>
  <c r="B209" i="6"/>
  <c r="J209" i="6"/>
  <c r="D209" i="6" s="1"/>
  <c r="J212" i="6"/>
  <c r="E212" i="6" s="1"/>
  <c r="B212" i="6"/>
  <c r="F216" i="6"/>
  <c r="B216" i="6"/>
  <c r="J216" i="6"/>
  <c r="D216" i="6" s="1"/>
  <c r="F247" i="6"/>
  <c r="B247" i="6"/>
  <c r="J247" i="6"/>
  <c r="D247" i="6" s="1"/>
  <c r="E188" i="6"/>
  <c r="D188" i="6"/>
  <c r="J152" i="6"/>
  <c r="D152" i="6" s="1"/>
  <c r="J168" i="6"/>
  <c r="E168" i="6" s="1"/>
  <c r="J169" i="6"/>
  <c r="D169" i="6" s="1"/>
  <c r="J189" i="6"/>
  <c r="D189" i="6" s="1"/>
  <c r="J211" i="6"/>
  <c r="E211" i="6" s="1"/>
  <c r="J230" i="6"/>
  <c r="D230" i="6" s="1"/>
  <c r="J243" i="6"/>
  <c r="D243" i="6" s="1"/>
  <c r="J118" i="6"/>
  <c r="E118" i="6" s="1"/>
  <c r="B154" i="6"/>
  <c r="B170" i="6"/>
  <c r="J195" i="6"/>
  <c r="E195" i="6" s="1"/>
  <c r="J206" i="6"/>
  <c r="D206" i="6" s="1"/>
  <c r="J218" i="6"/>
  <c r="E218" i="6" s="1"/>
  <c r="B231" i="6"/>
  <c r="B244" i="6"/>
  <c r="I88" i="4"/>
  <c r="H90" i="4"/>
  <c r="I89" i="4"/>
  <c r="J89" i="4"/>
  <c r="H69" i="4"/>
  <c r="I68" i="4"/>
  <c r="J68" i="4"/>
  <c r="J49" i="4"/>
  <c r="I49" i="4"/>
  <c r="J48" i="4"/>
  <c r="H13" i="4"/>
  <c r="J12" i="4"/>
  <c r="I12" i="4"/>
  <c r="H90" i="2"/>
  <c r="J89" i="2"/>
  <c r="I89" i="2"/>
  <c r="H71" i="2"/>
  <c r="I70" i="2"/>
  <c r="J70" i="2"/>
  <c r="H49" i="2"/>
  <c r="J48" i="2"/>
  <c r="I48" i="2"/>
  <c r="H30" i="2"/>
  <c r="J29" i="2"/>
  <c r="I29" i="2"/>
  <c r="H11" i="2"/>
  <c r="J10" i="2"/>
  <c r="I10" i="2"/>
  <c r="H103" i="3"/>
  <c r="I102" i="3"/>
  <c r="J102" i="3"/>
  <c r="H65" i="3"/>
  <c r="J64" i="3"/>
  <c r="I64" i="3"/>
  <c r="H46" i="3"/>
  <c r="J45" i="3"/>
  <c r="I45" i="3"/>
  <c r="H28" i="3"/>
  <c r="J27" i="3"/>
  <c r="I27" i="3"/>
  <c r="H10" i="3"/>
  <c r="I9" i="3"/>
  <c r="J9" i="3"/>
  <c r="H51" i="1"/>
  <c r="J50" i="1"/>
  <c r="I50" i="1"/>
  <c r="H28" i="1"/>
  <c r="J27" i="1"/>
  <c r="I27" i="1"/>
  <c r="H11" i="1"/>
  <c r="I10" i="1"/>
  <c r="Q70" i="1"/>
  <c r="Q25" i="1"/>
  <c r="E25" i="1" s="1"/>
  <c r="P9" i="1"/>
  <c r="Q9" i="1" s="1"/>
  <c r="E9" i="1" s="1"/>
  <c r="D49" i="1"/>
  <c r="F49" i="1" s="1"/>
  <c r="E49" i="1"/>
  <c r="P28" i="1"/>
  <c r="P29" i="1" s="1"/>
  <c r="Q29" i="1" s="1"/>
  <c r="P51" i="1"/>
  <c r="P52" i="1" s="1"/>
  <c r="Q52" i="1" s="1"/>
  <c r="Q7" i="1"/>
  <c r="E7" i="1" s="1"/>
  <c r="Q26" i="1"/>
  <c r="E26" i="1" s="1"/>
  <c r="Q48" i="1"/>
  <c r="D48" i="1" s="1"/>
  <c r="P89" i="2"/>
  <c r="P90" i="2" s="1"/>
  <c r="P91" i="2" s="1"/>
  <c r="E87" i="2"/>
  <c r="D87" i="2"/>
  <c r="Q68" i="2"/>
  <c r="E68" i="2" s="1"/>
  <c r="Q27" i="2"/>
  <c r="D27" i="2" s="1"/>
  <c r="Q46" i="2"/>
  <c r="E46" i="2" s="1"/>
  <c r="E89" i="6"/>
  <c r="E143" i="6"/>
  <c r="D208" i="6"/>
  <c r="D70" i="1"/>
  <c r="D108" i="1"/>
  <c r="E109" i="1"/>
  <c r="D9" i="2"/>
  <c r="F9" i="2" s="1"/>
  <c r="E28" i="2"/>
  <c r="D47" i="2"/>
  <c r="E69" i="2"/>
  <c r="E79" i="5"/>
  <c r="H79" i="5" s="1"/>
  <c r="D96" i="5"/>
  <c r="D14" i="6"/>
  <c r="D40" i="6"/>
  <c r="D41" i="6"/>
  <c r="D76" i="6"/>
  <c r="E77" i="6"/>
  <c r="D98" i="6"/>
  <c r="G98" i="6" s="1"/>
  <c r="E187" i="6"/>
  <c r="E246" i="6"/>
  <c r="D251" i="6"/>
  <c r="E206" i="6"/>
  <c r="E196" i="6"/>
  <c r="D128" i="6"/>
  <c r="D103" i="6"/>
  <c r="D77" i="6"/>
  <c r="E39" i="6"/>
  <c r="D23" i="6"/>
  <c r="D246" i="6"/>
  <c r="D198" i="6"/>
  <c r="E191" i="6"/>
  <c r="D170" i="6"/>
  <c r="D143" i="6"/>
  <c r="E134" i="6"/>
  <c r="D123" i="6"/>
  <c r="E234" i="6"/>
  <c r="E221" i="6"/>
  <c r="E207" i="6"/>
  <c r="D187" i="6"/>
  <c r="E120" i="6"/>
  <c r="E103" i="6"/>
  <c r="D78" i="6"/>
  <c r="E72" i="6"/>
  <c r="D12" i="6"/>
  <c r="E70" i="1"/>
  <c r="E108" i="1"/>
  <c r="E9" i="2"/>
  <c r="E27" i="2"/>
  <c r="E47" i="2"/>
  <c r="D78" i="5"/>
  <c r="E150" i="5"/>
  <c r="H150" i="5" s="1"/>
  <c r="E14" i="6"/>
  <c r="E23" i="6"/>
  <c r="D58" i="6"/>
  <c r="G58" i="6" s="1"/>
  <c r="E71" i="6"/>
  <c r="E78" i="6"/>
  <c r="E123" i="6"/>
  <c r="E124" i="6"/>
  <c r="E160" i="6"/>
  <c r="E186" i="6"/>
  <c r="G186" i="6" s="1"/>
  <c r="E192" i="6"/>
  <c r="D150" i="5"/>
  <c r="D70" i="6"/>
  <c r="D72" i="6"/>
  <c r="D134" i="6"/>
  <c r="D191" i="6"/>
  <c r="D207" i="6"/>
  <c r="E208" i="6"/>
  <c r="D124" i="6"/>
  <c r="E128" i="6"/>
  <c r="D151" i="6"/>
  <c r="D160" i="6"/>
  <c r="D165" i="6"/>
  <c r="E183" i="6"/>
  <c r="E229" i="6"/>
  <c r="E28" i="6"/>
  <c r="E32" i="6"/>
  <c r="G32" i="6" s="1"/>
  <c r="E36" i="6"/>
  <c r="D39" i="6"/>
  <c r="E40" i="6"/>
  <c r="E41" i="6"/>
  <c r="E44" i="6"/>
  <c r="E60" i="6"/>
  <c r="G60" i="6" s="1"/>
  <c r="E73" i="6"/>
  <c r="G73" i="6" s="1"/>
  <c r="D120" i="6"/>
  <c r="D132" i="6"/>
  <c r="E170" i="6"/>
  <c r="D196" i="6"/>
  <c r="E198" i="6"/>
  <c r="D221" i="6"/>
  <c r="D226" i="6"/>
  <c r="D234" i="6"/>
  <c r="D28" i="2"/>
  <c r="D8" i="2"/>
  <c r="F8" i="2" s="1"/>
  <c r="P111" i="1"/>
  <c r="P112" i="1" s="1"/>
  <c r="P113" i="1" s="1"/>
  <c r="Q110" i="1"/>
  <c r="E110" i="1" s="1"/>
  <c r="D109" i="1"/>
  <c r="F109" i="1" s="1"/>
  <c r="E89" i="1"/>
  <c r="D89" i="1"/>
  <c r="D90" i="1"/>
  <c r="E90" i="1"/>
  <c r="Q91" i="1"/>
  <c r="F70" i="1"/>
  <c r="P72" i="1"/>
  <c r="Q72" i="1" s="1"/>
  <c r="P73" i="1"/>
  <c r="P74" i="1" s="1"/>
  <c r="P75" i="1" s="1"/>
  <c r="Q71" i="1"/>
  <c r="D50" i="1"/>
  <c r="F50" i="1" s="1"/>
  <c r="E27" i="1"/>
  <c r="D27" i="1"/>
  <c r="D26" i="1"/>
  <c r="Q8" i="1"/>
  <c r="A2" i="5"/>
  <c r="A2" i="3"/>
  <c r="A2" i="1"/>
  <c r="A2" i="2"/>
  <c r="P12" i="2"/>
  <c r="Q11" i="2"/>
  <c r="P30" i="2"/>
  <c r="Q29" i="2"/>
  <c r="P12" i="1"/>
  <c r="Q11" i="1"/>
  <c r="P53" i="1"/>
  <c r="P94" i="1"/>
  <c r="Q93" i="1"/>
  <c r="P14" i="4"/>
  <c r="Q13" i="4"/>
  <c r="P49" i="2"/>
  <c r="Q48" i="2"/>
  <c r="Q112" i="1"/>
  <c r="P9" i="3"/>
  <c r="Q7" i="3"/>
  <c r="E44" i="3"/>
  <c r="D44" i="3"/>
  <c r="P83" i="3"/>
  <c r="Q81" i="3"/>
  <c r="E123" i="3"/>
  <c r="D123" i="3"/>
  <c r="F123" i="3" s="1"/>
  <c r="E49" i="4"/>
  <c r="D49" i="4"/>
  <c r="D98" i="5"/>
  <c r="E98" i="5"/>
  <c r="H98" i="5" s="1"/>
  <c r="P27" i="3"/>
  <c r="Q25" i="3"/>
  <c r="E63" i="3"/>
  <c r="D63" i="3"/>
  <c r="P102" i="3"/>
  <c r="Q100" i="3"/>
  <c r="Q12" i="4"/>
  <c r="P31" i="4"/>
  <c r="Q30" i="4"/>
  <c r="E89" i="4"/>
  <c r="D89" i="4"/>
  <c r="F150" i="5"/>
  <c r="Q10" i="1"/>
  <c r="Q28" i="1"/>
  <c r="Q92" i="1"/>
  <c r="Q10" i="2"/>
  <c r="P72" i="2"/>
  <c r="Q71" i="2"/>
  <c r="E8" i="3"/>
  <c r="D8" i="3"/>
  <c r="P45" i="3"/>
  <c r="Q43" i="3"/>
  <c r="E82" i="3"/>
  <c r="D82" i="3"/>
  <c r="P124" i="3"/>
  <c r="Q122" i="3"/>
  <c r="E11" i="4"/>
  <c r="F11" i="4" s="1"/>
  <c r="D29" i="4"/>
  <c r="E29" i="4"/>
  <c r="P69" i="4"/>
  <c r="Q68" i="4"/>
  <c r="E26" i="5"/>
  <c r="H26" i="5" s="1"/>
  <c r="D26" i="5"/>
  <c r="D69" i="2"/>
  <c r="E88" i="2"/>
  <c r="D88" i="2"/>
  <c r="E26" i="3"/>
  <c r="D26" i="3"/>
  <c r="P64" i="3"/>
  <c r="Q62" i="3"/>
  <c r="E101" i="3"/>
  <c r="D101" i="3"/>
  <c r="D67" i="4"/>
  <c r="E67" i="4"/>
  <c r="K10" i="5"/>
  <c r="L9" i="5"/>
  <c r="E152" i="5"/>
  <c r="H152" i="5" s="1"/>
  <c r="D152" i="5"/>
  <c r="K45" i="5"/>
  <c r="L43" i="5"/>
  <c r="K117" i="5"/>
  <c r="L115" i="5"/>
  <c r="P88" i="4"/>
  <c r="F6" i="5"/>
  <c r="L7" i="5"/>
  <c r="L42" i="5"/>
  <c r="F78" i="5"/>
  <c r="D79" i="5"/>
  <c r="D82" i="5"/>
  <c r="F82" i="5" s="1"/>
  <c r="E82" i="5"/>
  <c r="H82" i="5" s="1"/>
  <c r="L114" i="5"/>
  <c r="K135" i="5"/>
  <c r="L133" i="5"/>
  <c r="K153" i="5"/>
  <c r="Q70" i="2"/>
  <c r="Q89" i="2"/>
  <c r="Q10" i="4"/>
  <c r="Q28" i="4"/>
  <c r="Q47" i="4"/>
  <c r="P48" i="4"/>
  <c r="Q66" i="4"/>
  <c r="Q87" i="4"/>
  <c r="E8" i="5"/>
  <c r="H8" i="5" s="1"/>
  <c r="K44" i="5"/>
  <c r="L44" i="5" s="1"/>
  <c r="L81" i="5"/>
  <c r="E96" i="5"/>
  <c r="H96" i="5" s="1"/>
  <c r="D97" i="5"/>
  <c r="F97" i="5" s="1"/>
  <c r="K99" i="5"/>
  <c r="K116" i="5"/>
  <c r="L116" i="5" s="1"/>
  <c r="D134" i="5"/>
  <c r="F134" i="5" s="1"/>
  <c r="E134" i="5"/>
  <c r="H134" i="5" s="1"/>
  <c r="J10" i="6"/>
  <c r="F10" i="6"/>
  <c r="L24" i="5"/>
  <c r="K25" i="5"/>
  <c r="L60" i="5"/>
  <c r="K61" i="5"/>
  <c r="D80" i="5"/>
  <c r="E80" i="5"/>
  <c r="H80" i="5" s="1"/>
  <c r="K83" i="5"/>
  <c r="F132" i="5"/>
  <c r="D151" i="5"/>
  <c r="F151" i="5" s="1"/>
  <c r="K169" i="5"/>
  <c r="K170" i="5"/>
  <c r="L170" i="5" s="1"/>
  <c r="L168" i="5"/>
  <c r="B8" i="6"/>
  <c r="J8" i="6"/>
  <c r="F8" i="6"/>
  <c r="J7" i="7"/>
  <c r="J5" i="7"/>
  <c r="J4" i="7"/>
  <c r="J3" i="7"/>
  <c r="J2" i="7"/>
  <c r="E6" i="6"/>
  <c r="G6" i="6" s="1"/>
  <c r="F18" i="6"/>
  <c r="F28" i="6"/>
  <c r="F36" i="6"/>
  <c r="F44" i="6"/>
  <c r="F54" i="6"/>
  <c r="J56" i="6"/>
  <c r="F56" i="6"/>
  <c r="F57" i="6"/>
  <c r="J57" i="6"/>
  <c r="E70" i="6"/>
  <c r="B71" i="6"/>
  <c r="F71" i="6"/>
  <c r="F74" i="6"/>
  <c r="J74" i="6"/>
  <c r="F16" i="6"/>
  <c r="F34" i="6"/>
  <c r="F42" i="6"/>
  <c r="F51" i="6"/>
  <c r="F12" i="6"/>
  <c r="J16" i="6"/>
  <c r="D18" i="6"/>
  <c r="G18" i="6" s="1"/>
  <c r="F20" i="6"/>
  <c r="D28" i="6"/>
  <c r="F30" i="6"/>
  <c r="J34" i="6"/>
  <c r="J15" i="7" s="1"/>
  <c r="D36" i="6"/>
  <c r="F38" i="6"/>
  <c r="J42" i="6"/>
  <c r="D44" i="6"/>
  <c r="J51" i="6"/>
  <c r="F62" i="6"/>
  <c r="D71" i="6"/>
  <c r="B74" i="6"/>
  <c r="E76" i="6"/>
  <c r="F80" i="6"/>
  <c r="F89" i="6"/>
  <c r="F99" i="6"/>
  <c r="F109" i="6"/>
  <c r="E121" i="6"/>
  <c r="D121" i="6"/>
  <c r="F122" i="6"/>
  <c r="J122" i="6"/>
  <c r="B128" i="6"/>
  <c r="F128" i="6"/>
  <c r="E132" i="6"/>
  <c r="E141" i="6"/>
  <c r="D141" i="6"/>
  <c r="F142" i="6"/>
  <c r="J142" i="6"/>
  <c r="B147" i="6"/>
  <c r="F147" i="6"/>
  <c r="E151" i="6"/>
  <c r="E158" i="6"/>
  <c r="D158" i="6"/>
  <c r="F119" i="6"/>
  <c r="E125" i="6"/>
  <c r="D125" i="6"/>
  <c r="F127" i="6"/>
  <c r="J127" i="6"/>
  <c r="B132" i="6"/>
  <c r="F132" i="6"/>
  <c r="F146" i="6"/>
  <c r="J146" i="6"/>
  <c r="J147" i="6"/>
  <c r="B151" i="6"/>
  <c r="F151" i="6"/>
  <c r="J166" i="6"/>
  <c r="F166" i="6"/>
  <c r="J174" i="6"/>
  <c r="F174" i="6"/>
  <c r="F131" i="6"/>
  <c r="J131" i="6"/>
  <c r="E149" i="6"/>
  <c r="D149" i="6"/>
  <c r="F150" i="6"/>
  <c r="J150" i="6"/>
  <c r="B156" i="6"/>
  <c r="F156" i="6"/>
  <c r="B172" i="6"/>
  <c r="J172" i="6"/>
  <c r="F73" i="6"/>
  <c r="F91" i="6"/>
  <c r="J92" i="6"/>
  <c r="F101" i="6"/>
  <c r="J102" i="6"/>
  <c r="J119" i="6"/>
  <c r="B123" i="6"/>
  <c r="F123" i="6"/>
  <c r="B131" i="6"/>
  <c r="E136" i="6"/>
  <c r="D136" i="6"/>
  <c r="B143" i="6"/>
  <c r="F143" i="6"/>
  <c r="B150" i="6"/>
  <c r="E154" i="6"/>
  <c r="D154" i="6"/>
  <c r="F155" i="6"/>
  <c r="J155" i="6"/>
  <c r="J156" i="6"/>
  <c r="E165" i="6"/>
  <c r="B181" i="6"/>
  <c r="F181" i="6"/>
  <c r="J181" i="6"/>
  <c r="E227" i="6"/>
  <c r="D227" i="6"/>
  <c r="F228" i="6"/>
  <c r="J228" i="6"/>
  <c r="B233" i="6"/>
  <c r="F233" i="6"/>
  <c r="J250" i="6"/>
  <c r="B250" i="6"/>
  <c r="F250" i="6"/>
  <c r="E252" i="6"/>
  <c r="D252" i="6"/>
  <c r="D183" i="6"/>
  <c r="J190" i="6"/>
  <c r="D192" i="6"/>
  <c r="G192" i="6" s="1"/>
  <c r="J210" i="6"/>
  <c r="J219" i="6"/>
  <c r="E226" i="6"/>
  <c r="B228" i="6"/>
  <c r="D229" i="6"/>
  <c r="E231" i="6"/>
  <c r="D231" i="6"/>
  <c r="F232" i="6"/>
  <c r="J232" i="6"/>
  <c r="J233" i="6"/>
  <c r="B237" i="6"/>
  <c r="F237" i="6"/>
  <c r="B242" i="6"/>
  <c r="F242" i="6"/>
  <c r="J254" i="6"/>
  <c r="B254" i="6"/>
  <c r="F254" i="6"/>
  <c r="J167" i="6"/>
  <c r="J175" i="6"/>
  <c r="F183" i="6"/>
  <c r="J184" i="6"/>
  <c r="F192" i="6"/>
  <c r="J194" i="6"/>
  <c r="J205" i="6"/>
  <c r="F212" i="6"/>
  <c r="J214" i="6"/>
  <c r="B232" i="6"/>
  <c r="E235" i="6"/>
  <c r="D235" i="6"/>
  <c r="F236" i="6"/>
  <c r="J236" i="6"/>
  <c r="J237" i="6"/>
  <c r="J242" i="6"/>
  <c r="B246" i="6"/>
  <c r="F246" i="6"/>
  <c r="E251" i="6"/>
  <c r="J54" i="7"/>
  <c r="F190" i="6"/>
  <c r="F210" i="6"/>
  <c r="F219" i="6"/>
  <c r="B229" i="6"/>
  <c r="F229" i="6"/>
  <c r="E244" i="6"/>
  <c r="D244" i="6"/>
  <c r="F245" i="6"/>
  <c r="J245" i="6"/>
  <c r="J249" i="6"/>
  <c r="J253" i="6"/>
  <c r="J58" i="7"/>
  <c r="J62" i="7"/>
  <c r="J9" i="7"/>
  <c r="J10" i="7"/>
  <c r="J11" i="7"/>
  <c r="J12" i="7"/>
  <c r="J13" i="7"/>
  <c r="J59" i="7"/>
  <c r="K4" i="8"/>
  <c r="K8" i="8"/>
  <c r="K12" i="8"/>
  <c r="K16" i="8"/>
  <c r="K20" i="8"/>
  <c r="K24" i="8"/>
  <c r="K28" i="8"/>
  <c r="K32" i="8"/>
  <c r="K36" i="8"/>
  <c r="K40" i="8"/>
  <c r="K44" i="8"/>
  <c r="K48" i="8"/>
  <c r="K52" i="8"/>
  <c r="K56" i="8"/>
  <c r="K60" i="8"/>
  <c r="K64" i="8"/>
  <c r="K68" i="8"/>
  <c r="K72" i="8"/>
  <c r="K76" i="8"/>
  <c r="K80" i="8"/>
  <c r="K84" i="8"/>
  <c r="K88" i="8"/>
  <c r="K92" i="8"/>
  <c r="K96" i="8"/>
  <c r="K100" i="8"/>
  <c r="K104" i="8"/>
  <c r="J114" i="8"/>
  <c r="N114" i="8"/>
  <c r="M114" i="8"/>
  <c r="J118" i="8"/>
  <c r="N118" i="8"/>
  <c r="M118" i="8"/>
  <c r="J122" i="8"/>
  <c r="N122" i="8"/>
  <c r="M122" i="8"/>
  <c r="J126" i="8"/>
  <c r="N126" i="8"/>
  <c r="M126" i="8"/>
  <c r="J2" i="8"/>
  <c r="K3" i="8"/>
  <c r="M4" i="8"/>
  <c r="J6" i="8"/>
  <c r="K7" i="8"/>
  <c r="M8" i="8"/>
  <c r="J10" i="8"/>
  <c r="K11" i="8"/>
  <c r="M12" i="8"/>
  <c r="J14" i="8"/>
  <c r="K15" i="8"/>
  <c r="M16" i="8"/>
  <c r="J18" i="8"/>
  <c r="K19" i="8"/>
  <c r="M20" i="8"/>
  <c r="J22" i="8"/>
  <c r="K23" i="8"/>
  <c r="M24" i="8"/>
  <c r="J26" i="8"/>
  <c r="K27" i="8"/>
  <c r="M28" i="8"/>
  <c r="J30" i="8"/>
  <c r="K31" i="8"/>
  <c r="M32" i="8"/>
  <c r="J34" i="8"/>
  <c r="K35" i="8"/>
  <c r="M36" i="8"/>
  <c r="J38" i="8"/>
  <c r="K39" i="8"/>
  <c r="M40" i="8"/>
  <c r="J42" i="8"/>
  <c r="K43" i="8"/>
  <c r="M44" i="8"/>
  <c r="J46" i="8"/>
  <c r="K47" i="8"/>
  <c r="M48" i="8"/>
  <c r="J50" i="8"/>
  <c r="K51" i="8"/>
  <c r="M52" i="8"/>
  <c r="J54" i="8"/>
  <c r="K55" i="8"/>
  <c r="M56" i="8"/>
  <c r="J58" i="8"/>
  <c r="K59" i="8"/>
  <c r="M60" i="8"/>
  <c r="J62" i="8"/>
  <c r="K63" i="8"/>
  <c r="M64" i="8"/>
  <c r="J66" i="8"/>
  <c r="K67" i="8"/>
  <c r="M68" i="8"/>
  <c r="J70" i="8"/>
  <c r="K71" i="8"/>
  <c r="M72" i="8"/>
  <c r="J74" i="8"/>
  <c r="K75" i="8"/>
  <c r="M76" i="8"/>
  <c r="J78" i="8"/>
  <c r="K79" i="8"/>
  <c r="M80" i="8"/>
  <c r="J82" i="8"/>
  <c r="K83" i="8"/>
  <c r="M84" i="8"/>
  <c r="J86" i="8"/>
  <c r="K87" i="8"/>
  <c r="M88" i="8"/>
  <c r="J90" i="8"/>
  <c r="K91" i="8"/>
  <c r="M92" i="8"/>
  <c r="J94" i="8"/>
  <c r="K95" i="8"/>
  <c r="M96" i="8"/>
  <c r="J98" i="8"/>
  <c r="K99" i="8"/>
  <c r="M100" i="8"/>
  <c r="J102" i="8"/>
  <c r="K103" i="8"/>
  <c r="N104" i="8"/>
  <c r="N133" i="8"/>
  <c r="M133" i="8"/>
  <c r="J133" i="8"/>
  <c r="N141" i="8"/>
  <c r="M141" i="8"/>
  <c r="J141" i="8"/>
  <c r="K2" i="8"/>
  <c r="N4" i="8"/>
  <c r="K6" i="8"/>
  <c r="N8" i="8"/>
  <c r="K10" i="8"/>
  <c r="N12" i="8"/>
  <c r="K14" i="8"/>
  <c r="N16" i="8"/>
  <c r="K18" i="8"/>
  <c r="N20" i="8"/>
  <c r="K22" i="8"/>
  <c r="N24" i="8"/>
  <c r="K26" i="8"/>
  <c r="N28" i="8"/>
  <c r="K30" i="8"/>
  <c r="N32" i="8"/>
  <c r="K34" i="8"/>
  <c r="N36" i="8"/>
  <c r="K38" i="8"/>
  <c r="N40" i="8"/>
  <c r="K42" i="8"/>
  <c r="N44" i="8"/>
  <c r="K46" i="8"/>
  <c r="N48" i="8"/>
  <c r="K50" i="8"/>
  <c r="N52" i="8"/>
  <c r="K54" i="8"/>
  <c r="N56" i="8"/>
  <c r="K58" i="8"/>
  <c r="N60" i="8"/>
  <c r="K62" i="8"/>
  <c r="N64" i="8"/>
  <c r="K66" i="8"/>
  <c r="N68" i="8"/>
  <c r="K70" i="8"/>
  <c r="N72" i="8"/>
  <c r="K74" i="8"/>
  <c r="N76" i="8"/>
  <c r="K78" i="8"/>
  <c r="N80" i="8"/>
  <c r="K82" i="8"/>
  <c r="M83" i="8"/>
  <c r="N84" i="8"/>
  <c r="K86" i="8"/>
  <c r="M87" i="8"/>
  <c r="N88" i="8"/>
  <c r="K90" i="8"/>
  <c r="M91" i="8"/>
  <c r="N92" i="8"/>
  <c r="K94" i="8"/>
  <c r="M95" i="8"/>
  <c r="N96" i="8"/>
  <c r="K98" i="8"/>
  <c r="M99" i="8"/>
  <c r="N100" i="8"/>
  <c r="K102" i="8"/>
  <c r="M103" i="8"/>
  <c r="N105" i="8"/>
  <c r="M105" i="8"/>
  <c r="K105" i="8"/>
  <c r="N109" i="8"/>
  <c r="M109" i="8"/>
  <c r="K109" i="8"/>
  <c r="J67" i="7"/>
  <c r="J71" i="7"/>
  <c r="J104" i="8"/>
  <c r="J106" i="8"/>
  <c r="N106" i="8"/>
  <c r="M106" i="8"/>
  <c r="J110" i="8"/>
  <c r="N110" i="8"/>
  <c r="M110" i="8"/>
  <c r="N113" i="8"/>
  <c r="M113" i="8"/>
  <c r="K113" i="8"/>
  <c r="K114" i="8"/>
  <c r="N117" i="8"/>
  <c r="M117" i="8"/>
  <c r="K117" i="8"/>
  <c r="K118" i="8"/>
  <c r="N121" i="8"/>
  <c r="M121" i="8"/>
  <c r="K121" i="8"/>
  <c r="K122" i="8"/>
  <c r="N125" i="8"/>
  <c r="M125" i="8"/>
  <c r="K125" i="8"/>
  <c r="K126" i="8"/>
  <c r="N129" i="8"/>
  <c r="M129" i="8"/>
  <c r="J129" i="8"/>
  <c r="N137" i="8"/>
  <c r="M137" i="8"/>
  <c r="J137" i="8"/>
  <c r="K130" i="8"/>
  <c r="K134" i="8"/>
  <c r="K138" i="8"/>
  <c r="K142" i="8"/>
  <c r="J145" i="8"/>
  <c r="K146" i="8"/>
  <c r="J149" i="8"/>
  <c r="K150" i="8"/>
  <c r="J153" i="8"/>
  <c r="K154" i="8"/>
  <c r="J157" i="8"/>
  <c r="K158" i="8"/>
  <c r="J161" i="8"/>
  <c r="K162" i="8"/>
  <c r="J165" i="8"/>
  <c r="K166" i="8"/>
  <c r="K170" i="8"/>
  <c r="N179" i="8"/>
  <c r="J179" i="8"/>
  <c r="M179" i="8"/>
  <c r="M182" i="8"/>
  <c r="N182" i="8"/>
  <c r="K182" i="8"/>
  <c r="J250" i="8"/>
  <c r="K250" i="8"/>
  <c r="N250" i="8"/>
  <c r="J254" i="8"/>
  <c r="K254" i="8"/>
  <c r="N254" i="8"/>
  <c r="J258" i="8"/>
  <c r="K258" i="8"/>
  <c r="N258" i="8"/>
  <c r="J262" i="8"/>
  <c r="K262" i="8"/>
  <c r="N262" i="8"/>
  <c r="J266" i="8"/>
  <c r="K266" i="8"/>
  <c r="N266" i="8"/>
  <c r="J270" i="8"/>
  <c r="K270" i="8"/>
  <c r="N270" i="8"/>
  <c r="K145" i="8"/>
  <c r="K149" i="8"/>
  <c r="K153" i="8"/>
  <c r="K157" i="8"/>
  <c r="K161" i="8"/>
  <c r="K165" i="8"/>
  <c r="N183" i="8"/>
  <c r="J183" i="8"/>
  <c r="M183" i="8"/>
  <c r="M186" i="8"/>
  <c r="N186" i="8"/>
  <c r="K186" i="8"/>
  <c r="M196" i="8"/>
  <c r="J196" i="8"/>
  <c r="N196" i="8"/>
  <c r="M200" i="8"/>
  <c r="J200" i="8"/>
  <c r="N200" i="8"/>
  <c r="M204" i="8"/>
  <c r="J204" i="8"/>
  <c r="N204" i="8"/>
  <c r="M208" i="8"/>
  <c r="J208" i="8"/>
  <c r="N208" i="8"/>
  <c r="M212" i="8"/>
  <c r="J212" i="8"/>
  <c r="N212" i="8"/>
  <c r="M216" i="8"/>
  <c r="J216" i="8"/>
  <c r="N216" i="8"/>
  <c r="M220" i="8"/>
  <c r="J220" i="8"/>
  <c r="N220" i="8"/>
  <c r="M224" i="8"/>
  <c r="J224" i="8"/>
  <c r="N224" i="8"/>
  <c r="M228" i="8"/>
  <c r="J228" i="8"/>
  <c r="N228" i="8"/>
  <c r="M232" i="8"/>
  <c r="J232" i="8"/>
  <c r="N232" i="8"/>
  <c r="M236" i="8"/>
  <c r="J236" i="8"/>
  <c r="N236" i="8"/>
  <c r="M240" i="8"/>
  <c r="J240" i="8"/>
  <c r="N240" i="8"/>
  <c r="M244" i="8"/>
  <c r="J244" i="8"/>
  <c r="N244" i="8"/>
  <c r="J107" i="8"/>
  <c r="K108" i="8"/>
  <c r="K112" i="8"/>
  <c r="J115" i="8"/>
  <c r="K116" i="8"/>
  <c r="J119" i="8"/>
  <c r="K120" i="8"/>
  <c r="J123" i="8"/>
  <c r="K124" i="8"/>
  <c r="J127" i="8"/>
  <c r="K128" i="8"/>
  <c r="N130" i="8"/>
  <c r="J131" i="8"/>
  <c r="K132" i="8"/>
  <c r="N134" i="8"/>
  <c r="J135" i="8"/>
  <c r="K136" i="8"/>
  <c r="N138" i="8"/>
  <c r="J139" i="8"/>
  <c r="K140" i="8"/>
  <c r="N142" i="8"/>
  <c r="J143" i="8"/>
  <c r="K144" i="8"/>
  <c r="M145" i="8"/>
  <c r="N146" i="8"/>
  <c r="J147" i="8"/>
  <c r="K148" i="8"/>
  <c r="M149" i="8"/>
  <c r="N150" i="8"/>
  <c r="J151" i="8"/>
  <c r="K152" i="8"/>
  <c r="M153" i="8"/>
  <c r="N154" i="8"/>
  <c r="J155" i="8"/>
  <c r="K156" i="8"/>
  <c r="M157" i="8"/>
  <c r="N158" i="8"/>
  <c r="J159" i="8"/>
  <c r="K160" i="8"/>
  <c r="M161" i="8"/>
  <c r="N162" i="8"/>
  <c r="J163" i="8"/>
  <c r="K164" i="8"/>
  <c r="M165" i="8"/>
  <c r="M167" i="8"/>
  <c r="K169" i="8"/>
  <c r="N171" i="8"/>
  <c r="J171" i="8"/>
  <c r="M171" i="8"/>
  <c r="M174" i="8"/>
  <c r="N174" i="8"/>
  <c r="K174" i="8"/>
  <c r="N187" i="8"/>
  <c r="J187" i="8"/>
  <c r="M187" i="8"/>
  <c r="M190" i="8"/>
  <c r="N190" i="8"/>
  <c r="K190" i="8"/>
  <c r="J194" i="8"/>
  <c r="K194" i="8"/>
  <c r="N194" i="8"/>
  <c r="J198" i="8"/>
  <c r="K198" i="8"/>
  <c r="N198" i="8"/>
  <c r="J202" i="8"/>
  <c r="K202" i="8"/>
  <c r="N202" i="8"/>
  <c r="J206" i="8"/>
  <c r="K206" i="8"/>
  <c r="N206" i="8"/>
  <c r="J210" i="8"/>
  <c r="K210" i="8"/>
  <c r="N210" i="8"/>
  <c r="J214" i="8"/>
  <c r="K214" i="8"/>
  <c r="N214" i="8"/>
  <c r="J218" i="8"/>
  <c r="K218" i="8"/>
  <c r="N218" i="8"/>
  <c r="J222" i="8"/>
  <c r="K222" i="8"/>
  <c r="N222" i="8"/>
  <c r="J226" i="8"/>
  <c r="K226" i="8"/>
  <c r="N226" i="8"/>
  <c r="J230" i="8"/>
  <c r="K230" i="8"/>
  <c r="N230" i="8"/>
  <c r="J234" i="8"/>
  <c r="K234" i="8"/>
  <c r="N234" i="8"/>
  <c r="J238" i="8"/>
  <c r="K238" i="8"/>
  <c r="N238" i="8"/>
  <c r="J242" i="8"/>
  <c r="K242" i="8"/>
  <c r="N242" i="8"/>
  <c r="M248" i="8"/>
  <c r="J248" i="8"/>
  <c r="N248" i="8"/>
  <c r="J166" i="8"/>
  <c r="J170" i="8"/>
  <c r="N175" i="8"/>
  <c r="J175" i="8"/>
  <c r="M175" i="8"/>
  <c r="M178" i="8"/>
  <c r="N178" i="8"/>
  <c r="K178" i="8"/>
  <c r="K179" i="8"/>
  <c r="J182" i="8"/>
  <c r="N191" i="8"/>
  <c r="J191" i="8"/>
  <c r="M191" i="8"/>
  <c r="J246" i="8"/>
  <c r="K246" i="8"/>
  <c r="N246" i="8"/>
  <c r="M250" i="8"/>
  <c r="M252" i="8"/>
  <c r="J252" i="8"/>
  <c r="N252" i="8"/>
  <c r="M254" i="8"/>
  <c r="M256" i="8"/>
  <c r="J256" i="8"/>
  <c r="N256" i="8"/>
  <c r="M258" i="8"/>
  <c r="M260" i="8"/>
  <c r="J260" i="8"/>
  <c r="N260" i="8"/>
  <c r="M262" i="8"/>
  <c r="M264" i="8"/>
  <c r="J264" i="8"/>
  <c r="N264" i="8"/>
  <c r="M266" i="8"/>
  <c r="M268" i="8"/>
  <c r="J268" i="8"/>
  <c r="N268" i="8"/>
  <c r="M270" i="8"/>
  <c r="M272" i="8"/>
  <c r="J272" i="8"/>
  <c r="N272" i="8"/>
  <c r="M173" i="8"/>
  <c r="M177" i="8"/>
  <c r="M181" i="8"/>
  <c r="M185" i="8"/>
  <c r="M189" i="8"/>
  <c r="M193" i="8"/>
  <c r="M197" i="8"/>
  <c r="M201" i="8"/>
  <c r="M205" i="8"/>
  <c r="M209" i="8"/>
  <c r="M213" i="8"/>
  <c r="M217" i="8"/>
  <c r="M221" i="8"/>
  <c r="M225" i="8"/>
  <c r="M229" i="8"/>
  <c r="M233" i="8"/>
  <c r="M237" i="8"/>
  <c r="M241" i="8"/>
  <c r="M253" i="8"/>
  <c r="M257" i="8"/>
  <c r="M261" i="8"/>
  <c r="M265" i="8"/>
  <c r="M269" i="8"/>
  <c r="K193" i="8"/>
  <c r="K197" i="8"/>
  <c r="K201" i="8"/>
  <c r="K205" i="8"/>
  <c r="K209" i="8"/>
  <c r="K213" i="8"/>
  <c r="K217" i="8"/>
  <c r="K221" i="8"/>
  <c r="K225" i="8"/>
  <c r="K229" i="8"/>
  <c r="K233" i="8"/>
  <c r="K237" i="8"/>
  <c r="K241" i="8"/>
  <c r="K245" i="8"/>
  <c r="K249" i="8"/>
  <c r="K253" i="8"/>
  <c r="K257" i="8"/>
  <c r="K261" i="8"/>
  <c r="K265" i="8"/>
  <c r="K269" i="8"/>
  <c r="A40" i="5"/>
  <c r="D256" i="6" l="1"/>
  <c r="D100" i="6"/>
  <c r="G187" i="6"/>
  <c r="E35" i="6"/>
  <c r="G35" i="6" s="1"/>
  <c r="G231" i="6"/>
  <c r="D129" i="6"/>
  <c r="E15" i="6"/>
  <c r="E88" i="6"/>
  <c r="G197" i="6"/>
  <c r="G213" i="6"/>
  <c r="D107" i="6"/>
  <c r="D99" i="6"/>
  <c r="G99" i="6" s="1"/>
  <c r="G143" i="6"/>
  <c r="G193" i="6"/>
  <c r="D258" i="6"/>
  <c r="E247" i="6"/>
  <c r="G247" i="6" s="1"/>
  <c r="G160" i="6"/>
  <c r="D30" i="6"/>
  <c r="D11" i="6"/>
  <c r="G11" i="6" s="1"/>
  <c r="D49" i="6"/>
  <c r="G49" i="6" s="1"/>
  <c r="G206" i="6"/>
  <c r="G126" i="6"/>
  <c r="D86" i="6"/>
  <c r="G86" i="6" s="1"/>
  <c r="D130" i="6"/>
  <c r="G130" i="6" s="1"/>
  <c r="G234" i="6"/>
  <c r="D31" i="6"/>
  <c r="D144" i="6"/>
  <c r="D116" i="6"/>
  <c r="G116" i="6" s="1"/>
  <c r="D168" i="6"/>
  <c r="G168" i="6" s="1"/>
  <c r="D171" i="6"/>
  <c r="G153" i="6"/>
  <c r="G30" i="6"/>
  <c r="E52" i="6"/>
  <c r="G52" i="6" s="1"/>
  <c r="D211" i="6"/>
  <c r="E68" i="6"/>
  <c r="G68" i="6" s="1"/>
  <c r="G123" i="6"/>
  <c r="D215" i="6"/>
  <c r="G215" i="6" s="1"/>
  <c r="G132" i="6"/>
  <c r="D148" i="6"/>
  <c r="G148" i="6" s="1"/>
  <c r="E217" i="6"/>
  <c r="G217" i="6" s="1"/>
  <c r="D176" i="6"/>
  <c r="G176" i="6" s="1"/>
  <c r="G97" i="6"/>
  <c r="G144" i="6"/>
  <c r="D90" i="6"/>
  <c r="G90" i="6" s="1"/>
  <c r="G229" i="6"/>
  <c r="D182" i="6"/>
  <c r="D157" i="6"/>
  <c r="G157" i="6" s="1"/>
  <c r="E19" i="6"/>
  <c r="G19" i="6" s="1"/>
  <c r="D67" i="6"/>
  <c r="G67" i="6" s="1"/>
  <c r="G39" i="6"/>
  <c r="E230" i="6"/>
  <c r="G230" i="6" s="1"/>
  <c r="E53" i="6"/>
  <c r="G53" i="6" s="1"/>
  <c r="E61" i="6"/>
  <c r="G61" i="6" s="1"/>
  <c r="E209" i="6"/>
  <c r="D62" i="6"/>
  <c r="G62" i="6" s="1"/>
  <c r="E38" i="6"/>
  <c r="G38" i="6" s="1"/>
  <c r="G129" i="6"/>
  <c r="G12" i="6"/>
  <c r="G182" i="6"/>
  <c r="D248" i="6"/>
  <c r="G248" i="6" s="1"/>
  <c r="D212" i="6"/>
  <c r="G212" i="6" s="1"/>
  <c r="G183" i="6"/>
  <c r="G221" i="6"/>
  <c r="D93" i="6"/>
  <c r="G93" i="6" s="1"/>
  <c r="E243" i="6"/>
  <c r="G243" i="6" s="1"/>
  <c r="E216" i="6"/>
  <c r="G128" i="6"/>
  <c r="G256" i="6"/>
  <c r="D118" i="6"/>
  <c r="G118" i="6" s="1"/>
  <c r="G216" i="6"/>
  <c r="G136" i="6"/>
  <c r="D54" i="6"/>
  <c r="G54" i="6" s="1"/>
  <c r="D29" i="6"/>
  <c r="G29" i="6" s="1"/>
  <c r="E85" i="6"/>
  <c r="G85" i="6" s="1"/>
  <c r="G120" i="6"/>
  <c r="G22" i="6"/>
  <c r="D75" i="6"/>
  <c r="G75" i="6" s="1"/>
  <c r="G36" i="6"/>
  <c r="E33" i="6"/>
  <c r="G33" i="6" s="1"/>
  <c r="G76" i="6"/>
  <c r="D43" i="6"/>
  <c r="G43" i="6" s="1"/>
  <c r="G44" i="6"/>
  <c r="K89" i="1"/>
  <c r="J89" i="1"/>
  <c r="K108" i="1"/>
  <c r="J108" i="1"/>
  <c r="K70" i="1"/>
  <c r="J70" i="1"/>
  <c r="K25" i="1"/>
  <c r="J25" i="1"/>
  <c r="K7" i="1"/>
  <c r="D7" i="1"/>
  <c r="F7" i="1" s="1"/>
  <c r="K46" i="2"/>
  <c r="J46" i="2"/>
  <c r="J87" i="2"/>
  <c r="K87" i="2"/>
  <c r="K68" i="2"/>
  <c r="J68" i="2"/>
  <c r="K27" i="2"/>
  <c r="J27" i="2"/>
  <c r="G71" i="6"/>
  <c r="E200" i="6"/>
  <c r="G200" i="6" s="1"/>
  <c r="E50" i="6"/>
  <c r="G50" i="6" s="1"/>
  <c r="E117" i="6"/>
  <c r="G117" i="6" s="1"/>
  <c r="D105" i="6"/>
  <c r="G105" i="6" s="1"/>
  <c r="E87" i="6"/>
  <c r="G87" i="6" s="1"/>
  <c r="E9" i="6"/>
  <c r="G9" i="6" s="1"/>
  <c r="D20" i="6"/>
  <c r="G20" i="6" s="1"/>
  <c r="D195" i="6"/>
  <c r="G195" i="6" s="1"/>
  <c r="G77" i="6"/>
  <c r="E111" i="6"/>
  <c r="G111" i="6" s="1"/>
  <c r="E169" i="6"/>
  <c r="G169" i="6" s="1"/>
  <c r="D145" i="6"/>
  <c r="G145" i="6" s="1"/>
  <c r="G207" i="6"/>
  <c r="D55" i="6"/>
  <c r="G55" i="6" s="1"/>
  <c r="D106" i="6"/>
  <c r="G106" i="6" s="1"/>
  <c r="E80" i="6"/>
  <c r="G80" i="6" s="1"/>
  <c r="D185" i="6"/>
  <c r="G185" i="6" s="1"/>
  <c r="E94" i="6"/>
  <c r="G94" i="6" s="1"/>
  <c r="G41" i="6"/>
  <c r="G70" i="6"/>
  <c r="G191" i="6"/>
  <c r="G78" i="6"/>
  <c r="D13" i="6"/>
  <c r="G13" i="6" s="1"/>
  <c r="E189" i="6"/>
  <c r="G189" i="6" s="1"/>
  <c r="G31" i="6"/>
  <c r="G252" i="6"/>
  <c r="E95" i="6"/>
  <c r="G95" i="6" s="1"/>
  <c r="D91" i="6"/>
  <c r="G91" i="6" s="1"/>
  <c r="D109" i="6"/>
  <c r="G109" i="6" s="1"/>
  <c r="D218" i="6"/>
  <c r="G218" i="6" s="1"/>
  <c r="G209" i="6"/>
  <c r="G188" i="6"/>
  <c r="E69" i="6"/>
  <c r="D69" i="6"/>
  <c r="E7" i="6"/>
  <c r="D7" i="6"/>
  <c r="G211" i="6"/>
  <c r="D59" i="6"/>
  <c r="G59" i="6" s="1"/>
  <c r="D173" i="6"/>
  <c r="G173" i="6" s="1"/>
  <c r="E17" i="6"/>
  <c r="G17" i="6" s="1"/>
  <c r="D101" i="6"/>
  <c r="G101" i="6" s="1"/>
  <c r="E152" i="6"/>
  <c r="G152" i="6" s="1"/>
  <c r="E37" i="6"/>
  <c r="G37" i="6" s="1"/>
  <c r="G154" i="6"/>
  <c r="G125" i="6"/>
  <c r="G196" i="6"/>
  <c r="G124" i="6"/>
  <c r="G134" i="6"/>
  <c r="G198" i="6"/>
  <c r="G89" i="6"/>
  <c r="G103" i="6"/>
  <c r="J90" i="4"/>
  <c r="H91" i="4"/>
  <c r="I90" i="4"/>
  <c r="J69" i="4"/>
  <c r="I69" i="4"/>
  <c r="H70" i="4"/>
  <c r="I50" i="4"/>
  <c r="J50" i="4"/>
  <c r="H14" i="4"/>
  <c r="I13" i="4"/>
  <c r="J13" i="4"/>
  <c r="H91" i="2"/>
  <c r="J90" i="2"/>
  <c r="I90" i="2"/>
  <c r="J71" i="2"/>
  <c r="H72" i="2"/>
  <c r="I71" i="2"/>
  <c r="I49" i="2"/>
  <c r="H50" i="2"/>
  <c r="J49" i="2"/>
  <c r="H31" i="2"/>
  <c r="I30" i="2"/>
  <c r="J30" i="2"/>
  <c r="J11" i="2"/>
  <c r="I11" i="2"/>
  <c r="H12" i="2"/>
  <c r="J103" i="3"/>
  <c r="I103" i="3"/>
  <c r="H104" i="3"/>
  <c r="I65" i="3"/>
  <c r="J65" i="3"/>
  <c r="H66" i="3"/>
  <c r="H47" i="3"/>
  <c r="I46" i="3"/>
  <c r="J46" i="3"/>
  <c r="J28" i="3"/>
  <c r="H29" i="3"/>
  <c r="I28" i="3"/>
  <c r="J10" i="3"/>
  <c r="I10" i="3"/>
  <c r="H11" i="3"/>
  <c r="I51" i="1"/>
  <c r="H52" i="1"/>
  <c r="J51" i="1"/>
  <c r="H29" i="1"/>
  <c r="I28" i="1"/>
  <c r="J28" i="1"/>
  <c r="H12" i="1"/>
  <c r="I11" i="1"/>
  <c r="Q90" i="2"/>
  <c r="D46" i="2"/>
  <c r="F46" i="2" s="1"/>
  <c r="F28" i="2"/>
  <c r="F87" i="2"/>
  <c r="Q111" i="1"/>
  <c r="D9" i="1"/>
  <c r="E48" i="1"/>
  <c r="P30" i="1"/>
  <c r="D25" i="1"/>
  <c r="F25" i="1" s="1"/>
  <c r="F48" i="1"/>
  <c r="F79" i="5"/>
  <c r="G226" i="6"/>
  <c r="G165" i="6"/>
  <c r="G151" i="6"/>
  <c r="F26" i="1"/>
  <c r="G100" i="6"/>
  <c r="G72" i="6"/>
  <c r="G251" i="6"/>
  <c r="G227" i="6"/>
  <c r="F152" i="5"/>
  <c r="G246" i="6"/>
  <c r="G88" i="6"/>
  <c r="F44" i="3"/>
  <c r="Q74" i="1"/>
  <c r="Q73" i="1"/>
  <c r="D110" i="1"/>
  <c r="F110" i="1" s="1"/>
  <c r="Q51" i="1"/>
  <c r="E51" i="1" s="1"/>
  <c r="F9" i="1"/>
  <c r="D68" i="2"/>
  <c r="F68" i="2" s="1"/>
  <c r="F69" i="2"/>
  <c r="G121" i="6"/>
  <c r="F29" i="4"/>
  <c r="F82" i="3"/>
  <c r="F8" i="3"/>
  <c r="F98" i="5"/>
  <c r="F27" i="2"/>
  <c r="G23" i="6"/>
  <c r="G107" i="6"/>
  <c r="G15" i="6"/>
  <c r="G208" i="6"/>
  <c r="O1" i="8"/>
  <c r="G235" i="6"/>
  <c r="F49" i="4"/>
  <c r="F90" i="1"/>
  <c r="G170" i="6"/>
  <c r="G40" i="6"/>
  <c r="G14" i="6"/>
  <c r="F27" i="1"/>
  <c r="F89" i="1"/>
  <c r="G171" i="6"/>
  <c r="F47" i="2"/>
  <c r="F108" i="1"/>
  <c r="F63" i="3"/>
  <c r="E91" i="1"/>
  <c r="D91" i="1"/>
  <c r="E71" i="1"/>
  <c r="D71" i="1"/>
  <c r="E72" i="1"/>
  <c r="D72" i="1"/>
  <c r="D8" i="1"/>
  <c r="E8" i="1"/>
  <c r="E184" i="6"/>
  <c r="D184" i="6"/>
  <c r="J46" i="7"/>
  <c r="J45" i="7"/>
  <c r="E28" i="4"/>
  <c r="D28" i="4"/>
  <c r="K136" i="5"/>
  <c r="L135" i="5"/>
  <c r="E7" i="5"/>
  <c r="H7" i="5" s="1"/>
  <c r="D7" i="5"/>
  <c r="E73" i="1"/>
  <c r="D73" i="1"/>
  <c r="E100" i="3"/>
  <c r="D100" i="3"/>
  <c r="E25" i="3"/>
  <c r="D25" i="3"/>
  <c r="E81" i="3"/>
  <c r="D81" i="3"/>
  <c r="E7" i="3"/>
  <c r="D7" i="3"/>
  <c r="Q49" i="2"/>
  <c r="P50" i="2"/>
  <c r="P76" i="1"/>
  <c r="Q75" i="1"/>
  <c r="P95" i="1"/>
  <c r="Q94" i="1"/>
  <c r="P54" i="1"/>
  <c r="Q53" i="1"/>
  <c r="P13" i="1"/>
  <c r="Q12" i="1"/>
  <c r="D11" i="2"/>
  <c r="E11" i="2"/>
  <c r="J70" i="7"/>
  <c r="J66" i="7"/>
  <c r="J80" i="7"/>
  <c r="J78" i="7"/>
  <c r="J76" i="7"/>
  <c r="J74" i="7"/>
  <c r="J53" i="7"/>
  <c r="J49" i="7"/>
  <c r="J27" i="7"/>
  <c r="J24" i="7"/>
  <c r="J22" i="7"/>
  <c r="D253" i="6"/>
  <c r="E253" i="6"/>
  <c r="E245" i="6"/>
  <c r="D245" i="6"/>
  <c r="J50" i="7"/>
  <c r="D242" i="6"/>
  <c r="E242" i="6"/>
  <c r="E205" i="6"/>
  <c r="D205" i="6"/>
  <c r="E210" i="6"/>
  <c r="D210" i="6"/>
  <c r="J52" i="7"/>
  <c r="E181" i="6"/>
  <c r="D181" i="6"/>
  <c r="E131" i="6"/>
  <c r="D131" i="6"/>
  <c r="E166" i="6"/>
  <c r="D166" i="6"/>
  <c r="E147" i="6"/>
  <c r="D147" i="6"/>
  <c r="E142" i="6"/>
  <c r="D142" i="6"/>
  <c r="D42" i="6"/>
  <c r="E42" i="6"/>
  <c r="D16" i="6"/>
  <c r="E16" i="6"/>
  <c r="J30" i="7"/>
  <c r="J37" i="7"/>
  <c r="J36" i="7"/>
  <c r="J35" i="7"/>
  <c r="J47" i="7"/>
  <c r="D170" i="5"/>
  <c r="E170" i="5"/>
  <c r="H170" i="5" s="1"/>
  <c r="F80" i="5"/>
  <c r="D24" i="5"/>
  <c r="E24" i="5"/>
  <c r="H24" i="5" s="1"/>
  <c r="E116" i="5"/>
  <c r="H116" i="5" s="1"/>
  <c r="D116" i="5"/>
  <c r="D81" i="5"/>
  <c r="E81" i="5"/>
  <c r="H81" i="5" s="1"/>
  <c r="E66" i="4"/>
  <c r="D66" i="4"/>
  <c r="E10" i="4"/>
  <c r="D10" i="4"/>
  <c r="E114" i="5"/>
  <c r="H114" i="5" s="1"/>
  <c r="D114" i="5"/>
  <c r="D43" i="5"/>
  <c r="E43" i="5"/>
  <c r="H43" i="5" s="1"/>
  <c r="F67" i="4"/>
  <c r="E62" i="3"/>
  <c r="D62" i="3"/>
  <c r="F88" i="2"/>
  <c r="E68" i="4"/>
  <c r="D68" i="4"/>
  <c r="E10" i="2"/>
  <c r="D10" i="2"/>
  <c r="E30" i="4"/>
  <c r="D30" i="4"/>
  <c r="P103" i="3"/>
  <c r="Q102" i="3"/>
  <c r="P28" i="3"/>
  <c r="Q27" i="3"/>
  <c r="P84" i="3"/>
  <c r="Q83" i="3"/>
  <c r="P10" i="3"/>
  <c r="Q9" i="3"/>
  <c r="E13" i="4"/>
  <c r="D13" i="4"/>
  <c r="P13" i="2"/>
  <c r="Q12" i="2"/>
  <c r="D57" i="6"/>
  <c r="E57" i="6"/>
  <c r="J33" i="7"/>
  <c r="J69" i="7"/>
  <c r="J65" i="7"/>
  <c r="D249" i="6"/>
  <c r="E249" i="6"/>
  <c r="D237" i="6"/>
  <c r="E237" i="6"/>
  <c r="E194" i="6"/>
  <c r="D194" i="6"/>
  <c r="E175" i="6"/>
  <c r="D175" i="6"/>
  <c r="E233" i="6"/>
  <c r="D233" i="6"/>
  <c r="E250" i="6"/>
  <c r="D250" i="6"/>
  <c r="E228" i="6"/>
  <c r="D228" i="6"/>
  <c r="E156" i="6"/>
  <c r="D156" i="6"/>
  <c r="D92" i="6"/>
  <c r="E92" i="6"/>
  <c r="E172" i="6"/>
  <c r="D172" i="6"/>
  <c r="G149" i="6"/>
  <c r="E146" i="6"/>
  <c r="D146" i="6"/>
  <c r="E127" i="6"/>
  <c r="D127" i="6"/>
  <c r="D51" i="6"/>
  <c r="E51" i="6"/>
  <c r="G28" i="6"/>
  <c r="J31" i="7"/>
  <c r="J42" i="7"/>
  <c r="J17" i="7"/>
  <c r="J41" i="7"/>
  <c r="J34" i="7"/>
  <c r="D8" i="6"/>
  <c r="E8" i="6"/>
  <c r="K171" i="5"/>
  <c r="L169" i="5"/>
  <c r="F96" i="5"/>
  <c r="K63" i="5"/>
  <c r="L61" i="5"/>
  <c r="K62" i="5"/>
  <c r="L62" i="5" s="1"/>
  <c r="E10" i="6"/>
  <c r="D10" i="6"/>
  <c r="L99" i="5"/>
  <c r="K100" i="5"/>
  <c r="E44" i="5"/>
  <c r="H44" i="5" s="1"/>
  <c r="D44" i="5"/>
  <c r="Q48" i="4"/>
  <c r="P50" i="4"/>
  <c r="E89" i="2"/>
  <c r="D89" i="2"/>
  <c r="L153" i="5"/>
  <c r="K154" i="5"/>
  <c r="Q88" i="4"/>
  <c r="P90" i="4"/>
  <c r="D115" i="5"/>
  <c r="E115" i="5"/>
  <c r="H115" i="5" s="1"/>
  <c r="L45" i="5"/>
  <c r="K46" i="5"/>
  <c r="E9" i="5"/>
  <c r="H9" i="5" s="1"/>
  <c r="D9" i="5"/>
  <c r="P65" i="3"/>
  <c r="Q64" i="3"/>
  <c r="P70" i="4"/>
  <c r="Q69" i="4"/>
  <c r="E122" i="3"/>
  <c r="D122" i="3"/>
  <c r="E43" i="3"/>
  <c r="D43" i="3"/>
  <c r="D71" i="2"/>
  <c r="E71" i="2"/>
  <c r="E111" i="1"/>
  <c r="D111" i="1"/>
  <c r="E28" i="1"/>
  <c r="D28" i="1"/>
  <c r="P32" i="4"/>
  <c r="Q31" i="4"/>
  <c r="D90" i="2"/>
  <c r="E90" i="2"/>
  <c r="D112" i="1"/>
  <c r="E112" i="1"/>
  <c r="P15" i="4"/>
  <c r="Q14" i="4"/>
  <c r="D29" i="2"/>
  <c r="E29" i="2"/>
  <c r="D29" i="1"/>
  <c r="E29" i="1"/>
  <c r="D102" i="6"/>
  <c r="E102" i="6"/>
  <c r="E150" i="6"/>
  <c r="D150" i="6"/>
  <c r="E122" i="6"/>
  <c r="D122" i="6"/>
  <c r="D34" i="6"/>
  <c r="E34" i="6"/>
  <c r="J19" i="7"/>
  <c r="J39" i="7"/>
  <c r="D168" i="5"/>
  <c r="E168" i="5"/>
  <c r="H168" i="5" s="1"/>
  <c r="L25" i="5"/>
  <c r="K27" i="5"/>
  <c r="E87" i="4"/>
  <c r="D87" i="4"/>
  <c r="J72" i="7"/>
  <c r="J68" i="7"/>
  <c r="J81" i="7"/>
  <c r="J79" i="7"/>
  <c r="J77" i="7"/>
  <c r="J75" i="7"/>
  <c r="J63" i="7"/>
  <c r="J55" i="7"/>
  <c r="J51" i="7"/>
  <c r="J14" i="7"/>
  <c r="J61" i="7"/>
  <c r="J57" i="7"/>
  <c r="J28" i="7"/>
  <c r="J26" i="7"/>
  <c r="J25" i="7"/>
  <c r="J23" i="7"/>
  <c r="J21" i="7"/>
  <c r="J60" i="7"/>
  <c r="G244" i="6"/>
  <c r="E236" i="6"/>
  <c r="D236" i="6"/>
  <c r="E214" i="6"/>
  <c r="D214" i="6"/>
  <c r="D167" i="6"/>
  <c r="E167" i="6"/>
  <c r="G258" i="6"/>
  <c r="E254" i="6"/>
  <c r="D254" i="6"/>
  <c r="E232" i="6"/>
  <c r="D232" i="6"/>
  <c r="E219" i="6"/>
  <c r="D219" i="6"/>
  <c r="E190" i="6"/>
  <c r="D190" i="6"/>
  <c r="E155" i="6"/>
  <c r="D155" i="6"/>
  <c r="D119" i="6"/>
  <c r="E119" i="6"/>
  <c r="E174" i="6"/>
  <c r="D174" i="6"/>
  <c r="G158" i="6"/>
  <c r="G141" i="6"/>
  <c r="D74" i="6"/>
  <c r="E74" i="6"/>
  <c r="E56" i="6"/>
  <c r="D56" i="6"/>
  <c r="J6" i="7"/>
  <c r="J32" i="7"/>
  <c r="J44" i="7"/>
  <c r="J18" i="7"/>
  <c r="J43" i="7"/>
  <c r="J38" i="7"/>
  <c r="K84" i="5"/>
  <c r="L83" i="5"/>
  <c r="E60" i="5"/>
  <c r="H60" i="5" s="1"/>
  <c r="D60" i="5"/>
  <c r="E47" i="4"/>
  <c r="D47" i="4"/>
  <c r="E70" i="2"/>
  <c r="D70" i="2"/>
  <c r="D133" i="5"/>
  <c r="E133" i="5"/>
  <c r="H133" i="5" s="1"/>
  <c r="E42" i="5"/>
  <c r="H42" i="5" s="1"/>
  <c r="D42" i="5"/>
  <c r="L117" i="5"/>
  <c r="K118" i="5"/>
  <c r="K11" i="5"/>
  <c r="L10" i="5"/>
  <c r="F101" i="3"/>
  <c r="F26" i="3"/>
  <c r="F26" i="5"/>
  <c r="P125" i="3"/>
  <c r="Q124" i="3"/>
  <c r="P46" i="3"/>
  <c r="Q45" i="3"/>
  <c r="P73" i="2"/>
  <c r="Q72" i="2"/>
  <c r="E92" i="1"/>
  <c r="D92" i="1"/>
  <c r="E10" i="1"/>
  <c r="D10" i="1"/>
  <c r="F89" i="4"/>
  <c r="E12" i="4"/>
  <c r="D12" i="4"/>
  <c r="P92" i="2"/>
  <c r="Q91" i="2"/>
  <c r="F8" i="5"/>
  <c r="P114" i="1"/>
  <c r="Q113" i="1"/>
  <c r="D48" i="2"/>
  <c r="E48" i="2"/>
  <c r="D74" i="1"/>
  <c r="E74" i="1"/>
  <c r="D93" i="1"/>
  <c r="E93" i="1"/>
  <c r="D52" i="1"/>
  <c r="E52" i="1"/>
  <c r="D11" i="1"/>
  <c r="E11" i="1"/>
  <c r="Q30" i="2"/>
  <c r="P31" i="2"/>
  <c r="P31" i="1"/>
  <c r="Q30" i="1"/>
  <c r="A58" i="5"/>
  <c r="G7" i="6" l="1"/>
  <c r="G172" i="6"/>
  <c r="G156" i="6"/>
  <c r="G250" i="6"/>
  <c r="G175" i="6"/>
  <c r="K48" i="1"/>
  <c r="J48" i="1"/>
  <c r="K122" i="3"/>
  <c r="J122" i="3"/>
  <c r="K81" i="3"/>
  <c r="J81" i="3"/>
  <c r="K43" i="3"/>
  <c r="J43" i="3"/>
  <c r="K100" i="3"/>
  <c r="J100" i="3"/>
  <c r="K62" i="3"/>
  <c r="J62" i="3"/>
  <c r="K7" i="3"/>
  <c r="J7" i="3"/>
  <c r="K25" i="3"/>
  <c r="J25" i="3"/>
  <c r="J87" i="4"/>
  <c r="K87" i="4"/>
  <c r="J66" i="4"/>
  <c r="K66" i="4"/>
  <c r="K47" i="4"/>
  <c r="J47" i="4"/>
  <c r="K28" i="4"/>
  <c r="J28" i="4"/>
  <c r="K10" i="4"/>
  <c r="J10" i="4"/>
  <c r="G69" i="6"/>
  <c r="G57" i="6"/>
  <c r="G210" i="6"/>
  <c r="G56" i="6"/>
  <c r="G228" i="6"/>
  <c r="G233" i="6"/>
  <c r="G194" i="6"/>
  <c r="G184" i="6"/>
  <c r="J91" i="4"/>
  <c r="H92" i="4"/>
  <c r="I91" i="4"/>
  <c r="J70" i="4"/>
  <c r="H71" i="4"/>
  <c r="I70" i="4"/>
  <c r="J51" i="4"/>
  <c r="I51" i="4"/>
  <c r="I14" i="4"/>
  <c r="J14" i="4"/>
  <c r="H15" i="4"/>
  <c r="I91" i="2"/>
  <c r="H92" i="2"/>
  <c r="J91" i="2"/>
  <c r="H73" i="2"/>
  <c r="J72" i="2"/>
  <c r="I72" i="2"/>
  <c r="J50" i="2"/>
  <c r="I50" i="2"/>
  <c r="H51" i="2"/>
  <c r="I31" i="2"/>
  <c r="J31" i="2"/>
  <c r="H32" i="2"/>
  <c r="H13" i="2"/>
  <c r="J12" i="2"/>
  <c r="I12" i="2"/>
  <c r="J104" i="3"/>
  <c r="H105" i="3"/>
  <c r="I104" i="3"/>
  <c r="J66" i="3"/>
  <c r="I66" i="3"/>
  <c r="H67" i="3"/>
  <c r="I47" i="3"/>
  <c r="J47" i="3"/>
  <c r="H48" i="3"/>
  <c r="I29" i="3"/>
  <c r="H30" i="3"/>
  <c r="J29" i="3"/>
  <c r="J11" i="3"/>
  <c r="H12" i="3"/>
  <c r="I11" i="3"/>
  <c r="J52" i="1"/>
  <c r="I52" i="1"/>
  <c r="H53" i="1"/>
  <c r="I29" i="1"/>
  <c r="H30" i="1"/>
  <c r="J29" i="1"/>
  <c r="J12" i="1"/>
  <c r="H13" i="1"/>
  <c r="I12" i="1"/>
  <c r="F11" i="2"/>
  <c r="D45" i="6"/>
  <c r="G174" i="6"/>
  <c r="G236" i="6"/>
  <c r="G122" i="6"/>
  <c r="F12" i="4"/>
  <c r="F70" i="2"/>
  <c r="D51" i="1"/>
  <c r="F51" i="1" s="1"/>
  <c r="F71" i="1"/>
  <c r="F72" i="1"/>
  <c r="F91" i="1"/>
  <c r="F68" i="4"/>
  <c r="G74" i="6"/>
  <c r="G155" i="6"/>
  <c r="G219" i="6"/>
  <c r="G254" i="6"/>
  <c r="F115" i="5"/>
  <c r="J1" i="7"/>
  <c r="G150" i="6"/>
  <c r="G16" i="6"/>
  <c r="G253" i="6"/>
  <c r="F11" i="1"/>
  <c r="G190" i="6"/>
  <c r="G232" i="6"/>
  <c r="G146" i="6"/>
  <c r="F30" i="4"/>
  <c r="G147" i="6"/>
  <c r="G131" i="6"/>
  <c r="G245" i="6"/>
  <c r="F8" i="1"/>
  <c r="Q31" i="2"/>
  <c r="P32" i="2"/>
  <c r="E91" i="2"/>
  <c r="D91" i="2"/>
  <c r="E14" i="4"/>
  <c r="D14" i="4"/>
  <c r="P71" i="4"/>
  <c r="Q70" i="4"/>
  <c r="E30" i="2"/>
  <c r="D30" i="2"/>
  <c r="F133" i="5"/>
  <c r="L27" i="5"/>
  <c r="K28" i="5"/>
  <c r="F168" i="5"/>
  <c r="G34" i="6"/>
  <c r="F29" i="1"/>
  <c r="P16" i="4"/>
  <c r="Q15" i="4"/>
  <c r="F90" i="2"/>
  <c r="F28" i="1"/>
  <c r="F122" i="3"/>
  <c r="D64" i="3"/>
  <c r="E64" i="3"/>
  <c r="K47" i="5"/>
  <c r="L46" i="5"/>
  <c r="Q90" i="4"/>
  <c r="P91" i="4"/>
  <c r="K155" i="5"/>
  <c r="L154" i="5"/>
  <c r="P51" i="4"/>
  <c r="Q50" i="4"/>
  <c r="L100" i="5"/>
  <c r="K101" i="5"/>
  <c r="E62" i="5"/>
  <c r="H62" i="5" s="1"/>
  <c r="D62" i="5"/>
  <c r="D169" i="5"/>
  <c r="E169" i="5"/>
  <c r="H169" i="5" s="1"/>
  <c r="G237" i="6"/>
  <c r="E12" i="2"/>
  <c r="D12" i="2"/>
  <c r="P85" i="3"/>
  <c r="Q84" i="3"/>
  <c r="P104" i="3"/>
  <c r="Q103" i="3"/>
  <c r="F62" i="3"/>
  <c r="F43" i="5"/>
  <c r="F10" i="4"/>
  <c r="F170" i="5"/>
  <c r="P55" i="1"/>
  <c r="Q54" i="1"/>
  <c r="P77" i="1"/>
  <c r="Q76" i="1"/>
  <c r="F25" i="3"/>
  <c r="F73" i="1"/>
  <c r="F7" i="5"/>
  <c r="F28" i="4"/>
  <c r="F48" i="2"/>
  <c r="F47" i="4"/>
  <c r="E83" i="5"/>
  <c r="H83" i="5" s="1"/>
  <c r="D83" i="5"/>
  <c r="G119" i="6"/>
  <c r="D137" i="6"/>
  <c r="F52" i="1"/>
  <c r="E113" i="1"/>
  <c r="D113" i="1"/>
  <c r="P93" i="2"/>
  <c r="Q92" i="2"/>
  <c r="E72" i="2"/>
  <c r="D72" i="2"/>
  <c r="D117" i="5"/>
  <c r="E117" i="5"/>
  <c r="H117" i="5" s="1"/>
  <c r="E30" i="1"/>
  <c r="D30" i="1"/>
  <c r="F74" i="1"/>
  <c r="P115" i="1"/>
  <c r="Q114" i="1"/>
  <c r="P74" i="2"/>
  <c r="Q73" i="2"/>
  <c r="Q125" i="3"/>
  <c r="P126" i="3"/>
  <c r="D10" i="5"/>
  <c r="E10" i="5"/>
  <c r="H10" i="5" s="1"/>
  <c r="F42" i="5"/>
  <c r="F60" i="5"/>
  <c r="D161" i="6"/>
  <c r="G167" i="6"/>
  <c r="E25" i="5"/>
  <c r="H25" i="5" s="1"/>
  <c r="D25" i="5"/>
  <c r="E31" i="4"/>
  <c r="D31" i="4"/>
  <c r="F71" i="2"/>
  <c r="P66" i="3"/>
  <c r="Q65" i="3"/>
  <c r="D45" i="5"/>
  <c r="F45" i="5" s="1"/>
  <c r="E45" i="5"/>
  <c r="H45" i="5" s="1"/>
  <c r="D88" i="4"/>
  <c r="E88" i="4"/>
  <c r="E153" i="5"/>
  <c r="H153" i="5" s="1"/>
  <c r="D153" i="5"/>
  <c r="D48" i="4"/>
  <c r="E48" i="4"/>
  <c r="E99" i="5"/>
  <c r="H99" i="5" s="1"/>
  <c r="D99" i="5"/>
  <c r="D61" i="5"/>
  <c r="E61" i="5"/>
  <c r="H61" i="5" s="1"/>
  <c r="K172" i="5"/>
  <c r="L171" i="5"/>
  <c r="D81" i="6"/>
  <c r="G51" i="6"/>
  <c r="D63" i="6"/>
  <c r="P14" i="2"/>
  <c r="Q13" i="2"/>
  <c r="D9" i="3"/>
  <c r="E9" i="3"/>
  <c r="D27" i="3"/>
  <c r="E27" i="3"/>
  <c r="F81" i="5"/>
  <c r="F24" i="5"/>
  <c r="G42" i="6"/>
  <c r="E12" i="1"/>
  <c r="D12" i="1"/>
  <c r="E94" i="1"/>
  <c r="D94" i="1"/>
  <c r="Q50" i="2"/>
  <c r="P51" i="2"/>
  <c r="F81" i="3"/>
  <c r="G8" i="6"/>
  <c r="D24" i="6"/>
  <c r="F10" i="1"/>
  <c r="D124" i="3"/>
  <c r="E124" i="3"/>
  <c r="L84" i="5"/>
  <c r="K85" i="5"/>
  <c r="P32" i="1"/>
  <c r="Q31" i="1"/>
  <c r="F93" i="1"/>
  <c r="F92" i="1"/>
  <c r="D45" i="3"/>
  <c r="E45" i="3"/>
  <c r="K12" i="5"/>
  <c r="L11" i="5"/>
  <c r="D238" i="6"/>
  <c r="G214" i="6"/>
  <c r="F87" i="4"/>
  <c r="G102" i="6"/>
  <c r="F29" i="2"/>
  <c r="F112" i="1"/>
  <c r="P33" i="4"/>
  <c r="Q32" i="4"/>
  <c r="F111" i="1"/>
  <c r="F43" i="3"/>
  <c r="E69" i="4"/>
  <c r="D69" i="4"/>
  <c r="F9" i="5"/>
  <c r="F89" i="2"/>
  <c r="F44" i="5"/>
  <c r="G10" i="6"/>
  <c r="K64" i="5"/>
  <c r="L63" i="5"/>
  <c r="G127" i="6"/>
  <c r="G92" i="6"/>
  <c r="D112" i="6"/>
  <c r="G249" i="6"/>
  <c r="F13" i="4"/>
  <c r="P11" i="3"/>
  <c r="Q10" i="3"/>
  <c r="P29" i="3"/>
  <c r="Q28" i="3"/>
  <c r="F10" i="2"/>
  <c r="F114" i="5"/>
  <c r="F66" i="4"/>
  <c r="F116" i="5"/>
  <c r="G142" i="6"/>
  <c r="G166" i="6"/>
  <c r="D177" i="6"/>
  <c r="D201" i="6"/>
  <c r="G181" i="6"/>
  <c r="D259" i="6"/>
  <c r="G242" i="6"/>
  <c r="P14" i="1"/>
  <c r="Q13" i="1"/>
  <c r="P96" i="1"/>
  <c r="Q95" i="1"/>
  <c r="E49" i="2"/>
  <c r="D49" i="2"/>
  <c r="F100" i="3"/>
  <c r="D135" i="5"/>
  <c r="E135" i="5"/>
  <c r="H135" i="5" s="1"/>
  <c r="Q46" i="3"/>
  <c r="P47" i="3"/>
  <c r="K119" i="5"/>
  <c r="L118" i="5"/>
  <c r="D83" i="3"/>
  <c r="F83" i="3" s="1"/>
  <c r="E83" i="3"/>
  <c r="D102" i="3"/>
  <c r="E102" i="3"/>
  <c r="D222" i="6"/>
  <c r="G205" i="6"/>
  <c r="E53" i="1"/>
  <c r="D53" i="1"/>
  <c r="E75" i="1"/>
  <c r="D75" i="1"/>
  <c r="F7" i="3"/>
  <c r="K137" i="5"/>
  <c r="L136" i="5"/>
  <c r="A76" i="5"/>
  <c r="I92" i="4" l="1"/>
  <c r="H93" i="4"/>
  <c r="J92" i="4"/>
  <c r="I71" i="4"/>
  <c r="H72" i="4"/>
  <c r="J71" i="4"/>
  <c r="I52" i="4"/>
  <c r="J52" i="4"/>
  <c r="J15" i="4"/>
  <c r="H16" i="4"/>
  <c r="I15" i="4"/>
  <c r="I92" i="2"/>
  <c r="H93" i="2"/>
  <c r="J92" i="2"/>
  <c r="H74" i="2"/>
  <c r="J73" i="2"/>
  <c r="I73" i="2"/>
  <c r="H52" i="2"/>
  <c r="J51" i="2"/>
  <c r="I51" i="2"/>
  <c r="J32" i="2"/>
  <c r="H33" i="2"/>
  <c r="I32" i="2"/>
  <c r="I13" i="2"/>
  <c r="H14" i="2"/>
  <c r="J13" i="2"/>
  <c r="H106" i="3"/>
  <c r="J105" i="3"/>
  <c r="I105" i="3"/>
  <c r="H68" i="3"/>
  <c r="J67" i="3"/>
  <c r="I67" i="3"/>
  <c r="J48" i="3"/>
  <c r="H49" i="3"/>
  <c r="I48" i="3"/>
  <c r="I30" i="3"/>
  <c r="H31" i="3"/>
  <c r="J30" i="3"/>
  <c r="H13" i="3"/>
  <c r="I12" i="3"/>
  <c r="J12" i="3"/>
  <c r="H54" i="1"/>
  <c r="J53" i="1"/>
  <c r="I53" i="1"/>
  <c r="J30" i="1"/>
  <c r="H31" i="1"/>
  <c r="I30" i="1"/>
  <c r="H14" i="1"/>
  <c r="I13" i="1"/>
  <c r="J13" i="1"/>
  <c r="F10" i="5"/>
  <c r="F83" i="5"/>
  <c r="F14" i="4"/>
  <c r="F61" i="5"/>
  <c r="F48" i="4"/>
  <c r="D261" i="6"/>
  <c r="D263" i="6" s="1"/>
  <c r="F49" i="2"/>
  <c r="F31" i="4"/>
  <c r="F64" i="3"/>
  <c r="F91" i="2"/>
  <c r="F30" i="2"/>
  <c r="F75" i="1"/>
  <c r="F53" i="1"/>
  <c r="L119" i="5"/>
  <c r="K120" i="5"/>
  <c r="P15" i="1"/>
  <c r="Q14" i="1"/>
  <c r="E10" i="3"/>
  <c r="D10" i="3"/>
  <c r="L64" i="5"/>
  <c r="K65" i="5"/>
  <c r="D11" i="5"/>
  <c r="F11" i="5" s="1"/>
  <c r="E11" i="5"/>
  <c r="H11" i="5" s="1"/>
  <c r="P33" i="1"/>
  <c r="Q32" i="1"/>
  <c r="F124" i="3"/>
  <c r="Q51" i="2"/>
  <c r="P52" i="2"/>
  <c r="F12" i="1"/>
  <c r="F27" i="3"/>
  <c r="P15" i="2"/>
  <c r="Q14" i="2"/>
  <c r="D171" i="5"/>
  <c r="E171" i="5"/>
  <c r="H171" i="5" s="1"/>
  <c r="F99" i="5"/>
  <c r="F153" i="5"/>
  <c r="P75" i="2"/>
  <c r="Q74" i="2"/>
  <c r="F30" i="1"/>
  <c r="F72" i="2"/>
  <c r="F113" i="1"/>
  <c r="P78" i="1"/>
  <c r="Q77" i="1"/>
  <c r="P105" i="3"/>
  <c r="Q104" i="3"/>
  <c r="F62" i="5"/>
  <c r="E50" i="4"/>
  <c r="D50" i="4"/>
  <c r="Q91" i="4"/>
  <c r="P92" i="4"/>
  <c r="P17" i="4"/>
  <c r="Q16" i="4"/>
  <c r="E70" i="4"/>
  <c r="D70" i="4"/>
  <c r="E46" i="3"/>
  <c r="D46" i="3"/>
  <c r="P97" i="1"/>
  <c r="Q96" i="1"/>
  <c r="E28" i="3"/>
  <c r="D28" i="3"/>
  <c r="E32" i="4"/>
  <c r="D32" i="4"/>
  <c r="F32" i="4" s="1"/>
  <c r="E13" i="1"/>
  <c r="D13" i="1"/>
  <c r="P30" i="3"/>
  <c r="Q29" i="3"/>
  <c r="D63" i="5"/>
  <c r="E63" i="5"/>
  <c r="H63" i="5" s="1"/>
  <c r="P34" i="4"/>
  <c r="Q33" i="4"/>
  <c r="F45" i="3"/>
  <c r="E31" i="1"/>
  <c r="D31" i="1"/>
  <c r="E13" i="2"/>
  <c r="D13" i="2"/>
  <c r="D136" i="5"/>
  <c r="F136" i="5" s="1"/>
  <c r="E136" i="5"/>
  <c r="H136" i="5" s="1"/>
  <c r="F102" i="3"/>
  <c r="F135" i="5"/>
  <c r="K138" i="5"/>
  <c r="L137" i="5"/>
  <c r="P48" i="3"/>
  <c r="Q47" i="3"/>
  <c r="E95" i="1"/>
  <c r="D95" i="1"/>
  <c r="P12" i="3"/>
  <c r="Q11" i="3"/>
  <c r="F69" i="4"/>
  <c r="K13" i="5"/>
  <c r="L12" i="5"/>
  <c r="K86" i="5"/>
  <c r="L85" i="5"/>
  <c r="E50" i="2"/>
  <c r="D50" i="2"/>
  <c r="K173" i="5"/>
  <c r="L172" i="5"/>
  <c r="P127" i="3"/>
  <c r="Q126" i="3"/>
  <c r="E114" i="1"/>
  <c r="D114" i="1"/>
  <c r="E54" i="1"/>
  <c r="D54" i="1"/>
  <c r="E84" i="3"/>
  <c r="D84" i="3"/>
  <c r="P52" i="4"/>
  <c r="Q51" i="4"/>
  <c r="E90" i="4"/>
  <c r="D90" i="4"/>
  <c r="L28" i="5"/>
  <c r="K29" i="5"/>
  <c r="P72" i="4"/>
  <c r="Q71" i="4"/>
  <c r="D84" i="5"/>
  <c r="E84" i="5"/>
  <c r="H84" i="5" s="1"/>
  <c r="F94" i="1"/>
  <c r="F9" i="3"/>
  <c r="E65" i="3"/>
  <c r="D65" i="3"/>
  <c r="E125" i="3"/>
  <c r="D125" i="3"/>
  <c r="P116" i="1"/>
  <c r="Q115" i="1"/>
  <c r="E92" i="2"/>
  <c r="D92" i="2"/>
  <c r="P56" i="1"/>
  <c r="Q55" i="1"/>
  <c r="P86" i="3"/>
  <c r="Q85" i="3"/>
  <c r="L101" i="5"/>
  <c r="K102" i="5"/>
  <c r="D154" i="5"/>
  <c r="E154" i="5"/>
  <c r="H154" i="5" s="1"/>
  <c r="E46" i="5"/>
  <c r="H46" i="5" s="1"/>
  <c r="D46" i="5"/>
  <c r="F46" i="5" s="1"/>
  <c r="E27" i="5"/>
  <c r="H27" i="5" s="1"/>
  <c r="D27" i="5"/>
  <c r="Q32" i="2"/>
  <c r="P33" i="2"/>
  <c r="E118" i="5"/>
  <c r="H118" i="5" s="1"/>
  <c r="D118" i="5"/>
  <c r="F88" i="4"/>
  <c r="P67" i="3"/>
  <c r="Q66" i="3"/>
  <c r="F25" i="5"/>
  <c r="E73" i="2"/>
  <c r="D73" i="2"/>
  <c r="F117" i="5"/>
  <c r="P94" i="2"/>
  <c r="Q93" i="2"/>
  <c r="E76" i="1"/>
  <c r="D76" i="1"/>
  <c r="E103" i="3"/>
  <c r="D103" i="3"/>
  <c r="F12" i="2"/>
  <c r="F169" i="5"/>
  <c r="D100" i="5"/>
  <c r="E100" i="5"/>
  <c r="H100" i="5" s="1"/>
  <c r="L155" i="5"/>
  <c r="K156" i="5"/>
  <c r="L47" i="5"/>
  <c r="K48" i="5"/>
  <c r="D15" i="4"/>
  <c r="E15" i="4"/>
  <c r="E31" i="2"/>
  <c r="D31" i="2"/>
  <c r="A94" i="5"/>
  <c r="H94" i="4" l="1"/>
  <c r="I93" i="4"/>
  <c r="J93" i="4"/>
  <c r="H73" i="4"/>
  <c r="I72" i="4"/>
  <c r="J72" i="4"/>
  <c r="I53" i="4"/>
  <c r="J53" i="4"/>
  <c r="H17" i="4"/>
  <c r="J16" i="4"/>
  <c r="I16" i="4"/>
  <c r="H94" i="2"/>
  <c r="J93" i="2"/>
  <c r="I93" i="2"/>
  <c r="H75" i="2"/>
  <c r="I74" i="2"/>
  <c r="J74" i="2"/>
  <c r="H53" i="2"/>
  <c r="I52" i="2"/>
  <c r="J52" i="2"/>
  <c r="H34" i="2"/>
  <c r="J33" i="2"/>
  <c r="I33" i="2"/>
  <c r="H15" i="2"/>
  <c r="J14" i="2"/>
  <c r="I14" i="2"/>
  <c r="H107" i="3"/>
  <c r="I106" i="3"/>
  <c r="J106" i="3"/>
  <c r="H69" i="3"/>
  <c r="I68" i="3"/>
  <c r="J68" i="3"/>
  <c r="H50" i="3"/>
  <c r="J49" i="3"/>
  <c r="I49" i="3"/>
  <c r="H32" i="3"/>
  <c r="J31" i="3"/>
  <c r="I31" i="3"/>
  <c r="H14" i="3"/>
  <c r="I13" i="3"/>
  <c r="J13" i="3"/>
  <c r="H55" i="1"/>
  <c r="J54" i="1"/>
  <c r="I54" i="1"/>
  <c r="H32" i="1"/>
  <c r="J31" i="1"/>
  <c r="I31" i="1"/>
  <c r="J14" i="1"/>
  <c r="H15" i="1"/>
  <c r="I14" i="1"/>
  <c r="F50" i="2"/>
  <c r="F171" i="5"/>
  <c r="F84" i="3"/>
  <c r="F114" i="1"/>
  <c r="F50" i="4"/>
  <c r="F103" i="3"/>
  <c r="F54" i="1"/>
  <c r="E93" i="2"/>
  <c r="D93" i="2"/>
  <c r="K49" i="5"/>
  <c r="L48" i="5"/>
  <c r="F31" i="2"/>
  <c r="D47" i="5"/>
  <c r="F47" i="5" s="1"/>
  <c r="E47" i="5"/>
  <c r="H47" i="5" s="1"/>
  <c r="F100" i="5"/>
  <c r="F118" i="5"/>
  <c r="E32" i="2"/>
  <c r="D32" i="2"/>
  <c r="L102" i="5"/>
  <c r="K103" i="5"/>
  <c r="E115" i="1"/>
  <c r="D115" i="1"/>
  <c r="L29" i="5"/>
  <c r="K30" i="5"/>
  <c r="E172" i="5"/>
  <c r="H172" i="5" s="1"/>
  <c r="D172" i="5"/>
  <c r="D85" i="5"/>
  <c r="E85" i="5"/>
  <c r="H85" i="5" s="1"/>
  <c r="K14" i="5"/>
  <c r="L13" i="5"/>
  <c r="P13" i="3"/>
  <c r="Q12" i="3"/>
  <c r="K139" i="5"/>
  <c r="L138" i="5"/>
  <c r="D33" i="4"/>
  <c r="E33" i="4"/>
  <c r="E29" i="3"/>
  <c r="D29" i="3"/>
  <c r="F28" i="3"/>
  <c r="P98" i="1"/>
  <c r="Q97" i="1"/>
  <c r="F70" i="4"/>
  <c r="E16" i="4"/>
  <c r="D16" i="4"/>
  <c r="F16" i="4" s="1"/>
  <c r="E91" i="4"/>
  <c r="D91" i="4"/>
  <c r="E104" i="3"/>
  <c r="D104" i="3"/>
  <c r="E77" i="1"/>
  <c r="D77" i="1"/>
  <c r="E64" i="5"/>
  <c r="H64" i="5" s="1"/>
  <c r="D64" i="5"/>
  <c r="P16" i="1"/>
  <c r="Q15" i="1"/>
  <c r="F15" i="4"/>
  <c r="K157" i="5"/>
  <c r="L156" i="5"/>
  <c r="F76" i="1"/>
  <c r="F73" i="2"/>
  <c r="E66" i="3"/>
  <c r="D66" i="3"/>
  <c r="F27" i="5"/>
  <c r="E101" i="5"/>
  <c r="H101" i="5" s="1"/>
  <c r="D101" i="5"/>
  <c r="E55" i="1"/>
  <c r="D55" i="1"/>
  <c r="P117" i="1"/>
  <c r="Q116" i="1"/>
  <c r="F65" i="3"/>
  <c r="F84" i="5"/>
  <c r="D28" i="5"/>
  <c r="E28" i="5"/>
  <c r="H28" i="5" s="1"/>
  <c r="E51" i="4"/>
  <c r="D51" i="4"/>
  <c r="E126" i="3"/>
  <c r="D126" i="3"/>
  <c r="L173" i="5"/>
  <c r="K174" i="5"/>
  <c r="L86" i="5"/>
  <c r="K87" i="5"/>
  <c r="E47" i="3"/>
  <c r="D47" i="3"/>
  <c r="F13" i="2"/>
  <c r="F31" i="1"/>
  <c r="P35" i="4"/>
  <c r="Q34" i="4"/>
  <c r="P31" i="3"/>
  <c r="Q30" i="3"/>
  <c r="P18" i="4"/>
  <c r="Q17" i="4"/>
  <c r="P106" i="3"/>
  <c r="Q105" i="3"/>
  <c r="P79" i="1"/>
  <c r="Q78" i="1"/>
  <c r="E74" i="2"/>
  <c r="D74" i="2"/>
  <c r="E32" i="1"/>
  <c r="D32" i="1"/>
  <c r="F10" i="3"/>
  <c r="K121" i="5"/>
  <c r="L120" i="5"/>
  <c r="P68" i="3"/>
  <c r="Q67" i="3"/>
  <c r="E85" i="3"/>
  <c r="D85" i="3"/>
  <c r="P57" i="1"/>
  <c r="Q56" i="1"/>
  <c r="F92" i="2"/>
  <c r="F125" i="3"/>
  <c r="D71" i="4"/>
  <c r="E71" i="4"/>
  <c r="P53" i="4"/>
  <c r="Q52" i="4"/>
  <c r="P128" i="3"/>
  <c r="Q127" i="3"/>
  <c r="F95" i="1"/>
  <c r="P49" i="3"/>
  <c r="Q48" i="3"/>
  <c r="F46" i="3"/>
  <c r="P76" i="2"/>
  <c r="Q75" i="2"/>
  <c r="E14" i="2"/>
  <c r="D14" i="2"/>
  <c r="P53" i="2"/>
  <c r="Q52" i="2"/>
  <c r="P34" i="1"/>
  <c r="Q33" i="1"/>
  <c r="D119" i="5"/>
  <c r="E119" i="5"/>
  <c r="H119" i="5" s="1"/>
  <c r="E155" i="5"/>
  <c r="H155" i="5" s="1"/>
  <c r="D155" i="5"/>
  <c r="P95" i="2"/>
  <c r="Q94" i="2"/>
  <c r="P34" i="2"/>
  <c r="Q33" i="2"/>
  <c r="F154" i="5"/>
  <c r="P87" i="3"/>
  <c r="Q86" i="3"/>
  <c r="P73" i="4"/>
  <c r="Q72" i="4"/>
  <c r="F90" i="4"/>
  <c r="D12" i="5"/>
  <c r="E12" i="5"/>
  <c r="H12" i="5" s="1"/>
  <c r="E11" i="3"/>
  <c r="D11" i="3"/>
  <c r="E137" i="5"/>
  <c r="H137" i="5" s="1"/>
  <c r="D137" i="5"/>
  <c r="F63" i="5"/>
  <c r="F13" i="1"/>
  <c r="E96" i="1"/>
  <c r="D96" i="1"/>
  <c r="P93" i="4"/>
  <c r="Q92" i="4"/>
  <c r="P16" i="2"/>
  <c r="Q15" i="2"/>
  <c r="E51" i="2"/>
  <c r="D51" i="2"/>
  <c r="L65" i="5"/>
  <c r="K66" i="5"/>
  <c r="E14" i="1"/>
  <c r="D14" i="1"/>
  <c r="A112" i="5"/>
  <c r="J94" i="4" l="1"/>
  <c r="I94" i="4"/>
  <c r="H95" i="4"/>
  <c r="J73" i="4"/>
  <c r="H74" i="4"/>
  <c r="I73" i="4"/>
  <c r="I54" i="4"/>
  <c r="J54" i="4"/>
  <c r="H18" i="4"/>
  <c r="I17" i="4"/>
  <c r="J17" i="4"/>
  <c r="J94" i="2"/>
  <c r="I94" i="2"/>
  <c r="H95" i="2"/>
  <c r="J75" i="2"/>
  <c r="I75" i="2"/>
  <c r="H76" i="2"/>
  <c r="I53" i="2"/>
  <c r="H54" i="2"/>
  <c r="J53" i="2"/>
  <c r="I34" i="2"/>
  <c r="H35" i="2"/>
  <c r="J34" i="2"/>
  <c r="J15" i="2"/>
  <c r="I15" i="2"/>
  <c r="H16" i="2"/>
  <c r="J107" i="3"/>
  <c r="I107" i="3"/>
  <c r="H108" i="3"/>
  <c r="I69" i="3"/>
  <c r="H70" i="3"/>
  <c r="J69" i="3"/>
  <c r="H51" i="3"/>
  <c r="I50" i="3"/>
  <c r="J50" i="3"/>
  <c r="J32" i="3"/>
  <c r="I32" i="3"/>
  <c r="H33" i="3"/>
  <c r="J14" i="3"/>
  <c r="I14" i="3"/>
  <c r="H15" i="3"/>
  <c r="I55" i="1"/>
  <c r="H56" i="1"/>
  <c r="J55" i="1"/>
  <c r="I32" i="1"/>
  <c r="J32" i="1"/>
  <c r="H33" i="1"/>
  <c r="H16" i="1"/>
  <c r="J15" i="1"/>
  <c r="I15" i="1"/>
  <c r="F71" i="4"/>
  <c r="F93" i="2"/>
  <c r="F155" i="5"/>
  <c r="F28" i="5"/>
  <c r="F85" i="5"/>
  <c r="F32" i="1"/>
  <c r="F47" i="3"/>
  <c r="F115" i="1"/>
  <c r="F32" i="2"/>
  <c r="F91" i="4"/>
  <c r="F104" i="3"/>
  <c r="F14" i="2"/>
  <c r="F96" i="1"/>
  <c r="F14" i="1"/>
  <c r="F51" i="2"/>
  <c r="L66" i="5"/>
  <c r="K67" i="5"/>
  <c r="D15" i="2"/>
  <c r="E15" i="2"/>
  <c r="D92" i="4"/>
  <c r="E92" i="4"/>
  <c r="D65" i="5"/>
  <c r="E65" i="5"/>
  <c r="H65" i="5" s="1"/>
  <c r="P17" i="2"/>
  <c r="Q16" i="2"/>
  <c r="P94" i="4"/>
  <c r="Q93" i="4"/>
  <c r="F11" i="3"/>
  <c r="P74" i="4"/>
  <c r="Q73" i="4"/>
  <c r="D33" i="2"/>
  <c r="E33" i="2"/>
  <c r="F119" i="5"/>
  <c r="P54" i="2"/>
  <c r="Q53" i="2"/>
  <c r="D75" i="2"/>
  <c r="E75" i="2"/>
  <c r="D52" i="4"/>
  <c r="E52" i="4"/>
  <c r="P58" i="1"/>
  <c r="Q57" i="1"/>
  <c r="P69" i="3"/>
  <c r="Q68" i="3"/>
  <c r="F74" i="2"/>
  <c r="E105" i="3"/>
  <c r="D105" i="3"/>
  <c r="E30" i="3"/>
  <c r="D30" i="3"/>
  <c r="D173" i="5"/>
  <c r="E173" i="5"/>
  <c r="H173" i="5" s="1"/>
  <c r="F51" i="4"/>
  <c r="D116" i="1"/>
  <c r="E116" i="1"/>
  <c r="F101" i="5"/>
  <c r="F66" i="3"/>
  <c r="D156" i="5"/>
  <c r="F156" i="5" s="1"/>
  <c r="E156" i="5"/>
  <c r="H156" i="5" s="1"/>
  <c r="D15" i="1"/>
  <c r="E15" i="1"/>
  <c r="P99" i="1"/>
  <c r="Q98" i="1"/>
  <c r="K15" i="5"/>
  <c r="L14" i="5"/>
  <c r="E48" i="5"/>
  <c r="H48" i="5" s="1"/>
  <c r="D48" i="5"/>
  <c r="L157" i="5"/>
  <c r="K158" i="5"/>
  <c r="P17" i="1"/>
  <c r="Q16" i="1"/>
  <c r="F77" i="1"/>
  <c r="F33" i="4"/>
  <c r="E12" i="3"/>
  <c r="D12" i="3"/>
  <c r="L30" i="5"/>
  <c r="K31" i="5"/>
  <c r="L103" i="5"/>
  <c r="K104" i="5"/>
  <c r="L49" i="5"/>
  <c r="K50" i="5"/>
  <c r="D33" i="1"/>
  <c r="E33" i="1"/>
  <c r="P77" i="2"/>
  <c r="Q76" i="2"/>
  <c r="P54" i="4"/>
  <c r="Q53" i="4"/>
  <c r="P107" i="3"/>
  <c r="Q106" i="3"/>
  <c r="P32" i="3"/>
  <c r="Q31" i="3"/>
  <c r="K88" i="5"/>
  <c r="L87" i="5"/>
  <c r="P118" i="1"/>
  <c r="Q117" i="1"/>
  <c r="F137" i="5"/>
  <c r="P88" i="3"/>
  <c r="Q87" i="3"/>
  <c r="D94" i="2"/>
  <c r="E94" i="2"/>
  <c r="P35" i="1"/>
  <c r="Q34" i="1"/>
  <c r="E48" i="3"/>
  <c r="D48" i="3"/>
  <c r="E127" i="3"/>
  <c r="D127" i="3"/>
  <c r="F127" i="3" s="1"/>
  <c r="L121" i="5"/>
  <c r="K122" i="5"/>
  <c r="D78" i="1"/>
  <c r="E78" i="1"/>
  <c r="E17" i="4"/>
  <c r="D17" i="4"/>
  <c r="E34" i="4"/>
  <c r="D34" i="4"/>
  <c r="D86" i="5"/>
  <c r="E86" i="5"/>
  <c r="H86" i="5" s="1"/>
  <c r="F55" i="1"/>
  <c r="F64" i="5"/>
  <c r="F29" i="3"/>
  <c r="D138" i="5"/>
  <c r="E138" i="5"/>
  <c r="H138" i="5" s="1"/>
  <c r="P14" i="3"/>
  <c r="Q13" i="3"/>
  <c r="E29" i="5"/>
  <c r="H29" i="5" s="1"/>
  <c r="D29" i="5"/>
  <c r="D102" i="5"/>
  <c r="E102" i="5"/>
  <c r="H102" i="5" s="1"/>
  <c r="E86" i="3"/>
  <c r="D86" i="3"/>
  <c r="F86" i="3" s="1"/>
  <c r="Q34" i="2"/>
  <c r="P35" i="2"/>
  <c r="F85" i="3"/>
  <c r="E120" i="5"/>
  <c r="H120" i="5" s="1"/>
  <c r="D120" i="5"/>
  <c r="F126" i="3"/>
  <c r="F12" i="5"/>
  <c r="E72" i="4"/>
  <c r="D72" i="4"/>
  <c r="P96" i="2"/>
  <c r="Q95" i="2"/>
  <c r="D52" i="2"/>
  <c r="E52" i="2"/>
  <c r="P50" i="3"/>
  <c r="Q49" i="3"/>
  <c r="P129" i="3"/>
  <c r="Q128" i="3"/>
  <c r="D56" i="1"/>
  <c r="E56" i="1"/>
  <c r="E67" i="3"/>
  <c r="D67" i="3"/>
  <c r="P80" i="1"/>
  <c r="Q79" i="1"/>
  <c r="P19" i="4"/>
  <c r="Q18" i="4"/>
  <c r="P36" i="4"/>
  <c r="Q35" i="4"/>
  <c r="K175" i="5"/>
  <c r="L174" i="5"/>
  <c r="D97" i="1"/>
  <c r="E97" i="1"/>
  <c r="K140" i="5"/>
  <c r="L139" i="5"/>
  <c r="E13" i="5"/>
  <c r="H13" i="5" s="1"/>
  <c r="D13" i="5"/>
  <c r="F172" i="5"/>
  <c r="A130" i="5"/>
  <c r="J95" i="4" l="1"/>
  <c r="H96" i="4"/>
  <c r="I95" i="4"/>
  <c r="J74" i="4"/>
  <c r="H75" i="4"/>
  <c r="I74" i="4"/>
  <c r="J55" i="4"/>
  <c r="I55" i="4"/>
  <c r="I18" i="4"/>
  <c r="H19" i="4"/>
  <c r="J18" i="4"/>
  <c r="I95" i="2"/>
  <c r="H96" i="2"/>
  <c r="J95" i="2"/>
  <c r="J76" i="2"/>
  <c r="H77" i="2"/>
  <c r="I76" i="2"/>
  <c r="J54" i="2"/>
  <c r="I54" i="2"/>
  <c r="H55" i="2"/>
  <c r="I35" i="2"/>
  <c r="J35" i="2"/>
  <c r="H36" i="2"/>
  <c r="H17" i="2"/>
  <c r="J16" i="2"/>
  <c r="I16" i="2"/>
  <c r="J108" i="3"/>
  <c r="H109" i="3"/>
  <c r="I108" i="3"/>
  <c r="J70" i="3"/>
  <c r="I70" i="3"/>
  <c r="H71" i="3"/>
  <c r="I51" i="3"/>
  <c r="J51" i="3"/>
  <c r="H52" i="3"/>
  <c r="I33" i="3"/>
  <c r="H34" i="3"/>
  <c r="J33" i="3"/>
  <c r="J15" i="3"/>
  <c r="H16" i="3"/>
  <c r="I15" i="3"/>
  <c r="J56" i="1"/>
  <c r="I56" i="1"/>
  <c r="H57" i="1"/>
  <c r="I33" i="1"/>
  <c r="H34" i="1"/>
  <c r="J33" i="1"/>
  <c r="J16" i="1"/>
  <c r="H17" i="1"/>
  <c r="I16" i="1"/>
  <c r="F173" i="5"/>
  <c r="F72" i="4"/>
  <c r="F120" i="5"/>
  <c r="F30" i="3"/>
  <c r="F13" i="5"/>
  <c r="F138" i="5"/>
  <c r="F65" i="5"/>
  <c r="F75" i="2"/>
  <c r="F52" i="2"/>
  <c r="F33" i="2"/>
  <c r="F15" i="2"/>
  <c r="F116" i="1"/>
  <c r="F33" i="1"/>
  <c r="D49" i="3"/>
  <c r="E49" i="3"/>
  <c r="E95" i="2"/>
  <c r="D95" i="2"/>
  <c r="Q35" i="2"/>
  <c r="P36" i="2"/>
  <c r="F86" i="5"/>
  <c r="D121" i="5"/>
  <c r="E121" i="5"/>
  <c r="H121" i="5" s="1"/>
  <c r="F48" i="3"/>
  <c r="E87" i="5"/>
  <c r="H87" i="5" s="1"/>
  <c r="D87" i="5"/>
  <c r="Q32" i="3"/>
  <c r="P33" i="3"/>
  <c r="P55" i="4"/>
  <c r="Q54" i="4"/>
  <c r="L104" i="5"/>
  <c r="K105" i="5"/>
  <c r="F12" i="3"/>
  <c r="K159" i="5"/>
  <c r="L158" i="5"/>
  <c r="D14" i="5"/>
  <c r="E14" i="5"/>
  <c r="H14" i="5" s="1"/>
  <c r="P100" i="1"/>
  <c r="Q100" i="1" s="1"/>
  <c r="Q99" i="1"/>
  <c r="F105" i="3"/>
  <c r="D68" i="3"/>
  <c r="E68" i="3"/>
  <c r="P75" i="4"/>
  <c r="Q74" i="4"/>
  <c r="P95" i="4"/>
  <c r="Q94" i="4"/>
  <c r="E174" i="5"/>
  <c r="H174" i="5" s="1"/>
  <c r="D174" i="5"/>
  <c r="E18" i="4"/>
  <c r="D18" i="4"/>
  <c r="F56" i="1"/>
  <c r="P51" i="3"/>
  <c r="Q50" i="3"/>
  <c r="P97" i="2"/>
  <c r="Q96" i="2"/>
  <c r="D34" i="2"/>
  <c r="E34" i="2"/>
  <c r="D13" i="3"/>
  <c r="E13" i="3"/>
  <c r="F34" i="4"/>
  <c r="F94" i="2"/>
  <c r="L88" i="5"/>
  <c r="K89" i="5"/>
  <c r="L89" i="5" s="1"/>
  <c r="D106" i="3"/>
  <c r="E106" i="3"/>
  <c r="E76" i="2"/>
  <c r="D76" i="2"/>
  <c r="K51" i="5"/>
  <c r="L50" i="5"/>
  <c r="E103" i="5"/>
  <c r="H103" i="5" s="1"/>
  <c r="D103" i="5"/>
  <c r="E157" i="5"/>
  <c r="H157" i="5" s="1"/>
  <c r="D157" i="5"/>
  <c r="K16" i="5"/>
  <c r="L15" i="5"/>
  <c r="P70" i="3"/>
  <c r="Q69" i="3"/>
  <c r="E16" i="2"/>
  <c r="D16" i="2"/>
  <c r="F97" i="1"/>
  <c r="E139" i="5"/>
  <c r="H139" i="5" s="1"/>
  <c r="D139" i="5"/>
  <c r="L175" i="5"/>
  <c r="K176" i="5"/>
  <c r="P20" i="4"/>
  <c r="Q19" i="4"/>
  <c r="F67" i="3"/>
  <c r="D128" i="3"/>
  <c r="E128" i="3"/>
  <c r="F102" i="5"/>
  <c r="P15" i="3"/>
  <c r="Q14" i="3"/>
  <c r="F78" i="1"/>
  <c r="E34" i="1"/>
  <c r="D34" i="1"/>
  <c r="D87" i="3"/>
  <c r="E87" i="3"/>
  <c r="E117" i="1"/>
  <c r="D117" i="1"/>
  <c r="Q107" i="3"/>
  <c r="P108" i="3"/>
  <c r="P78" i="2"/>
  <c r="Q77" i="2"/>
  <c r="D49" i="5"/>
  <c r="E49" i="5"/>
  <c r="H49" i="5" s="1"/>
  <c r="L31" i="5"/>
  <c r="K32" i="5"/>
  <c r="E16" i="1"/>
  <c r="D16" i="1"/>
  <c r="F48" i="5"/>
  <c r="E57" i="1"/>
  <c r="D57" i="1"/>
  <c r="F52" i="4"/>
  <c r="D53" i="2"/>
  <c r="E53" i="2"/>
  <c r="P18" i="2"/>
  <c r="Q17" i="2"/>
  <c r="K68" i="5"/>
  <c r="L67" i="5"/>
  <c r="P37" i="4"/>
  <c r="Q36" i="4"/>
  <c r="P81" i="1"/>
  <c r="Q81" i="1" s="1"/>
  <c r="Q80" i="1"/>
  <c r="K141" i="5"/>
  <c r="L140" i="5"/>
  <c r="E35" i="4"/>
  <c r="D35" i="4"/>
  <c r="E79" i="1"/>
  <c r="D79" i="1"/>
  <c r="P130" i="3"/>
  <c r="Q129" i="3"/>
  <c r="F29" i="5"/>
  <c r="F17" i="4"/>
  <c r="K123" i="5"/>
  <c r="L122" i="5"/>
  <c r="P36" i="1"/>
  <c r="Q36" i="1" s="1"/>
  <c r="Q35" i="1"/>
  <c r="P89" i="3"/>
  <c r="Q88" i="3"/>
  <c r="P119" i="1"/>
  <c r="Q119" i="1" s="1"/>
  <c r="Q118" i="1"/>
  <c r="D31" i="3"/>
  <c r="E31" i="3"/>
  <c r="E53" i="4"/>
  <c r="D53" i="4"/>
  <c r="D30" i="5"/>
  <c r="E30" i="5"/>
  <c r="H30" i="5" s="1"/>
  <c r="P18" i="1"/>
  <c r="Q18" i="1" s="1"/>
  <c r="Q17" i="1"/>
  <c r="E98" i="1"/>
  <c r="D98" i="1"/>
  <c r="F15" i="1"/>
  <c r="P59" i="1"/>
  <c r="Q59" i="1" s="1"/>
  <c r="Q58" i="1"/>
  <c r="P55" i="2"/>
  <c r="Q54" i="2"/>
  <c r="E73" i="4"/>
  <c r="D73" i="4"/>
  <c r="E93" i="4"/>
  <c r="D93" i="4"/>
  <c r="F92" i="4"/>
  <c r="E66" i="5"/>
  <c r="H66" i="5" s="1"/>
  <c r="D66" i="5"/>
  <c r="A148" i="5"/>
  <c r="H97" i="4" l="1"/>
  <c r="J96" i="4"/>
  <c r="I96" i="4"/>
  <c r="I75" i="4"/>
  <c r="H76" i="4"/>
  <c r="J75" i="4"/>
  <c r="I56" i="4"/>
  <c r="J56" i="4"/>
  <c r="J19" i="4"/>
  <c r="H20" i="4"/>
  <c r="I19" i="4"/>
  <c r="I96" i="2"/>
  <c r="H97" i="2"/>
  <c r="J96" i="2"/>
  <c r="H78" i="2"/>
  <c r="J77" i="2"/>
  <c r="I77" i="2"/>
  <c r="H56" i="2"/>
  <c r="J55" i="2"/>
  <c r="I55" i="2"/>
  <c r="J36" i="2"/>
  <c r="H37" i="2"/>
  <c r="I36" i="2"/>
  <c r="I17" i="2"/>
  <c r="H18" i="2"/>
  <c r="J17" i="2"/>
  <c r="H110" i="3"/>
  <c r="J109" i="3"/>
  <c r="I109" i="3"/>
  <c r="H72" i="3"/>
  <c r="J71" i="3"/>
  <c r="I71" i="3"/>
  <c r="J52" i="3"/>
  <c r="H53" i="3"/>
  <c r="I52" i="3"/>
  <c r="I34" i="3"/>
  <c r="H35" i="3"/>
  <c r="J34" i="3"/>
  <c r="H17" i="3"/>
  <c r="J16" i="3"/>
  <c r="I16" i="3"/>
  <c r="H58" i="1"/>
  <c r="J57" i="1"/>
  <c r="I57" i="1"/>
  <c r="J34" i="1"/>
  <c r="H35" i="1"/>
  <c r="I34" i="1"/>
  <c r="H18" i="1"/>
  <c r="I17" i="1"/>
  <c r="J17" i="1"/>
  <c r="F157" i="5"/>
  <c r="F35" i="4"/>
  <c r="F73" i="4"/>
  <c r="F49" i="3"/>
  <c r="F95" i="2"/>
  <c r="F57" i="1"/>
  <c r="F49" i="5"/>
  <c r="F34" i="2"/>
  <c r="F14" i="5"/>
  <c r="F53" i="2"/>
  <c r="F139" i="5"/>
  <c r="F68" i="3"/>
  <c r="F117" i="1"/>
  <c r="F98" i="1"/>
  <c r="F34" i="1"/>
  <c r="E119" i="1"/>
  <c r="D119" i="1"/>
  <c r="E36" i="1"/>
  <c r="D36" i="1"/>
  <c r="P131" i="3"/>
  <c r="Q130" i="3"/>
  <c r="E80" i="1"/>
  <c r="D80" i="1"/>
  <c r="P19" i="2"/>
  <c r="Q19" i="2" s="1"/>
  <c r="Q18" i="2"/>
  <c r="L32" i="5"/>
  <c r="K33" i="5"/>
  <c r="E77" i="2"/>
  <c r="D77" i="2"/>
  <c r="E14" i="3"/>
  <c r="D14" i="3"/>
  <c r="F128" i="3"/>
  <c r="P21" i="4"/>
  <c r="Q21" i="4" s="1"/>
  <c r="Q20" i="4"/>
  <c r="E69" i="3"/>
  <c r="D69" i="3"/>
  <c r="E50" i="5"/>
  <c r="H50" i="5" s="1"/>
  <c r="D50" i="5"/>
  <c r="P52" i="3"/>
  <c r="Q51" i="3"/>
  <c r="F174" i="5"/>
  <c r="E74" i="4"/>
  <c r="D74" i="4"/>
  <c r="P56" i="4"/>
  <c r="Q55" i="4"/>
  <c r="Q36" i="2"/>
  <c r="P37" i="2"/>
  <c r="E59" i="1"/>
  <c r="D59" i="1"/>
  <c r="F30" i="5"/>
  <c r="E88" i="3"/>
  <c r="D88" i="3"/>
  <c r="E122" i="5"/>
  <c r="H122" i="5" s="1"/>
  <c r="D122" i="5"/>
  <c r="F79" i="1"/>
  <c r="D140" i="5"/>
  <c r="F140" i="5" s="1"/>
  <c r="E140" i="5"/>
  <c r="H140" i="5" s="1"/>
  <c r="E81" i="1"/>
  <c r="D81" i="1"/>
  <c r="D67" i="5"/>
  <c r="F67" i="5" s="1"/>
  <c r="E67" i="5"/>
  <c r="H67" i="5" s="1"/>
  <c r="F16" i="1"/>
  <c r="E31" i="5"/>
  <c r="H31" i="5" s="1"/>
  <c r="D31" i="5"/>
  <c r="F31" i="5" s="1"/>
  <c r="P79" i="2"/>
  <c r="Q79" i="2" s="1"/>
  <c r="Q78" i="2"/>
  <c r="P16" i="3"/>
  <c r="Q15" i="3"/>
  <c r="K177" i="5"/>
  <c r="L176" i="5"/>
  <c r="P71" i="3"/>
  <c r="Q70" i="3"/>
  <c r="L51" i="5"/>
  <c r="K52" i="5"/>
  <c r="F106" i="3"/>
  <c r="F13" i="3"/>
  <c r="E96" i="2"/>
  <c r="D96" i="2"/>
  <c r="P76" i="4"/>
  <c r="Q75" i="4"/>
  <c r="E99" i="1"/>
  <c r="D99" i="1"/>
  <c r="E158" i="5"/>
  <c r="H158" i="5" s="1"/>
  <c r="D158" i="5"/>
  <c r="L105" i="5"/>
  <c r="K106" i="5"/>
  <c r="P34" i="3"/>
  <c r="Q33" i="3"/>
  <c r="F121" i="5"/>
  <c r="D35" i="2"/>
  <c r="E35" i="2"/>
  <c r="E58" i="1"/>
  <c r="D58" i="1"/>
  <c r="F66" i="5"/>
  <c r="F93" i="4"/>
  <c r="E54" i="2"/>
  <c r="D54" i="2"/>
  <c r="E17" i="1"/>
  <c r="D17" i="1"/>
  <c r="F31" i="3"/>
  <c r="P90" i="3"/>
  <c r="Q89" i="3"/>
  <c r="L123" i="5"/>
  <c r="K124" i="5"/>
  <c r="K142" i="5"/>
  <c r="L141" i="5"/>
  <c r="E36" i="4"/>
  <c r="D36" i="4"/>
  <c r="L68" i="5"/>
  <c r="K69" i="5"/>
  <c r="P109" i="3"/>
  <c r="Q108" i="3"/>
  <c r="D175" i="5"/>
  <c r="E175" i="5"/>
  <c r="H175" i="5" s="1"/>
  <c r="F16" i="2"/>
  <c r="E15" i="5"/>
  <c r="H15" i="5" s="1"/>
  <c r="D15" i="5"/>
  <c r="F103" i="5"/>
  <c r="F76" i="2"/>
  <c r="D89" i="5"/>
  <c r="E89" i="5"/>
  <c r="H89" i="5" s="1"/>
  <c r="P98" i="2"/>
  <c r="Q98" i="2" s="1"/>
  <c r="Q97" i="2"/>
  <c r="F18" i="4"/>
  <c r="E94" i="4"/>
  <c r="D94" i="4"/>
  <c r="E100" i="1"/>
  <c r="D100" i="1"/>
  <c r="L159" i="5"/>
  <c r="K160" i="5"/>
  <c r="D104" i="5"/>
  <c r="E104" i="5"/>
  <c r="H104" i="5" s="1"/>
  <c r="E32" i="3"/>
  <c r="D32" i="3"/>
  <c r="Q55" i="2"/>
  <c r="P56" i="2"/>
  <c r="E18" i="1"/>
  <c r="D18" i="1"/>
  <c r="F53" i="4"/>
  <c r="E118" i="1"/>
  <c r="D118" i="1"/>
  <c r="E35" i="1"/>
  <c r="D35" i="1"/>
  <c r="E129" i="3"/>
  <c r="D129" i="3"/>
  <c r="P38" i="4"/>
  <c r="Q37" i="4"/>
  <c r="E17" i="2"/>
  <c r="D17" i="2"/>
  <c r="E107" i="3"/>
  <c r="D107" i="3"/>
  <c r="F87" i="3"/>
  <c r="D19" i="4"/>
  <c r="E19" i="4"/>
  <c r="K17" i="5"/>
  <c r="L17" i="5" s="1"/>
  <c r="L16" i="5"/>
  <c r="D88" i="5"/>
  <c r="E88" i="5"/>
  <c r="H88" i="5" s="1"/>
  <c r="E50" i="3"/>
  <c r="D50" i="3"/>
  <c r="P96" i="4"/>
  <c r="Q95" i="4"/>
  <c r="E54" i="4"/>
  <c r="D54" i="4"/>
  <c r="F87" i="5"/>
  <c r="A166" i="5"/>
  <c r="H98" i="4" l="1"/>
  <c r="I97" i="4"/>
  <c r="J97" i="4"/>
  <c r="H77" i="4"/>
  <c r="I76" i="4"/>
  <c r="J76" i="4"/>
  <c r="J57" i="4"/>
  <c r="I57" i="4"/>
  <c r="H21" i="4"/>
  <c r="J20" i="4"/>
  <c r="I20" i="4"/>
  <c r="H98" i="2"/>
  <c r="J97" i="2"/>
  <c r="I97" i="2"/>
  <c r="H79" i="2"/>
  <c r="I78" i="2"/>
  <c r="J78" i="2"/>
  <c r="H57" i="2"/>
  <c r="J56" i="2"/>
  <c r="I56" i="2"/>
  <c r="H38" i="2"/>
  <c r="J37" i="2"/>
  <c r="I37" i="2"/>
  <c r="H19" i="2"/>
  <c r="J18" i="2"/>
  <c r="I18" i="2"/>
  <c r="H111" i="3"/>
  <c r="I110" i="3"/>
  <c r="J110" i="3"/>
  <c r="H73" i="3"/>
  <c r="J72" i="3"/>
  <c r="I72" i="3"/>
  <c r="H54" i="3"/>
  <c r="J53" i="3"/>
  <c r="I53" i="3"/>
  <c r="H36" i="3"/>
  <c r="J35" i="3"/>
  <c r="I35" i="3"/>
  <c r="H18" i="3"/>
  <c r="I17" i="3"/>
  <c r="J17" i="3"/>
  <c r="H59" i="1"/>
  <c r="J58" i="1"/>
  <c r="I58" i="1"/>
  <c r="H36" i="1"/>
  <c r="J35" i="1"/>
  <c r="I35" i="1"/>
  <c r="J18" i="1"/>
  <c r="I18" i="1"/>
  <c r="F74" i="4"/>
  <c r="F14" i="3"/>
  <c r="F58" i="1"/>
  <c r="F54" i="4"/>
  <c r="F15" i="5"/>
  <c r="F36" i="4"/>
  <c r="F17" i="1"/>
  <c r="F107" i="3"/>
  <c r="F88" i="3"/>
  <c r="F54" i="2"/>
  <c r="F35" i="2"/>
  <c r="F99" i="1"/>
  <c r="F80" i="1"/>
  <c r="F35" i="1"/>
  <c r="E55" i="4"/>
  <c r="D55" i="4"/>
  <c r="P53" i="3"/>
  <c r="Q52" i="3"/>
  <c r="D19" i="2"/>
  <c r="E19" i="2"/>
  <c r="P132" i="3"/>
  <c r="Q131" i="3"/>
  <c r="F119" i="1"/>
  <c r="D121" i="1"/>
  <c r="K125" i="5"/>
  <c r="L125" i="5" s="1"/>
  <c r="L124" i="5"/>
  <c r="L106" i="5"/>
  <c r="K107" i="5"/>
  <c r="L107" i="5" s="1"/>
  <c r="F59" i="1"/>
  <c r="F61" i="1" s="1"/>
  <c r="D61" i="1"/>
  <c r="E95" i="4"/>
  <c r="D95" i="4"/>
  <c r="P57" i="2"/>
  <c r="Q57" i="2" s="1"/>
  <c r="Q56" i="2"/>
  <c r="F100" i="1"/>
  <c r="F102" i="1" s="1"/>
  <c r="D102" i="1"/>
  <c r="P110" i="3"/>
  <c r="Q109" i="3"/>
  <c r="D123" i="5"/>
  <c r="E123" i="5"/>
  <c r="H123" i="5" s="1"/>
  <c r="E105" i="5"/>
  <c r="H105" i="5" s="1"/>
  <c r="D105" i="5"/>
  <c r="P72" i="3"/>
  <c r="Q71" i="3"/>
  <c r="P17" i="3"/>
  <c r="Q16" i="3"/>
  <c r="F81" i="1"/>
  <c r="F83" i="1" s="1"/>
  <c r="D83" i="1"/>
  <c r="P57" i="4"/>
  <c r="Q56" i="4"/>
  <c r="F50" i="5"/>
  <c r="E20" i="4"/>
  <c r="D20" i="4"/>
  <c r="L33" i="5"/>
  <c r="K34" i="5"/>
  <c r="E17" i="5"/>
  <c r="H17" i="5" s="1"/>
  <c r="D17" i="5"/>
  <c r="E159" i="5"/>
  <c r="H159" i="5" s="1"/>
  <c r="D159" i="5"/>
  <c r="F159" i="5" s="1"/>
  <c r="F96" i="2"/>
  <c r="E70" i="3"/>
  <c r="D70" i="3"/>
  <c r="D37" i="4"/>
  <c r="E37" i="4"/>
  <c r="F88" i="5"/>
  <c r="F19" i="4"/>
  <c r="P39" i="4"/>
  <c r="Q39" i="4" s="1"/>
  <c r="Q38" i="4"/>
  <c r="E55" i="2"/>
  <c r="D55" i="2"/>
  <c r="F104" i="5"/>
  <c r="E97" i="2"/>
  <c r="D97" i="2"/>
  <c r="F89" i="5"/>
  <c r="D91" i="5"/>
  <c r="F175" i="5"/>
  <c r="L69" i="5"/>
  <c r="K70" i="5"/>
  <c r="D141" i="5"/>
  <c r="E141" i="5"/>
  <c r="H141" i="5" s="1"/>
  <c r="E89" i="3"/>
  <c r="D89" i="3"/>
  <c r="E33" i="3"/>
  <c r="D33" i="3"/>
  <c r="F158" i="5"/>
  <c r="D75" i="4"/>
  <c r="E75" i="4"/>
  <c r="K53" i="5"/>
  <c r="L53" i="5" s="1"/>
  <c r="L52" i="5"/>
  <c r="D176" i="5"/>
  <c r="E176" i="5"/>
  <c r="H176" i="5" s="1"/>
  <c r="E78" i="2"/>
  <c r="D78" i="2"/>
  <c r="F122" i="5"/>
  <c r="P38" i="2"/>
  <c r="Q38" i="2" s="1"/>
  <c r="Q37" i="2"/>
  <c r="E21" i="4"/>
  <c r="D21" i="4"/>
  <c r="D32" i="5"/>
  <c r="E32" i="5"/>
  <c r="H32" i="5" s="1"/>
  <c r="F36" i="1"/>
  <c r="F38" i="1" s="1"/>
  <c r="D38" i="1"/>
  <c r="E108" i="3"/>
  <c r="D108" i="3"/>
  <c r="E15" i="3"/>
  <c r="D15" i="3"/>
  <c r="P97" i="4"/>
  <c r="Q96" i="4"/>
  <c r="F50" i="3"/>
  <c r="D16" i="5"/>
  <c r="E16" i="5"/>
  <c r="H16" i="5" s="1"/>
  <c r="F17" i="2"/>
  <c r="F129" i="3"/>
  <c r="F118" i="1"/>
  <c r="F18" i="1"/>
  <c r="F20" i="1" s="1"/>
  <c r="D20" i="1"/>
  <c r="F32" i="3"/>
  <c r="K161" i="5"/>
  <c r="L161" i="5" s="1"/>
  <c r="L160" i="5"/>
  <c r="F94" i="4"/>
  <c r="D98" i="2"/>
  <c r="E98" i="2"/>
  <c r="E68" i="5"/>
  <c r="H68" i="5" s="1"/>
  <c r="D68" i="5"/>
  <c r="K143" i="5"/>
  <c r="L143" i="5" s="1"/>
  <c r="L142" i="5"/>
  <c r="P91" i="3"/>
  <c r="Q90" i="3"/>
  <c r="P35" i="3"/>
  <c r="Q34" i="3"/>
  <c r="P77" i="4"/>
  <c r="Q77" i="4" s="1"/>
  <c r="Q76" i="4"/>
  <c r="D51" i="5"/>
  <c r="E51" i="5"/>
  <c r="H51" i="5" s="1"/>
  <c r="K178" i="5"/>
  <c r="L177" i="5"/>
  <c r="D79" i="2"/>
  <c r="E79" i="2"/>
  <c r="E36" i="2"/>
  <c r="D36" i="2"/>
  <c r="E51" i="3"/>
  <c r="D51" i="3"/>
  <c r="F69" i="3"/>
  <c r="F77" i="2"/>
  <c r="E18" i="2"/>
  <c r="D18" i="2"/>
  <c r="E130" i="3"/>
  <c r="D130" i="3"/>
  <c r="J98" i="4" l="1"/>
  <c r="I98" i="4"/>
  <c r="J77" i="4"/>
  <c r="I77" i="4"/>
  <c r="I58" i="4"/>
  <c r="J58" i="4"/>
  <c r="I21" i="4"/>
  <c r="J21" i="4"/>
  <c r="J98" i="2"/>
  <c r="I98" i="2"/>
  <c r="J79" i="2"/>
  <c r="I79" i="2"/>
  <c r="I57" i="2"/>
  <c r="J57" i="2"/>
  <c r="I38" i="2"/>
  <c r="J38" i="2"/>
  <c r="J19" i="2"/>
  <c r="I19" i="2"/>
  <c r="J111" i="3"/>
  <c r="I111" i="3"/>
  <c r="I73" i="3"/>
  <c r="J73" i="3"/>
  <c r="I54" i="3"/>
  <c r="J54" i="3"/>
  <c r="J36" i="3"/>
  <c r="I36" i="3"/>
  <c r="J18" i="3"/>
  <c r="I18" i="3"/>
  <c r="I59" i="1"/>
  <c r="J59" i="1"/>
  <c r="I36" i="1"/>
  <c r="J36" i="1"/>
  <c r="F32" i="5"/>
  <c r="F123" i="5"/>
  <c r="E83" i="1"/>
  <c r="E102" i="1"/>
  <c r="F95" i="4"/>
  <c r="F55" i="4"/>
  <c r="F51" i="3"/>
  <c r="F16" i="5"/>
  <c r="F176" i="5"/>
  <c r="F75" i="4"/>
  <c r="F105" i="5"/>
  <c r="F20" i="4"/>
  <c r="F21" i="4"/>
  <c r="F130" i="3"/>
  <c r="F97" i="2"/>
  <c r="F98" i="2"/>
  <c r="F18" i="2"/>
  <c r="F36" i="2"/>
  <c r="D177" i="5"/>
  <c r="F177" i="5" s="1"/>
  <c r="E177" i="5"/>
  <c r="H177" i="5" s="1"/>
  <c r="E76" i="4"/>
  <c r="D76" i="4"/>
  <c r="D143" i="5"/>
  <c r="E143" i="5"/>
  <c r="H143" i="5" s="1"/>
  <c r="E161" i="5"/>
  <c r="H161" i="5" s="1"/>
  <c r="D161" i="5"/>
  <c r="D96" i="4"/>
  <c r="E96" i="4"/>
  <c r="F108" i="3"/>
  <c r="D37" i="2"/>
  <c r="E37" i="2"/>
  <c r="F89" i="3"/>
  <c r="L70" i="5"/>
  <c r="K71" i="5"/>
  <c r="L71" i="5" s="1"/>
  <c r="F91" i="5"/>
  <c r="E91" i="5" s="1"/>
  <c r="F55" i="2"/>
  <c r="D23" i="4"/>
  <c r="F37" i="4"/>
  <c r="P58" i="4"/>
  <c r="Q58" i="4" s="1"/>
  <c r="Q57" i="4"/>
  <c r="P18" i="3"/>
  <c r="Q18" i="3" s="1"/>
  <c r="Q17" i="3"/>
  <c r="P111" i="3"/>
  <c r="Q111" i="3" s="1"/>
  <c r="Q110" i="3"/>
  <c r="D57" i="2"/>
  <c r="E57" i="2"/>
  <c r="E61" i="1"/>
  <c r="D125" i="5"/>
  <c r="E125" i="5"/>
  <c r="H125" i="5" s="1"/>
  <c r="P133" i="3"/>
  <c r="Q133" i="3" s="1"/>
  <c r="Q132" i="3"/>
  <c r="P54" i="3"/>
  <c r="Q54" i="3" s="1"/>
  <c r="Q53" i="3"/>
  <c r="K179" i="5"/>
  <c r="L179" i="5" s="1"/>
  <c r="L178" i="5"/>
  <c r="E77" i="4"/>
  <c r="D77" i="4"/>
  <c r="E90" i="3"/>
  <c r="D90" i="3"/>
  <c r="F68" i="5"/>
  <c r="Q97" i="4"/>
  <c r="P98" i="4"/>
  <c r="Q98" i="4" s="1"/>
  <c r="E38" i="2"/>
  <c r="D38" i="2"/>
  <c r="F78" i="2"/>
  <c r="E52" i="5"/>
  <c r="H52" i="5" s="1"/>
  <c r="D52" i="5"/>
  <c r="F52" i="5" s="1"/>
  <c r="D69" i="5"/>
  <c r="E69" i="5"/>
  <c r="H69" i="5" s="1"/>
  <c r="F70" i="3"/>
  <c r="L34" i="5"/>
  <c r="K35" i="5"/>
  <c r="L35" i="5" s="1"/>
  <c r="E71" i="3"/>
  <c r="D71" i="3"/>
  <c r="E107" i="5"/>
  <c r="H107" i="5" s="1"/>
  <c r="D107" i="5"/>
  <c r="E34" i="3"/>
  <c r="D34" i="3"/>
  <c r="P92" i="3"/>
  <c r="Q92" i="3" s="1"/>
  <c r="Q91" i="3"/>
  <c r="F15" i="3"/>
  <c r="D53" i="5"/>
  <c r="E53" i="5"/>
  <c r="H53" i="5" s="1"/>
  <c r="F33" i="3"/>
  <c r="E38" i="4"/>
  <c r="D38" i="4"/>
  <c r="E33" i="5"/>
  <c r="H33" i="5" s="1"/>
  <c r="D33" i="5"/>
  <c r="P73" i="3"/>
  <c r="Q73" i="3" s="1"/>
  <c r="Q72" i="3"/>
  <c r="D106" i="5"/>
  <c r="F106" i="5" s="1"/>
  <c r="E106" i="5"/>
  <c r="H106" i="5" s="1"/>
  <c r="F121" i="1"/>
  <c r="E121" i="1" s="1"/>
  <c r="F19" i="2"/>
  <c r="F21" i="2" s="1"/>
  <c r="D21" i="2"/>
  <c r="F79" i="2"/>
  <c r="D81" i="2"/>
  <c r="F51" i="5"/>
  <c r="P36" i="3"/>
  <c r="Q36" i="3" s="1"/>
  <c r="Q35" i="3"/>
  <c r="D142" i="5"/>
  <c r="E142" i="5"/>
  <c r="H142" i="5" s="1"/>
  <c r="E160" i="5"/>
  <c r="H160" i="5" s="1"/>
  <c r="D160" i="5"/>
  <c r="E20" i="1"/>
  <c r="E38" i="1"/>
  <c r="F141" i="5"/>
  <c r="E39" i="4"/>
  <c r="D39" i="4"/>
  <c r="D100" i="2"/>
  <c r="F17" i="5"/>
  <c r="F19" i="5" s="1"/>
  <c r="D19" i="5"/>
  <c r="D56" i="4"/>
  <c r="E56" i="4"/>
  <c r="E16" i="3"/>
  <c r="D16" i="3"/>
  <c r="E109" i="3"/>
  <c r="D109" i="3"/>
  <c r="E56" i="2"/>
  <c r="D56" i="2"/>
  <c r="E124" i="5"/>
  <c r="H124" i="5" s="1"/>
  <c r="D124" i="5"/>
  <c r="E131" i="3"/>
  <c r="D131" i="3"/>
  <c r="E52" i="3"/>
  <c r="D52" i="3"/>
  <c r="E19" i="5" l="1"/>
  <c r="F23" i="4"/>
  <c r="E23" i="4" s="1"/>
  <c r="F56" i="4"/>
  <c r="F81" i="2"/>
  <c r="E81" i="2" s="1"/>
  <c r="F100" i="2"/>
  <c r="E100" i="2" s="1"/>
  <c r="F38" i="4"/>
  <c r="F34" i="3"/>
  <c r="E36" i="3"/>
  <c r="D36" i="3"/>
  <c r="E92" i="3"/>
  <c r="D92" i="3"/>
  <c r="D34" i="5"/>
  <c r="E34" i="5"/>
  <c r="H34" i="5" s="1"/>
  <c r="F90" i="3"/>
  <c r="D178" i="5"/>
  <c r="E178" i="5"/>
  <c r="H178" i="5" s="1"/>
  <c r="D132" i="3"/>
  <c r="E132" i="3"/>
  <c r="E111" i="3"/>
  <c r="D111" i="3"/>
  <c r="E58" i="4"/>
  <c r="D58" i="4"/>
  <c r="F96" i="4"/>
  <c r="F52" i="3"/>
  <c r="F124" i="5"/>
  <c r="F109" i="3"/>
  <c r="E21" i="2"/>
  <c r="D72" i="3"/>
  <c r="E72" i="3"/>
  <c r="F71" i="3"/>
  <c r="E98" i="4"/>
  <c r="D98" i="4"/>
  <c r="D179" i="5"/>
  <c r="E179" i="5"/>
  <c r="H179" i="5" s="1"/>
  <c r="E133" i="3"/>
  <c r="D133" i="3"/>
  <c r="D17" i="3"/>
  <c r="E17" i="3"/>
  <c r="D71" i="5"/>
  <c r="E71" i="5"/>
  <c r="H71" i="5" s="1"/>
  <c r="F37" i="2"/>
  <c r="F161" i="5"/>
  <c r="D163" i="5"/>
  <c r="F143" i="5"/>
  <c r="D145" i="5"/>
  <c r="F39" i="4"/>
  <c r="F41" i="4" s="1"/>
  <c r="D41" i="4"/>
  <c r="F142" i="5"/>
  <c r="E73" i="3"/>
  <c r="D73" i="3"/>
  <c r="F53" i="5"/>
  <c r="F55" i="5" s="1"/>
  <c r="D55" i="5"/>
  <c r="E97" i="4"/>
  <c r="D97" i="4"/>
  <c r="F77" i="4"/>
  <c r="D79" i="4"/>
  <c r="D53" i="3"/>
  <c r="E53" i="3"/>
  <c r="F57" i="2"/>
  <c r="D59" i="2"/>
  <c r="E18" i="3"/>
  <c r="D18" i="3"/>
  <c r="E70" i="5"/>
  <c r="H70" i="5" s="1"/>
  <c r="D70" i="5"/>
  <c r="F76" i="4"/>
  <c r="F131" i="3"/>
  <c r="F56" i="2"/>
  <c r="F16" i="3"/>
  <c r="F160" i="5"/>
  <c r="D35" i="3"/>
  <c r="E35" i="3"/>
  <c r="F33" i="5"/>
  <c r="D91" i="3"/>
  <c r="E91" i="3"/>
  <c r="F107" i="5"/>
  <c r="F109" i="5" s="1"/>
  <c r="D109" i="5"/>
  <c r="E35" i="5"/>
  <c r="H35" i="5" s="1"/>
  <c r="D35" i="5"/>
  <c r="F69" i="5"/>
  <c r="F38" i="2"/>
  <c r="F40" i="2" s="1"/>
  <c r="D40" i="2"/>
  <c r="E54" i="3"/>
  <c r="D54" i="3"/>
  <c r="F125" i="5"/>
  <c r="F127" i="5" s="1"/>
  <c r="D127" i="5"/>
  <c r="D110" i="3"/>
  <c r="E110" i="3"/>
  <c r="E57" i="4"/>
  <c r="D57" i="4"/>
  <c r="F57" i="4" s="1"/>
  <c r="F73" i="3" l="1"/>
  <c r="E41" i="4"/>
  <c r="F163" i="5"/>
  <c r="E163" i="5" s="1"/>
  <c r="E55" i="5"/>
  <c r="F97" i="4"/>
  <c r="F132" i="3"/>
  <c r="F110" i="3"/>
  <c r="F91" i="3"/>
  <c r="F72" i="3"/>
  <c r="F75" i="3" s="1"/>
  <c r="F35" i="3"/>
  <c r="E127" i="5"/>
  <c r="E40" i="2"/>
  <c r="F53" i="3"/>
  <c r="F17" i="3"/>
  <c r="F179" i="5"/>
  <c r="D181" i="5"/>
  <c r="F178" i="5"/>
  <c r="F92" i="3"/>
  <c r="D94" i="3"/>
  <c r="F18" i="3"/>
  <c r="D20" i="3"/>
  <c r="F54" i="3"/>
  <c r="D56" i="3"/>
  <c r="E109" i="5"/>
  <c r="F70" i="5"/>
  <c r="F145" i="5"/>
  <c r="E145" i="5" s="1"/>
  <c r="F133" i="3"/>
  <c r="F135" i="3" s="1"/>
  <c r="D135" i="3"/>
  <c r="F98" i="4"/>
  <c r="F58" i="4"/>
  <c r="F60" i="4" s="1"/>
  <c r="D60" i="4"/>
  <c r="F35" i="5"/>
  <c r="D37" i="5"/>
  <c r="F59" i="2"/>
  <c r="E59" i="2" s="1"/>
  <c r="F79" i="4"/>
  <c r="E79" i="4" s="1"/>
  <c r="F71" i="5"/>
  <c r="D73" i="5"/>
  <c r="F36" i="3"/>
  <c r="F38" i="3" s="1"/>
  <c r="D38" i="3"/>
  <c r="D75" i="3"/>
  <c r="D100" i="4"/>
  <c r="F111" i="3"/>
  <c r="F113" i="3" s="1"/>
  <c r="D113" i="3"/>
  <c r="F34" i="5"/>
  <c r="F94" i="3" l="1"/>
  <c r="E75" i="3"/>
  <c r="E113" i="3"/>
  <c r="E38" i="3"/>
  <c r="E60" i="4"/>
  <c r="F100" i="4"/>
  <c r="E100" i="4" s="1"/>
  <c r="F20" i="3"/>
  <c r="E20" i="3" s="1"/>
  <c r="F73" i="5"/>
  <c r="E73" i="5" s="1"/>
  <c r="F37" i="5"/>
  <c r="E37" i="5" s="1"/>
  <c r="E135" i="3"/>
  <c r="F181" i="5"/>
  <c r="E181" i="5" s="1"/>
  <c r="F56" i="3"/>
  <c r="E56" i="3" s="1"/>
  <c r="E94" i="3"/>
</calcChain>
</file>

<file path=xl/sharedStrings.xml><?xml version="1.0" encoding="utf-8"?>
<sst xmlns="http://schemas.openxmlformats.org/spreadsheetml/2006/main" count="1859" uniqueCount="171">
  <si>
    <t>Short Stock Summary</t>
  </si>
  <si>
    <t>Ex-Date</t>
  </si>
  <si>
    <t>Dividends</t>
  </si>
  <si>
    <t>RMB 0.2068</t>
  </si>
  <si>
    <t>Pay-out Date</t>
  </si>
  <si>
    <t>Account</t>
  </si>
  <si>
    <t>Shares</t>
  </si>
  <si>
    <t>Ave. Cost</t>
  </si>
  <si>
    <t>Amount</t>
  </si>
  <si>
    <t>1288:HK</t>
  </si>
  <si>
    <t>Citibank Account No. 1</t>
  </si>
  <si>
    <t>CB1</t>
  </si>
  <si>
    <t>Citibank Account No. 2</t>
  </si>
  <si>
    <t>CB2</t>
  </si>
  <si>
    <t>Citibank Account No. 3</t>
  </si>
  <si>
    <t>CB3</t>
  </si>
  <si>
    <t>Citibank Berry Hill</t>
  </si>
  <si>
    <t>CBBH</t>
  </si>
  <si>
    <t>Bank of Singapore</t>
  </si>
  <si>
    <t>BOS</t>
  </si>
  <si>
    <t>Deutsche Bank Personal</t>
  </si>
  <si>
    <t>DBPe</t>
  </si>
  <si>
    <t>Deutsche Bank Perfect Legend</t>
  </si>
  <si>
    <t>DBPL</t>
  </si>
  <si>
    <t>Standard Chartered Bank</t>
  </si>
  <si>
    <t>SC</t>
  </si>
  <si>
    <t>Sun Hung Kai</t>
  </si>
  <si>
    <t>SHK</t>
  </si>
  <si>
    <t>Morgan Stanley Titan No. 1</t>
  </si>
  <si>
    <t>MST1</t>
  </si>
  <si>
    <t>Morgan Stanley Titan No. 2</t>
  </si>
  <si>
    <t>with Decu Strike 2.6905</t>
  </si>
  <si>
    <t>MST2</t>
  </si>
  <si>
    <t>Morgan Stanley Perfect Legend</t>
  </si>
  <si>
    <t>MSPL</t>
  </si>
  <si>
    <t>Total</t>
  </si>
  <si>
    <t>RMB 0.2210</t>
  </si>
  <si>
    <t>3988:HK</t>
  </si>
  <si>
    <t>with Decu Strike 2.9932</t>
  </si>
  <si>
    <t>with Decu Strike 2.9154</t>
  </si>
  <si>
    <t>with Decu Strike 2.9066</t>
  </si>
  <si>
    <t>with Decu Strike 2.9681</t>
  </si>
  <si>
    <t>USD 0.18</t>
  </si>
  <si>
    <t>USD 0.09</t>
  </si>
  <si>
    <t>5:HK</t>
  </si>
  <si>
    <t>with Decu Strike 54.7264</t>
  </si>
  <si>
    <t>RMB 0.2085</t>
  </si>
  <si>
    <t>1658:HK</t>
  </si>
  <si>
    <t>RMB 0.3260</t>
  </si>
  <si>
    <t>939:HK</t>
  </si>
  <si>
    <t>RMB 1.2530</t>
  </si>
  <si>
    <t>3968:HK</t>
  </si>
  <si>
    <t>700:HK</t>
  </si>
  <si>
    <t>1024:HK</t>
  </si>
  <si>
    <t>with Decu Strike 84.3945</t>
  </si>
  <si>
    <t>1810:HK</t>
  </si>
  <si>
    <t>HKD 4.1800</t>
  </si>
  <si>
    <t>388:HK</t>
  </si>
  <si>
    <t>9988:HK</t>
  </si>
  <si>
    <t>with Decu Strike 117.5938</t>
  </si>
  <si>
    <t>HKD 0.21000</t>
  </si>
  <si>
    <t>175:HK</t>
  </si>
  <si>
    <t>with Decu Strike 18.2650; 16.8226</t>
  </si>
  <si>
    <t>with Decu Strike 18.5495; 16.0786</t>
  </si>
  <si>
    <t>with Decu Strike 18.3121</t>
  </si>
  <si>
    <t>with Decu Strike 17.6825; 18.4524; 15.6995</t>
  </si>
  <si>
    <t>RMB 0.0700</t>
  </si>
  <si>
    <t>2333:HK</t>
  </si>
  <si>
    <t>with Decu Strike 12.1255; 10.8958; 14.4087; 14.4659; 14.6152; 13.5447</t>
  </si>
  <si>
    <t>with Decu Strike 12.0965; 14.3173; 14.0640; 13.6959</t>
  </si>
  <si>
    <t>with Decu Strike 14.2469; 14.4763; 13.6245</t>
  </si>
  <si>
    <t>RMB 0.07125</t>
  </si>
  <si>
    <t>3993:HK</t>
  </si>
  <si>
    <t>with Decu Strike 4.6822; 4.2767</t>
  </si>
  <si>
    <t>with Decu Strike 4.2190</t>
  </si>
  <si>
    <t>with Decu Strike 4.5525; 4.2837; 4.3487</t>
  </si>
  <si>
    <t>with Decu Strike 4.5168</t>
  </si>
  <si>
    <t>with Decu Strike 4.8503; 4.5168; 4.3423; 4.3507</t>
  </si>
  <si>
    <t>with Decu Strike 4.5108; 4.5168; 4.4402; 4.3423</t>
  </si>
  <si>
    <t>9888:HK</t>
  </si>
  <si>
    <t>with Decu Strike 148.7171</t>
  </si>
  <si>
    <t>with Decu Strike 155.8260; 148.8045</t>
  </si>
  <si>
    <t>981:HK</t>
  </si>
  <si>
    <t>RMB 0.5400</t>
  </si>
  <si>
    <t>6030:HK</t>
  </si>
  <si>
    <t>HKD 1.0800</t>
  </si>
  <si>
    <t>1299:HK</t>
  </si>
  <si>
    <t>Out</t>
  </si>
  <si>
    <t>HKD 0.0670</t>
  </si>
  <si>
    <t>371:HK</t>
  </si>
  <si>
    <t>HKD4.6800</t>
  </si>
  <si>
    <t>293:HK</t>
  </si>
  <si>
    <t>RMB 0.7500</t>
  </si>
  <si>
    <t>1099:HK</t>
  </si>
  <si>
    <t>RMB 0.5600</t>
  </si>
  <si>
    <t>2196:HK</t>
  </si>
  <si>
    <t>with Decu Strike 28.1206</t>
  </si>
  <si>
    <t>RMB 0.5000</t>
  </si>
  <si>
    <t>358:HK</t>
  </si>
  <si>
    <t>with Decu Strike 10.5092</t>
  </si>
  <si>
    <t>Decumulator Pricing Check</t>
  </si>
  <si>
    <t>6 months DQ only</t>
  </si>
  <si>
    <t>Target DQ Strike</t>
  </si>
  <si>
    <t>2822:HK</t>
  </si>
  <si>
    <t>3033:HK</t>
  </si>
  <si>
    <t>Code</t>
  </si>
  <si>
    <t>9618:HK</t>
  </si>
  <si>
    <t>AAPL:US</t>
  </si>
  <si>
    <t>COIN:US</t>
  </si>
  <si>
    <t>2899:HK</t>
  </si>
  <si>
    <t>BIDU:US</t>
  </si>
  <si>
    <t>3:HK</t>
  </si>
  <si>
    <t>GE:US</t>
  </si>
  <si>
    <t>8604:JP</t>
  </si>
  <si>
    <t>DBS:SG</t>
  </si>
  <si>
    <t>C:US</t>
  </si>
  <si>
    <t>NVDA:US</t>
  </si>
  <si>
    <t>RIO:AU</t>
  </si>
  <si>
    <t>Heroku</t>
  </si>
  <si>
    <t>Difference</t>
  </si>
  <si>
    <t>Big Boss</t>
  </si>
  <si>
    <t>Kuaishou Tech</t>
  </si>
  <si>
    <t>Agricultural Bank of China</t>
  </si>
  <si>
    <t>AIA Group</t>
  </si>
  <si>
    <t>Postal Savings Bank of China</t>
  </si>
  <si>
    <t>Geely Motor</t>
  </si>
  <si>
    <t>Great Wall Motor</t>
  </si>
  <si>
    <t>Cathay Pacific</t>
  </si>
  <si>
    <t>HK China Gas</t>
  </si>
  <si>
    <t>CSOP Hang Seng Tech Index</t>
  </si>
  <si>
    <t>Jiangxi Copper</t>
  </si>
  <si>
    <t>Beijing Water</t>
  </si>
  <si>
    <t>HK Exchange</t>
  </si>
  <si>
    <t>China Merchant</t>
  </si>
  <si>
    <t>Bank of China</t>
  </si>
  <si>
    <t>China Molybdenum</t>
  </si>
  <si>
    <t>HSBC</t>
  </si>
  <si>
    <t>Tencent</t>
  </si>
  <si>
    <t>China Construction Bank</t>
  </si>
  <si>
    <t>Semiconductor Mfg</t>
  </si>
  <si>
    <t>Sinopharm</t>
  </si>
  <si>
    <t>Xiaomi Corp</t>
  </si>
  <si>
    <t>JD com</t>
  </si>
  <si>
    <t>Baidu Inc A</t>
  </si>
  <si>
    <t>Alibaba</t>
  </si>
  <si>
    <t>Baidu Inc</t>
  </si>
  <si>
    <t>Coinbase</t>
  </si>
  <si>
    <t>DBS Group</t>
  </si>
  <si>
    <t>General Motor</t>
  </si>
  <si>
    <t>Nomura</t>
  </si>
  <si>
    <t>Rio Tinto</t>
  </si>
  <si>
    <t>Apple Inc</t>
  </si>
  <si>
    <t>Citic Securities</t>
  </si>
  <si>
    <t>CSOP FTSE China A50 ETF</t>
  </si>
  <si>
    <t>Shanghai Fosun</t>
  </si>
  <si>
    <t>Zijin Mining</t>
  </si>
  <si>
    <t>Citigroup</t>
  </si>
  <si>
    <t>NVIDIA Corp</t>
  </si>
  <si>
    <t>As of September 20, 2022</t>
  </si>
  <si>
    <t>HKD 3.45</t>
  </si>
  <si>
    <t>HKD 0.4028</t>
  </si>
  <si>
    <t>HKD 0.07</t>
  </si>
  <si>
    <t>Market Price</t>
  </si>
  <si>
    <t>Sell Qty</t>
  </si>
  <si>
    <t>Amount HKD</t>
  </si>
  <si>
    <t>1 share of Meituan - W for every 10 Shares</t>
  </si>
  <si>
    <t>Citibank Singapore A/C No. 1</t>
  </si>
  <si>
    <t>CBSG</t>
  </si>
  <si>
    <t>Citibank Singapore Account No. 1</t>
  </si>
  <si>
    <t>3690:HK</t>
  </si>
  <si>
    <t>Meituan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</si>
</sst>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3409]mmmm\ dd\,\ yyyy;@"/>
    <numFmt numFmtId="165" formatCode="mmmm\ d\,\ yyyy"/>
    <numFmt numFmtId="166" formatCode="General\)"/>
    <numFmt numFmtId="167" formatCode="d\-mmm\-yyyy"/>
    <numFmt numFmtId="168" formatCode="0.0000"/>
    <numFmt numFmtId="169" formatCode="General&quot;)&quot;"/>
    <numFmt numFmtId="170" formatCode="#,##0.0000"/>
    <numFmt numFmtId="171" formatCode="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164" fontId="0" fillId="0" borderId="0"/>
    <xf numFmtId="164" fontId="3" fillId="0" borderId="0"/>
    <xf numFmtId="164" fontId="3" fillId="0" borderId="0"/>
    <xf numFmtId="164" fontId="3" fillId="0" borderId="0"/>
  </cellStyleXfs>
  <cellXfs count="66">
    <xf numFmtId="164" fontId="0" fillId="0" borderId="0" xfId="0"/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3" fontId="1" fillId="0" borderId="2" xfId="0" applyNumberFormat="1" applyFont="1" applyBorder="1"/>
    <xf numFmtId="4" fontId="1" fillId="0" borderId="2" xfId="0" applyNumberFormat="1" applyFont="1" applyBorder="1" applyAlignment="1">
      <alignment horizontal="right"/>
    </xf>
    <xf numFmtId="4" fontId="0" fillId="0" borderId="3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4" fontId="0" fillId="3" borderId="3" xfId="0" applyNumberFormat="1" applyFill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3" fontId="1" fillId="0" borderId="0" xfId="0" applyNumberFormat="1" applyFont="1"/>
    <xf numFmtId="3" fontId="1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4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 vertical="center"/>
    </xf>
    <xf numFmtId="0" fontId="0" fillId="0" borderId="0" xfId="0" applyNumberFormat="1"/>
    <xf numFmtId="164" fontId="2" fillId="0" borderId="0" xfId="0" applyFont="1"/>
    <xf numFmtId="164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Alignment="1">
      <alignment horizontal="left"/>
    </xf>
    <xf numFmtId="164" fontId="1" fillId="0" borderId="0" xfId="0" applyFont="1" applyAlignment="1">
      <alignment horizontal="right" wrapText="1"/>
    </xf>
    <xf numFmtId="166" fontId="2" fillId="0" borderId="0" xfId="0" applyNumberFormat="1" applyFont="1"/>
    <xf numFmtId="167" fontId="1" fillId="0" borderId="0" xfId="0" applyNumberFormat="1" applyFont="1" applyAlignment="1">
      <alignment horizontal="center"/>
    </xf>
    <xf numFmtId="164" fontId="1" fillId="0" borderId="0" xfId="0" applyFont="1" applyAlignment="1">
      <alignment horizontal="center"/>
    </xf>
    <xf numFmtId="166" fontId="0" fillId="0" borderId="0" xfId="0" applyNumberFormat="1"/>
    <xf numFmtId="164" fontId="1" fillId="0" borderId="1" xfId="0" applyFont="1" applyBorder="1" applyAlignment="1">
      <alignment horizontal="center"/>
    </xf>
    <xf numFmtId="164" fontId="1" fillId="0" borderId="3" xfId="0" applyFont="1" applyBorder="1" applyAlignment="1">
      <alignment horizontal="center"/>
    </xf>
    <xf numFmtId="168" fontId="1" fillId="0" borderId="0" xfId="0" applyNumberFormat="1" applyFont="1"/>
    <xf numFmtId="169" fontId="0" fillId="0" borderId="0" xfId="0" applyNumberFormat="1" applyAlignment="1">
      <alignment horizontal="center" vertical="center"/>
    </xf>
    <xf numFmtId="164" fontId="0" fillId="0" borderId="1" xfId="0" applyBorder="1" applyAlignment="1">
      <alignment vertical="center"/>
    </xf>
    <xf numFmtId="170" fontId="0" fillId="0" borderId="1" xfId="0" applyNumberFormat="1" applyBorder="1" applyAlignment="1">
      <alignment horizontal="center" vertical="center"/>
    </xf>
    <xf numFmtId="164" fontId="0" fillId="0" borderId="0" xfId="0" applyAlignment="1">
      <alignment vertical="center"/>
    </xf>
    <xf numFmtId="170" fontId="0" fillId="0" borderId="0" xfId="0" applyNumberFormat="1" applyAlignment="1">
      <alignment horizontal="center" vertical="center"/>
    </xf>
    <xf numFmtId="164" fontId="1" fillId="0" borderId="2" xfId="0" applyFont="1" applyBorder="1"/>
    <xf numFmtId="170" fontId="1" fillId="0" borderId="2" xfId="0" applyNumberFormat="1" applyFont="1" applyBorder="1" applyAlignment="1">
      <alignment horizontal="center"/>
    </xf>
    <xf numFmtId="164" fontId="0" fillId="0" borderId="0" xfId="0" applyAlignment="1">
      <alignment horizontal="center"/>
    </xf>
    <xf numFmtId="164" fontId="1" fillId="0" borderId="0" xfId="0" applyFont="1"/>
    <xf numFmtId="170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70" fontId="0" fillId="0" borderId="3" xfId="0" applyNumberFormat="1" applyBorder="1" applyAlignment="1">
      <alignment horizontal="center" vertical="center"/>
    </xf>
    <xf numFmtId="164" fontId="0" fillId="3" borderId="1" xfId="0" applyFill="1" applyBorder="1" applyAlignment="1">
      <alignment vertical="center"/>
    </xf>
    <xf numFmtId="170" fontId="0" fillId="3" borderId="1" xfId="0" applyNumberFormat="1" applyFill="1" applyBorder="1" applyAlignment="1">
      <alignment horizontal="center" vertical="center"/>
    </xf>
    <xf numFmtId="170" fontId="0" fillId="3" borderId="3" xfId="0" applyNumberFormat="1" applyFill="1" applyBorder="1" applyAlignment="1">
      <alignment horizontal="center" vertical="center"/>
    </xf>
    <xf numFmtId="164" fontId="0" fillId="2" borderId="0" xfId="0" applyFill="1"/>
    <xf numFmtId="164" fontId="0" fillId="4" borderId="0" xfId="0" applyFill="1"/>
    <xf numFmtId="164" fontId="0" fillId="4" borderId="0" xfId="0" quotePrefix="1" applyFill="1"/>
    <xf numFmtId="164" fontId="5" fillId="0" borderId="0" xfId="0" applyFont="1"/>
    <xf numFmtId="164" fontId="6" fillId="0" borderId="0" xfId="0" applyFont="1"/>
    <xf numFmtId="3" fontId="1" fillId="0" borderId="0" xfId="0" applyNumberFormat="1" applyFont="1" applyAlignment="1">
      <alignment horizontal="center"/>
    </xf>
    <xf numFmtId="164" fontId="0" fillId="0" borderId="0" xfId="0" applyAlignment="1">
      <alignment horizontal="left" vertical="center"/>
    </xf>
    <xf numFmtId="4" fontId="1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4" fontId="1" fillId="0" borderId="5" xfId="0" applyFont="1" applyBorder="1" applyAlignment="1">
      <alignment horizontal="left"/>
    </xf>
    <xf numFmtId="165" fontId="0" fillId="0" borderId="5" xfId="0" applyNumberFormat="1" applyBorder="1" applyAlignment="1">
      <alignment horizontal="left"/>
    </xf>
    <xf numFmtId="171" fontId="0" fillId="0" borderId="0" xfId="0" applyNumberFormat="1"/>
    <xf numFmtId="164" fontId="8" fillId="0" borderId="0" xfId="0" applyFont="1" applyAlignment="1">
      <alignment horizontal="left"/>
    </xf>
    <xf numFmtId="170" fontId="1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NumberFormat="1"/>
    <xf numFmtId="164" fontId="7" fillId="0" borderId="0" xfId="0" applyFont="1" applyAlignment="1">
      <alignment horizontal="center" vertical="center"/>
    </xf>
    <xf numFmtId="164" fontId="0" fillId="0" borderId="0" xfId="0" applyAlignment="1">
      <alignment horizontal="left"/>
    </xf>
    <xf numFmtId="164" fontId="1" fillId="0" borderId="3" xfId="0" applyFont="1" applyBorder="1" applyAlignment="1">
      <alignment horizontal="center"/>
    </xf>
    <xf numFmtId="0" fontId="0" fillId="0" borderId="4" xfId="0" applyNumberFormat="1" applyBorder="1"/>
    <xf numFmtId="0" fontId="0" fillId="0" borderId="0" xfId="0" applyNumberFormat="1" applyAlignment="1">
      <alignment horizontal="center"/>
    </xf>
  </cellXfs>
  <cellStyles count="4">
    <cellStyle name="Normal" xfId="0" builtinId="0"/>
    <cellStyle name="Normal 133" xfId="2" xr:uid="{00000000-0005-0000-0000-000003000000}"/>
    <cellStyle name="Normal 2" xfId="1" xr:uid="{00000000-0005-0000-0000-000002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\jen\Blocked%20Unblocked\21.08.06%20Blocked%20Unbloc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osing"/>
      <sheetName val="2333.hk"/>
      <sheetName val="Market vs Average"/>
      <sheetName val="Market vs Average (2)"/>
      <sheetName val="Blocked Unblocked"/>
      <sheetName val="Summary-Equities"/>
      <sheetName val="Equities"/>
      <sheetName val="Online"/>
      <sheetName val="Blocked Shar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>
            <v>0</v>
          </cell>
          <cell r="H1">
            <v>0</v>
          </cell>
          <cell r="I1">
            <v>0</v>
          </cell>
        </row>
        <row r="2">
          <cell r="D2">
            <v>0</v>
          </cell>
          <cell r="H2">
            <v>0</v>
          </cell>
          <cell r="I2">
            <v>0</v>
          </cell>
        </row>
        <row r="3">
          <cell r="D3" t="str">
            <v>Average</v>
          </cell>
          <cell r="H3" t="str">
            <v>Unblocked</v>
          </cell>
          <cell r="I3" t="str">
            <v>Blocked</v>
          </cell>
        </row>
        <row r="4">
          <cell r="D4">
            <v>65.448300000000003</v>
          </cell>
          <cell r="H4">
            <v>73341</v>
          </cell>
          <cell r="I4">
            <v>0</v>
          </cell>
        </row>
        <row r="5">
          <cell r="D5">
            <v>0</v>
          </cell>
          <cell r="H5">
            <v>0</v>
          </cell>
          <cell r="I5">
            <v>0</v>
          </cell>
        </row>
        <row r="6">
          <cell r="D6">
            <v>0</v>
          </cell>
          <cell r="H6">
            <v>0</v>
          </cell>
          <cell r="I6">
            <v>0</v>
          </cell>
        </row>
        <row r="7">
          <cell r="D7">
            <v>0</v>
          </cell>
          <cell r="H7">
            <v>0</v>
          </cell>
          <cell r="I7">
            <v>0</v>
          </cell>
        </row>
        <row r="8">
          <cell r="D8">
            <v>621.54190000000006</v>
          </cell>
          <cell r="H8">
            <v>30080</v>
          </cell>
          <cell r="I8">
            <v>0</v>
          </cell>
        </row>
        <row r="9">
          <cell r="D9">
            <v>0</v>
          </cell>
          <cell r="H9">
            <v>0</v>
          </cell>
          <cell r="I9">
            <v>0</v>
          </cell>
        </row>
        <row r="10">
          <cell r="D10">
            <v>0</v>
          </cell>
          <cell r="H10">
            <v>0</v>
          </cell>
          <cell r="I10">
            <v>0</v>
          </cell>
        </row>
        <row r="11">
          <cell r="D11">
            <v>0</v>
          </cell>
          <cell r="H11">
            <v>0</v>
          </cell>
          <cell r="I11">
            <v>0</v>
          </cell>
        </row>
        <row r="12">
          <cell r="D12">
            <v>0</v>
          </cell>
          <cell r="H12">
            <v>0</v>
          </cell>
          <cell r="I12">
            <v>0</v>
          </cell>
        </row>
        <row r="13">
          <cell r="D13">
            <v>0</v>
          </cell>
          <cell r="H13">
            <v>0</v>
          </cell>
          <cell r="I13">
            <v>0</v>
          </cell>
        </row>
        <row r="14">
          <cell r="D14">
            <v>3.2942</v>
          </cell>
          <cell r="H14">
            <v>2650000</v>
          </cell>
          <cell r="I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</row>
        <row r="16">
          <cell r="D16">
            <v>0</v>
          </cell>
          <cell r="H16">
            <v>0</v>
          </cell>
          <cell r="I16">
            <v>0</v>
          </cell>
        </row>
        <row r="17">
          <cell r="D17">
            <v>350.59429999999998</v>
          </cell>
          <cell r="H17">
            <v>150</v>
          </cell>
          <cell r="I17">
            <v>0</v>
          </cell>
        </row>
        <row r="18">
          <cell r="D18">
            <v>0</v>
          </cell>
        </row>
        <row r="19">
          <cell r="D19">
            <v>0</v>
          </cell>
          <cell r="H19">
            <v>0</v>
          </cell>
          <cell r="I19">
            <v>0</v>
          </cell>
        </row>
        <row r="20">
          <cell r="D20" t="str">
            <v>Average</v>
          </cell>
          <cell r="H20" t="str">
            <v>Unblocked</v>
          </cell>
          <cell r="I20" t="str">
            <v>Blocked</v>
          </cell>
        </row>
        <row r="21">
          <cell r="D21">
            <v>0</v>
          </cell>
          <cell r="H21">
            <v>0</v>
          </cell>
          <cell r="I21">
            <v>0</v>
          </cell>
        </row>
        <row r="22">
          <cell r="D22">
            <v>0</v>
          </cell>
          <cell r="H22">
            <v>0</v>
          </cell>
          <cell r="I22">
            <v>0</v>
          </cell>
        </row>
        <row r="23">
          <cell r="D23">
            <v>629.84569999999997</v>
          </cell>
          <cell r="H23">
            <v>30020</v>
          </cell>
          <cell r="I23">
            <v>0</v>
          </cell>
        </row>
        <row r="24">
          <cell r="D24">
            <v>234.07669999999999</v>
          </cell>
          <cell r="H24">
            <v>37700</v>
          </cell>
          <cell r="I24">
            <v>0</v>
          </cell>
        </row>
        <row r="25">
          <cell r="D25">
            <v>0</v>
          </cell>
          <cell r="H25">
            <v>0</v>
          </cell>
          <cell r="I25">
            <v>0</v>
          </cell>
        </row>
        <row r="26">
          <cell r="D26">
            <v>3.3039000000000001</v>
          </cell>
          <cell r="H26">
            <v>3118200</v>
          </cell>
          <cell r="I26">
            <v>0</v>
          </cell>
        </row>
        <row r="27">
          <cell r="D27">
            <v>6.0815000000000001</v>
          </cell>
          <cell r="H27">
            <v>0</v>
          </cell>
          <cell r="I27">
            <v>0</v>
          </cell>
        </row>
        <row r="28">
          <cell r="D28">
            <v>0</v>
          </cell>
          <cell r="H28">
            <v>0</v>
          </cell>
          <cell r="I28">
            <v>0</v>
          </cell>
        </row>
        <row r="29">
          <cell r="D29">
            <v>0</v>
          </cell>
          <cell r="H29">
            <v>0</v>
          </cell>
          <cell r="I29">
            <v>0</v>
          </cell>
        </row>
        <row r="30">
          <cell r="D30">
            <v>0</v>
          </cell>
          <cell r="H30">
            <v>0</v>
          </cell>
          <cell r="I30">
            <v>0</v>
          </cell>
        </row>
        <row r="31">
          <cell r="D31">
            <v>3.1284999999999998</v>
          </cell>
          <cell r="H31">
            <v>281600</v>
          </cell>
          <cell r="I31">
            <v>1759600</v>
          </cell>
        </row>
        <row r="32">
          <cell r="D32">
            <v>0</v>
          </cell>
          <cell r="H32">
            <v>0</v>
          </cell>
          <cell r="I32">
            <v>0</v>
          </cell>
        </row>
        <row r="34">
          <cell r="D34">
            <v>0</v>
          </cell>
          <cell r="H34">
            <v>0</v>
          </cell>
          <cell r="I34">
            <v>0</v>
          </cell>
        </row>
        <row r="35">
          <cell r="D35" t="str">
            <v>Average</v>
          </cell>
          <cell r="H35" t="str">
            <v>Unblocked</v>
          </cell>
          <cell r="I35" t="str">
            <v>Blocked</v>
          </cell>
        </row>
        <row r="36">
          <cell r="D36">
            <v>0</v>
          </cell>
          <cell r="H36">
            <v>0</v>
          </cell>
          <cell r="I36">
            <v>0</v>
          </cell>
        </row>
        <row r="38">
          <cell r="D38">
            <v>0</v>
          </cell>
          <cell r="H38">
            <v>0</v>
          </cell>
          <cell r="I38">
            <v>0</v>
          </cell>
        </row>
        <row r="39">
          <cell r="D39" t="str">
            <v>Average</v>
          </cell>
          <cell r="H39" t="str">
            <v>Unblocked</v>
          </cell>
          <cell r="I39" t="str">
            <v>Blocked</v>
          </cell>
        </row>
        <row r="40">
          <cell r="D40">
            <v>0</v>
          </cell>
          <cell r="H40">
            <v>0</v>
          </cell>
          <cell r="I40">
            <v>0</v>
          </cell>
        </row>
        <row r="41">
          <cell r="D41">
            <v>0</v>
          </cell>
          <cell r="H41">
            <v>0</v>
          </cell>
          <cell r="I41">
            <v>0</v>
          </cell>
        </row>
        <row r="42">
          <cell r="D42">
            <v>0</v>
          </cell>
          <cell r="H42">
            <v>0</v>
          </cell>
          <cell r="I42">
            <v>0</v>
          </cell>
        </row>
        <row r="43">
          <cell r="D43">
            <v>560.02679999999998</v>
          </cell>
          <cell r="H43">
            <v>13300</v>
          </cell>
          <cell r="I43">
            <v>0</v>
          </cell>
        </row>
        <row r="44">
          <cell r="D44">
            <v>0</v>
          </cell>
          <cell r="H44">
            <v>0</v>
          </cell>
          <cell r="I44">
            <v>0</v>
          </cell>
        </row>
        <row r="45">
          <cell r="D45">
            <v>0</v>
          </cell>
          <cell r="H45">
            <v>0</v>
          </cell>
          <cell r="I45">
            <v>0</v>
          </cell>
        </row>
        <row r="46">
          <cell r="D46">
            <v>0</v>
          </cell>
          <cell r="H46">
            <v>0</v>
          </cell>
          <cell r="I46">
            <v>0</v>
          </cell>
        </row>
        <row r="47">
          <cell r="D47">
            <v>0</v>
          </cell>
          <cell r="H47">
            <v>0</v>
          </cell>
          <cell r="I47">
            <v>0</v>
          </cell>
        </row>
        <row r="48">
          <cell r="D48">
            <v>0</v>
          </cell>
          <cell r="H48">
            <v>0</v>
          </cell>
          <cell r="I48">
            <v>0</v>
          </cell>
        </row>
        <row r="49">
          <cell r="D49">
            <v>64.9696</v>
          </cell>
          <cell r="H49">
            <v>8000</v>
          </cell>
          <cell r="I49">
            <v>0</v>
          </cell>
        </row>
        <row r="50">
          <cell r="D50">
            <v>3.3746999999999998</v>
          </cell>
          <cell r="H50">
            <v>3041000</v>
          </cell>
          <cell r="I50">
            <v>0</v>
          </cell>
        </row>
        <row r="51">
          <cell r="D51">
            <v>251.68600000000001</v>
          </cell>
          <cell r="H51">
            <v>4830</v>
          </cell>
          <cell r="I51">
            <v>0</v>
          </cell>
        </row>
        <row r="53">
          <cell r="D53">
            <v>0</v>
          </cell>
          <cell r="H53">
            <v>0</v>
          </cell>
          <cell r="I53">
            <v>0</v>
          </cell>
        </row>
        <row r="54">
          <cell r="D54" t="str">
            <v>Average</v>
          </cell>
          <cell r="H54" t="str">
            <v>Unblocked</v>
          </cell>
          <cell r="I54" t="str">
            <v>Blocked</v>
          </cell>
        </row>
        <row r="55">
          <cell r="D55">
            <v>0</v>
          </cell>
          <cell r="H55">
            <v>0</v>
          </cell>
          <cell r="I55">
            <v>0</v>
          </cell>
        </row>
        <row r="57">
          <cell r="D57">
            <v>0</v>
          </cell>
          <cell r="H57">
            <v>0</v>
          </cell>
          <cell r="I57">
            <v>0</v>
          </cell>
        </row>
        <row r="58">
          <cell r="D58" t="str">
            <v>Average</v>
          </cell>
          <cell r="H58" t="str">
            <v>Unblocked</v>
          </cell>
          <cell r="I58" t="str">
            <v>Blocked</v>
          </cell>
        </row>
        <row r="59">
          <cell r="D59">
            <v>12.699299999999999</v>
          </cell>
          <cell r="H59">
            <v>0</v>
          </cell>
          <cell r="I59">
            <v>34980</v>
          </cell>
        </row>
        <row r="60">
          <cell r="D60">
            <v>63.094999999999999</v>
          </cell>
          <cell r="H60">
            <v>168388</v>
          </cell>
          <cell r="I60">
            <v>0</v>
          </cell>
        </row>
        <row r="61">
          <cell r="D61">
            <v>0</v>
          </cell>
          <cell r="H61">
            <v>0</v>
          </cell>
          <cell r="I61">
            <v>0</v>
          </cell>
        </row>
        <row r="62">
          <cell r="D62">
            <v>0</v>
          </cell>
          <cell r="H62">
            <v>0</v>
          </cell>
          <cell r="I62">
            <v>0</v>
          </cell>
        </row>
        <row r="63">
          <cell r="D63">
            <v>0</v>
          </cell>
          <cell r="H63">
            <v>0</v>
          </cell>
          <cell r="I63">
            <v>0</v>
          </cell>
        </row>
        <row r="64">
          <cell r="D64">
            <v>0</v>
          </cell>
          <cell r="H64">
            <v>0</v>
          </cell>
          <cell r="I64">
            <v>0</v>
          </cell>
        </row>
        <row r="65">
          <cell r="D65">
            <v>534.12170000000003</v>
          </cell>
          <cell r="H65">
            <v>8400</v>
          </cell>
          <cell r="I65">
            <v>0</v>
          </cell>
        </row>
        <row r="66">
          <cell r="D66">
            <v>6.3769999999999998</v>
          </cell>
          <cell r="H66">
            <v>100000</v>
          </cell>
          <cell r="I66">
            <v>0</v>
          </cell>
        </row>
        <row r="67">
          <cell r="D67">
            <v>0</v>
          </cell>
          <cell r="H67">
            <v>0</v>
          </cell>
          <cell r="I67">
            <v>0</v>
          </cell>
        </row>
        <row r="68">
          <cell r="D68">
            <v>240.93270000000001</v>
          </cell>
          <cell r="H68">
            <v>27500</v>
          </cell>
          <cell r="I68">
            <v>0</v>
          </cell>
        </row>
        <row r="69">
          <cell r="D69">
            <v>3.2081</v>
          </cell>
          <cell r="H69">
            <v>3172500</v>
          </cell>
          <cell r="I69">
            <v>0</v>
          </cell>
        </row>
        <row r="70">
          <cell r="D70">
            <v>0</v>
          </cell>
          <cell r="H70">
            <v>0</v>
          </cell>
          <cell r="I70">
            <v>0</v>
          </cell>
        </row>
        <row r="71">
          <cell r="D71">
            <v>0</v>
          </cell>
          <cell r="H71">
            <v>0</v>
          </cell>
          <cell r="I71">
            <v>0</v>
          </cell>
        </row>
        <row r="72">
          <cell r="D72">
            <v>0</v>
          </cell>
          <cell r="H72">
            <v>0</v>
          </cell>
          <cell r="I72">
            <v>0</v>
          </cell>
        </row>
        <row r="73">
          <cell r="D73">
            <v>0</v>
          </cell>
          <cell r="H73">
            <v>0</v>
          </cell>
          <cell r="I73">
            <v>0</v>
          </cell>
        </row>
        <row r="74">
          <cell r="D74">
            <v>3.2644000000000002</v>
          </cell>
          <cell r="H74">
            <v>2255350</v>
          </cell>
          <cell r="I74">
            <v>0</v>
          </cell>
        </row>
        <row r="75">
          <cell r="D75">
            <v>0</v>
          </cell>
          <cell r="H75">
            <v>0</v>
          </cell>
          <cell r="I75">
            <v>0</v>
          </cell>
        </row>
        <row r="76">
          <cell r="D76">
            <v>225.0052</v>
          </cell>
          <cell r="H76">
            <v>6140</v>
          </cell>
          <cell r="I76">
            <v>0</v>
          </cell>
        </row>
        <row r="78">
          <cell r="D78">
            <v>98.471299999999999</v>
          </cell>
          <cell r="H78">
            <v>0</v>
          </cell>
          <cell r="I78">
            <v>5688</v>
          </cell>
        </row>
        <row r="79">
          <cell r="D79">
            <v>0</v>
          </cell>
          <cell r="H79">
            <v>0</v>
          </cell>
          <cell r="I79">
            <v>0</v>
          </cell>
        </row>
        <row r="80">
          <cell r="D80">
            <v>258.46570000000003</v>
          </cell>
          <cell r="H80">
            <v>3700</v>
          </cell>
          <cell r="I80">
            <v>0</v>
          </cell>
        </row>
        <row r="81">
          <cell r="D81">
            <v>0</v>
          </cell>
          <cell r="H81">
            <v>0</v>
          </cell>
          <cell r="I81">
            <v>0</v>
          </cell>
        </row>
        <row r="82">
          <cell r="D82">
            <v>306.2405</v>
          </cell>
          <cell r="H82">
            <v>100</v>
          </cell>
          <cell r="I82">
            <v>0</v>
          </cell>
        </row>
        <row r="84">
          <cell r="D84">
            <v>0</v>
          </cell>
          <cell r="H84">
            <v>0</v>
          </cell>
          <cell r="I84">
            <v>0</v>
          </cell>
        </row>
        <row r="85">
          <cell r="D85" t="str">
            <v>Average</v>
          </cell>
          <cell r="H85" t="str">
            <v>Unblocked</v>
          </cell>
          <cell r="I85" t="str">
            <v>Blocked</v>
          </cell>
        </row>
        <row r="86">
          <cell r="D86">
            <v>0</v>
          </cell>
          <cell r="H86">
            <v>0</v>
          </cell>
          <cell r="I86">
            <v>0</v>
          </cell>
        </row>
        <row r="87">
          <cell r="D87">
            <v>0</v>
          </cell>
          <cell r="H87">
            <v>0</v>
          </cell>
          <cell r="I87">
            <v>0</v>
          </cell>
        </row>
        <row r="88">
          <cell r="D88">
            <v>0</v>
          </cell>
          <cell r="H88">
            <v>0</v>
          </cell>
          <cell r="I88">
            <v>0</v>
          </cell>
        </row>
        <row r="89">
          <cell r="D89">
            <v>0</v>
          </cell>
          <cell r="H89">
            <v>0</v>
          </cell>
          <cell r="I89">
            <v>0</v>
          </cell>
        </row>
        <row r="90">
          <cell r="D90">
            <v>3.66</v>
          </cell>
          <cell r="H90">
            <v>1896000</v>
          </cell>
          <cell r="I90">
            <v>0</v>
          </cell>
        </row>
        <row r="91">
          <cell r="D91">
            <v>0</v>
          </cell>
          <cell r="H91">
            <v>0</v>
          </cell>
          <cell r="I91">
            <v>0</v>
          </cell>
        </row>
        <row r="92">
          <cell r="D92">
            <v>484.88459999999998</v>
          </cell>
          <cell r="H92">
            <v>2600</v>
          </cell>
          <cell r="I92">
            <v>0</v>
          </cell>
        </row>
        <row r="93">
          <cell r="D93">
            <v>0</v>
          </cell>
          <cell r="H93">
            <v>0</v>
          </cell>
          <cell r="I93">
            <v>0</v>
          </cell>
        </row>
        <row r="94">
          <cell r="D94">
            <v>0</v>
          </cell>
          <cell r="H94">
            <v>0</v>
          </cell>
          <cell r="I94">
            <v>0</v>
          </cell>
        </row>
        <row r="95">
          <cell r="D95">
            <v>3.0796000000000001</v>
          </cell>
          <cell r="H95">
            <v>2093000</v>
          </cell>
          <cell r="I95">
            <v>0</v>
          </cell>
        </row>
        <row r="96">
          <cell r="D96">
            <v>5.657</v>
          </cell>
          <cell r="H96">
            <v>1134000</v>
          </cell>
          <cell r="I96">
            <v>0</v>
          </cell>
        </row>
        <row r="97">
          <cell r="D97">
            <v>0</v>
          </cell>
          <cell r="H97">
            <v>0</v>
          </cell>
          <cell r="I97">
            <v>0</v>
          </cell>
        </row>
        <row r="98">
          <cell r="D98">
            <v>0</v>
          </cell>
          <cell r="H98">
            <v>0</v>
          </cell>
          <cell r="I98">
            <v>0</v>
          </cell>
        </row>
        <row r="99">
          <cell r="D99">
            <v>3.0823</v>
          </cell>
          <cell r="H99">
            <v>608000</v>
          </cell>
          <cell r="I99">
            <v>1530000</v>
          </cell>
        </row>
        <row r="100">
          <cell r="D100">
            <v>0</v>
          </cell>
          <cell r="H100">
            <v>0</v>
          </cell>
          <cell r="I100">
            <v>0</v>
          </cell>
        </row>
        <row r="101">
          <cell r="D101">
            <v>0</v>
          </cell>
          <cell r="H101">
            <v>0</v>
          </cell>
          <cell r="I101">
            <v>0</v>
          </cell>
        </row>
        <row r="102">
          <cell r="D102">
            <v>253.77850000000001</v>
          </cell>
          <cell r="H102">
            <v>3000</v>
          </cell>
          <cell r="I102">
            <v>0</v>
          </cell>
        </row>
        <row r="103">
          <cell r="D103">
            <v>0</v>
          </cell>
          <cell r="H103">
            <v>0</v>
          </cell>
          <cell r="I103">
            <v>0</v>
          </cell>
        </row>
        <row r="104">
          <cell r="D104">
            <v>0</v>
          </cell>
          <cell r="H104">
            <v>0</v>
          </cell>
          <cell r="I104">
            <v>0</v>
          </cell>
        </row>
        <row r="106">
          <cell r="D106">
            <v>0</v>
          </cell>
          <cell r="H106">
            <v>0</v>
          </cell>
          <cell r="I106">
            <v>0</v>
          </cell>
        </row>
        <row r="107">
          <cell r="D107" t="str">
            <v>Average</v>
          </cell>
          <cell r="H107" t="str">
            <v>Unblocked</v>
          </cell>
          <cell r="I107" t="str">
            <v>Blocked</v>
          </cell>
        </row>
        <row r="108">
          <cell r="D108">
            <v>0</v>
          </cell>
          <cell r="H108">
            <v>0</v>
          </cell>
          <cell r="I108">
            <v>0</v>
          </cell>
        </row>
        <row r="109">
          <cell r="D109">
            <v>0</v>
          </cell>
          <cell r="H109">
            <v>0</v>
          </cell>
          <cell r="I109">
            <v>0</v>
          </cell>
        </row>
        <row r="110">
          <cell r="D110">
            <v>22.839200000000002</v>
          </cell>
          <cell r="H110">
            <v>18000</v>
          </cell>
          <cell r="I110">
            <v>0</v>
          </cell>
        </row>
        <row r="111">
          <cell r="D111">
            <v>0</v>
          </cell>
          <cell r="H111">
            <v>0</v>
          </cell>
          <cell r="I111">
            <v>0</v>
          </cell>
        </row>
        <row r="112">
          <cell r="D112">
            <v>0</v>
          </cell>
          <cell r="H112">
            <v>0</v>
          </cell>
          <cell r="I112">
            <v>0</v>
          </cell>
        </row>
        <row r="113">
          <cell r="D113">
            <v>477.11430000000001</v>
          </cell>
          <cell r="H113">
            <v>2100</v>
          </cell>
          <cell r="I113">
            <v>0</v>
          </cell>
        </row>
        <row r="114">
          <cell r="D114">
            <v>0</v>
          </cell>
          <cell r="H114">
            <v>0</v>
          </cell>
          <cell r="I114">
            <v>0</v>
          </cell>
        </row>
        <row r="115">
          <cell r="D115">
            <v>0</v>
          </cell>
          <cell r="H115">
            <v>0</v>
          </cell>
          <cell r="I115">
            <v>0</v>
          </cell>
        </row>
        <row r="116">
          <cell r="D116">
            <v>188.21119999999999</v>
          </cell>
          <cell r="H116">
            <v>26800</v>
          </cell>
          <cell r="I116">
            <v>0</v>
          </cell>
        </row>
        <row r="117">
          <cell r="D117">
            <v>0</v>
          </cell>
          <cell r="H117">
            <v>0</v>
          </cell>
          <cell r="I117">
            <v>0</v>
          </cell>
        </row>
        <row r="118">
          <cell r="D118">
            <v>0</v>
          </cell>
          <cell r="H118">
            <v>0</v>
          </cell>
          <cell r="I118">
            <v>0</v>
          </cell>
        </row>
        <row r="119">
          <cell r="D119">
            <v>0</v>
          </cell>
          <cell r="H119">
            <v>0</v>
          </cell>
          <cell r="I119">
            <v>0</v>
          </cell>
        </row>
        <row r="120">
          <cell r="D120">
            <v>5.7289000000000003</v>
          </cell>
          <cell r="H120">
            <v>595000</v>
          </cell>
          <cell r="I120">
            <v>0</v>
          </cell>
        </row>
        <row r="121">
          <cell r="D121">
            <v>0</v>
          </cell>
          <cell r="H121">
            <v>0</v>
          </cell>
          <cell r="I121">
            <v>0</v>
          </cell>
        </row>
        <row r="122">
          <cell r="D122">
            <v>0</v>
          </cell>
          <cell r="H122">
            <v>0</v>
          </cell>
          <cell r="I122">
            <v>0</v>
          </cell>
        </row>
        <row r="123">
          <cell r="D123">
            <v>8.4976000000000003</v>
          </cell>
          <cell r="H123">
            <v>40000</v>
          </cell>
          <cell r="I123">
            <v>0</v>
          </cell>
        </row>
        <row r="124">
          <cell r="D124">
            <v>0</v>
          </cell>
          <cell r="H124">
            <v>0</v>
          </cell>
          <cell r="I124">
            <v>0</v>
          </cell>
        </row>
        <row r="126">
          <cell r="D126">
            <v>0</v>
          </cell>
          <cell r="H126">
            <v>0</v>
          </cell>
          <cell r="I126">
            <v>0</v>
          </cell>
        </row>
        <row r="127">
          <cell r="D127" t="str">
            <v>Average</v>
          </cell>
          <cell r="H127" t="str">
            <v>Unblocked</v>
          </cell>
          <cell r="I127" t="str">
            <v>Blocked</v>
          </cell>
        </row>
        <row r="128">
          <cell r="D128">
            <v>0</v>
          </cell>
          <cell r="H128">
            <v>0</v>
          </cell>
          <cell r="I128">
            <v>0</v>
          </cell>
        </row>
        <row r="129">
          <cell r="D129">
            <v>0</v>
          </cell>
          <cell r="H129">
            <v>0</v>
          </cell>
          <cell r="I129">
            <v>0</v>
          </cell>
        </row>
        <row r="130">
          <cell r="D130">
            <v>0</v>
          </cell>
          <cell r="H130">
            <v>0</v>
          </cell>
          <cell r="I130">
            <v>0</v>
          </cell>
        </row>
        <row r="131">
          <cell r="D131">
            <v>545.62109999999996</v>
          </cell>
          <cell r="H131">
            <v>6660</v>
          </cell>
          <cell r="I131">
            <v>0</v>
          </cell>
        </row>
        <row r="132">
          <cell r="D132">
            <v>0</v>
          </cell>
          <cell r="H132">
            <v>0</v>
          </cell>
          <cell r="I132">
            <v>0</v>
          </cell>
        </row>
        <row r="133">
          <cell r="D133">
            <v>0</v>
          </cell>
          <cell r="H133">
            <v>0</v>
          </cell>
          <cell r="I133">
            <v>0</v>
          </cell>
        </row>
        <row r="134">
          <cell r="D134">
            <v>252.02699999999999</v>
          </cell>
          <cell r="H134">
            <v>23020</v>
          </cell>
          <cell r="I134">
            <v>0</v>
          </cell>
        </row>
        <row r="135">
          <cell r="D135">
            <v>3.0089000000000001</v>
          </cell>
          <cell r="H135">
            <v>1236000</v>
          </cell>
          <cell r="I135">
            <v>0</v>
          </cell>
        </row>
        <row r="136">
          <cell r="D136">
            <v>5.6409000000000002</v>
          </cell>
          <cell r="H136">
            <v>580000</v>
          </cell>
          <cell r="I136">
            <v>0</v>
          </cell>
        </row>
        <row r="137">
          <cell r="D137">
            <v>0</v>
          </cell>
          <cell r="H137">
            <v>0</v>
          </cell>
          <cell r="I137">
            <v>0</v>
          </cell>
        </row>
        <row r="138">
          <cell r="D138">
            <v>0</v>
          </cell>
          <cell r="H138">
            <v>0</v>
          </cell>
          <cell r="I138">
            <v>0</v>
          </cell>
        </row>
        <row r="139">
          <cell r="D139">
            <v>0</v>
          </cell>
          <cell r="H139">
            <v>0</v>
          </cell>
          <cell r="I139">
            <v>0</v>
          </cell>
        </row>
        <row r="140">
          <cell r="D140">
            <v>246.96619999999999</v>
          </cell>
          <cell r="H140">
            <v>23780</v>
          </cell>
          <cell r="I140">
            <v>0</v>
          </cell>
        </row>
        <row r="142">
          <cell r="D142">
            <v>0</v>
          </cell>
          <cell r="H142">
            <v>0</v>
          </cell>
          <cell r="I142">
            <v>0</v>
          </cell>
        </row>
        <row r="144">
          <cell r="D144">
            <v>0</v>
          </cell>
          <cell r="H144">
            <v>0</v>
          </cell>
          <cell r="I144">
            <v>0</v>
          </cell>
        </row>
        <row r="145">
          <cell r="D145" t="str">
            <v>Average</v>
          </cell>
          <cell r="H145" t="str">
            <v>Unblocked</v>
          </cell>
          <cell r="I145" t="str">
            <v>Blocked</v>
          </cell>
        </row>
        <row r="146">
          <cell r="D146">
            <v>0</v>
          </cell>
          <cell r="H146">
            <v>0</v>
          </cell>
          <cell r="I146">
            <v>0</v>
          </cell>
        </row>
        <row r="147">
          <cell r="D147">
            <v>25.710799999999999</v>
          </cell>
          <cell r="H147">
            <v>0</v>
          </cell>
          <cell r="I147">
            <v>145659</v>
          </cell>
        </row>
        <row r="148">
          <cell r="D148">
            <v>0</v>
          </cell>
          <cell r="H148">
            <v>0</v>
          </cell>
          <cell r="I148">
            <v>0</v>
          </cell>
        </row>
        <row r="149">
          <cell r="D149">
            <v>3.3245</v>
          </cell>
          <cell r="H149">
            <v>0</v>
          </cell>
          <cell r="I149">
            <v>853100</v>
          </cell>
        </row>
        <row r="150">
          <cell r="D150">
            <v>0</v>
          </cell>
          <cell r="H150">
            <v>0</v>
          </cell>
          <cell r="I150">
            <v>0</v>
          </cell>
        </row>
        <row r="151">
          <cell r="D151">
            <v>485.6</v>
          </cell>
          <cell r="H151">
            <v>1600</v>
          </cell>
          <cell r="I151">
            <v>0</v>
          </cell>
        </row>
        <row r="152">
          <cell r="D152">
            <v>0</v>
          </cell>
          <cell r="H152">
            <v>0</v>
          </cell>
          <cell r="I152">
            <v>0</v>
          </cell>
        </row>
        <row r="153">
          <cell r="D153">
            <v>0</v>
          </cell>
          <cell r="H153">
            <v>0</v>
          </cell>
          <cell r="I153">
            <v>0</v>
          </cell>
        </row>
        <row r="154">
          <cell r="D154">
            <v>0</v>
          </cell>
          <cell r="H154">
            <v>0</v>
          </cell>
          <cell r="I154">
            <v>0</v>
          </cell>
        </row>
        <row r="155">
          <cell r="D155">
            <v>178.73779999999999</v>
          </cell>
          <cell r="H155">
            <v>16000</v>
          </cell>
          <cell r="I155">
            <v>0</v>
          </cell>
        </row>
        <row r="156">
          <cell r="D156">
            <v>0</v>
          </cell>
          <cell r="H156">
            <v>0</v>
          </cell>
          <cell r="I156">
            <v>0</v>
          </cell>
        </row>
        <row r="157">
          <cell r="D157">
            <v>25.911899999999999</v>
          </cell>
          <cell r="H157">
            <v>0</v>
          </cell>
          <cell r="I157">
            <v>781400</v>
          </cell>
        </row>
        <row r="158">
          <cell r="D158">
            <v>0</v>
          </cell>
          <cell r="H158">
            <v>0</v>
          </cell>
          <cell r="I158">
            <v>0</v>
          </cell>
        </row>
        <row r="159">
          <cell r="D159">
            <v>0</v>
          </cell>
          <cell r="H159">
            <v>0</v>
          </cell>
          <cell r="I159">
            <v>0</v>
          </cell>
        </row>
        <row r="160">
          <cell r="D160">
            <v>338.66289999999998</v>
          </cell>
          <cell r="H160">
            <v>200</v>
          </cell>
          <cell r="I160">
            <v>0</v>
          </cell>
        </row>
        <row r="163">
          <cell r="D163">
            <v>0</v>
          </cell>
          <cell r="H163">
            <v>0</v>
          </cell>
          <cell r="I163">
            <v>0</v>
          </cell>
        </row>
        <row r="164">
          <cell r="D164" t="str">
            <v>Average</v>
          </cell>
          <cell r="H164" t="str">
            <v>Unblocked</v>
          </cell>
          <cell r="I164" t="str">
            <v>Blocked</v>
          </cell>
        </row>
        <row r="165">
          <cell r="D165">
            <v>61.222900000000003</v>
          </cell>
          <cell r="H165">
            <v>30000</v>
          </cell>
          <cell r="I165">
            <v>0</v>
          </cell>
        </row>
        <row r="166">
          <cell r="D166">
            <v>0</v>
          </cell>
          <cell r="H166">
            <v>0</v>
          </cell>
          <cell r="I166">
            <v>0</v>
          </cell>
        </row>
        <row r="167">
          <cell r="D167">
            <v>8.2216000000000005</v>
          </cell>
          <cell r="H167">
            <v>1616278</v>
          </cell>
          <cell r="I167">
            <v>0</v>
          </cell>
        </row>
        <row r="168">
          <cell r="D168">
            <v>3.5312000000000001</v>
          </cell>
          <cell r="H168">
            <v>1006500</v>
          </cell>
          <cell r="I168">
            <v>0</v>
          </cell>
        </row>
        <row r="169">
          <cell r="D169">
            <v>0</v>
          </cell>
          <cell r="H169">
            <v>0</v>
          </cell>
          <cell r="I169">
            <v>0</v>
          </cell>
        </row>
        <row r="170">
          <cell r="D170">
            <v>0</v>
          </cell>
          <cell r="H170">
            <v>0</v>
          </cell>
          <cell r="I170">
            <v>0</v>
          </cell>
        </row>
        <row r="171">
          <cell r="D171">
            <v>0</v>
          </cell>
          <cell r="H171">
            <v>0</v>
          </cell>
          <cell r="I171">
            <v>0</v>
          </cell>
        </row>
        <row r="172">
          <cell r="D172">
            <v>0</v>
          </cell>
          <cell r="H172">
            <v>0</v>
          </cell>
          <cell r="I172">
            <v>0</v>
          </cell>
        </row>
        <row r="173">
          <cell r="D173">
            <v>27.3459</v>
          </cell>
          <cell r="H173">
            <v>0</v>
          </cell>
          <cell r="I173">
            <v>396860</v>
          </cell>
        </row>
        <row r="174">
          <cell r="D174">
            <v>0</v>
          </cell>
          <cell r="H174">
            <v>0</v>
          </cell>
          <cell r="I174">
            <v>0</v>
          </cell>
        </row>
        <row r="175">
          <cell r="D175">
            <v>0</v>
          </cell>
          <cell r="H175">
            <v>0</v>
          </cell>
          <cell r="I175">
            <v>0</v>
          </cell>
        </row>
        <row r="176">
          <cell r="D176">
            <v>3.3258999999999999</v>
          </cell>
          <cell r="H176">
            <v>4437000</v>
          </cell>
          <cell r="I176">
            <v>0</v>
          </cell>
        </row>
        <row r="177">
          <cell r="D177">
            <v>0</v>
          </cell>
          <cell r="H177">
            <v>0</v>
          </cell>
          <cell r="I177">
            <v>0</v>
          </cell>
        </row>
        <row r="178">
          <cell r="D178">
            <v>249.58070000000001</v>
          </cell>
          <cell r="H178">
            <v>13200</v>
          </cell>
          <cell r="I178">
            <v>0</v>
          </cell>
        </row>
        <row r="179">
          <cell r="D179">
            <v>27.5075</v>
          </cell>
          <cell r="H179">
            <v>3360</v>
          </cell>
          <cell r="I179">
            <v>0</v>
          </cell>
        </row>
        <row r="181">
          <cell r="D181">
            <v>0</v>
          </cell>
          <cell r="H181">
            <v>0</v>
          </cell>
          <cell r="I181">
            <v>0</v>
          </cell>
        </row>
        <row r="182">
          <cell r="D182" t="str">
            <v>Average</v>
          </cell>
          <cell r="H182" t="str">
            <v>Unblocked</v>
          </cell>
          <cell r="I182" t="str">
            <v>Blocked</v>
          </cell>
        </row>
        <row r="183">
          <cell r="D183">
            <v>53.973700000000001</v>
          </cell>
          <cell r="H183">
            <v>50000</v>
          </cell>
          <cell r="I183">
            <v>0</v>
          </cell>
        </row>
        <row r="184">
          <cell r="D184">
            <v>0</v>
          </cell>
          <cell r="H184">
            <v>0</v>
          </cell>
          <cell r="I184">
            <v>0</v>
          </cell>
        </row>
        <row r="185">
          <cell r="D185">
            <v>9.0968</v>
          </cell>
          <cell r="H185">
            <v>500000</v>
          </cell>
          <cell r="I185">
            <v>0</v>
          </cell>
        </row>
        <row r="186">
          <cell r="D186">
            <v>3.9620000000000002</v>
          </cell>
          <cell r="H186">
            <v>1075100</v>
          </cell>
          <cell r="I186">
            <v>0</v>
          </cell>
        </row>
        <row r="187">
          <cell r="D187">
            <v>0</v>
          </cell>
          <cell r="H187">
            <v>0</v>
          </cell>
          <cell r="I187">
            <v>0</v>
          </cell>
        </row>
        <row r="188">
          <cell r="D188">
            <v>0</v>
          </cell>
          <cell r="H188">
            <v>0</v>
          </cell>
          <cell r="I188">
            <v>0</v>
          </cell>
        </row>
        <row r="189">
          <cell r="D189">
            <v>3.1629999999999998</v>
          </cell>
          <cell r="H189">
            <v>2368000</v>
          </cell>
          <cell r="I189">
            <v>0</v>
          </cell>
        </row>
        <row r="190">
          <cell r="D190">
            <v>0</v>
          </cell>
          <cell r="H190">
            <v>0</v>
          </cell>
          <cell r="I190">
            <v>0</v>
          </cell>
        </row>
        <row r="191">
          <cell r="D191">
            <v>0</v>
          </cell>
          <cell r="H191">
            <v>0</v>
          </cell>
          <cell r="I191">
            <v>0</v>
          </cell>
        </row>
        <row r="192">
          <cell r="D192">
            <v>27.167000000000002</v>
          </cell>
          <cell r="H192">
            <v>0</v>
          </cell>
          <cell r="I192">
            <v>425000</v>
          </cell>
        </row>
        <row r="193">
          <cell r="D193">
            <v>3.3538000000000001</v>
          </cell>
          <cell r="H193">
            <v>4479000</v>
          </cell>
          <cell r="I193">
            <v>0</v>
          </cell>
        </row>
        <row r="194">
          <cell r="D194">
            <v>0</v>
          </cell>
          <cell r="H194">
            <v>0</v>
          </cell>
          <cell r="I194">
            <v>0</v>
          </cell>
        </row>
        <row r="197">
          <cell r="D197">
            <v>0</v>
          </cell>
          <cell r="H197">
            <v>0</v>
          </cell>
          <cell r="I197">
            <v>0</v>
          </cell>
        </row>
        <row r="198">
          <cell r="D198" t="str">
            <v>Average</v>
          </cell>
          <cell r="H198" t="str">
            <v>Unblocked</v>
          </cell>
          <cell r="I198" t="str">
            <v>Blocked</v>
          </cell>
        </row>
        <row r="199">
          <cell r="D199">
            <v>0</v>
          </cell>
          <cell r="H199">
            <v>0</v>
          </cell>
          <cell r="I199">
            <v>0</v>
          </cell>
        </row>
        <row r="200">
          <cell r="D200">
            <v>54.457500000000003</v>
          </cell>
          <cell r="H200">
            <v>75200</v>
          </cell>
          <cell r="I200">
            <v>0</v>
          </cell>
        </row>
        <row r="201">
          <cell r="D201">
            <v>25.822199999999999</v>
          </cell>
          <cell r="H201">
            <v>38000</v>
          </cell>
          <cell r="I201">
            <v>0</v>
          </cell>
        </row>
        <row r="202">
          <cell r="D202">
            <v>8.4941999999999993</v>
          </cell>
          <cell r="H202">
            <v>501690</v>
          </cell>
          <cell r="I202">
            <v>0</v>
          </cell>
        </row>
        <row r="203">
          <cell r="D203">
            <v>0</v>
          </cell>
          <cell r="H203">
            <v>0</v>
          </cell>
          <cell r="I203">
            <v>0</v>
          </cell>
        </row>
        <row r="204">
          <cell r="D204">
            <v>3.3277000000000001</v>
          </cell>
          <cell r="H204">
            <v>1032500</v>
          </cell>
          <cell r="I204">
            <v>0</v>
          </cell>
        </row>
        <row r="205">
          <cell r="D205">
            <v>0</v>
          </cell>
          <cell r="H205">
            <v>0</v>
          </cell>
          <cell r="I205">
            <v>0</v>
          </cell>
        </row>
        <row r="206">
          <cell r="D206">
            <v>21.993200000000002</v>
          </cell>
          <cell r="H206">
            <v>14000</v>
          </cell>
          <cell r="I206">
            <v>0</v>
          </cell>
        </row>
        <row r="207">
          <cell r="D207">
            <v>0</v>
          </cell>
          <cell r="H207">
            <v>0</v>
          </cell>
          <cell r="I207">
            <v>0</v>
          </cell>
        </row>
        <row r="208">
          <cell r="D208">
            <v>3.3479999999999999</v>
          </cell>
          <cell r="H208">
            <v>2206000</v>
          </cell>
          <cell r="I208">
            <v>0</v>
          </cell>
        </row>
        <row r="209">
          <cell r="D209">
            <v>26.451599999999999</v>
          </cell>
          <cell r="H209">
            <v>0</v>
          </cell>
          <cell r="I209">
            <v>303200</v>
          </cell>
        </row>
        <row r="210">
          <cell r="D210">
            <v>0</v>
          </cell>
          <cell r="H210">
            <v>0</v>
          </cell>
          <cell r="I210">
            <v>0</v>
          </cell>
        </row>
        <row r="211">
          <cell r="D211">
            <v>0</v>
          </cell>
          <cell r="H211">
            <v>0</v>
          </cell>
          <cell r="I211">
            <v>0</v>
          </cell>
        </row>
        <row r="212">
          <cell r="D212">
            <v>3.2178</v>
          </cell>
          <cell r="H212">
            <v>2435000</v>
          </cell>
          <cell r="I212">
            <v>0</v>
          </cell>
        </row>
        <row r="213">
          <cell r="D213">
            <v>5.0422000000000002</v>
          </cell>
          <cell r="H213">
            <v>0</v>
          </cell>
          <cell r="I213">
            <v>500000</v>
          </cell>
        </row>
        <row r="214">
          <cell r="D214">
            <v>0</v>
          </cell>
          <cell r="H214">
            <v>0</v>
          </cell>
          <cell r="I214">
            <v>0</v>
          </cell>
        </row>
        <row r="216">
          <cell r="D216">
            <v>0</v>
          </cell>
          <cell r="H216">
            <v>0</v>
          </cell>
          <cell r="I216">
            <v>0</v>
          </cell>
        </row>
        <row r="218">
          <cell r="D218">
            <v>0</v>
          </cell>
          <cell r="H218">
            <v>0</v>
          </cell>
          <cell r="I218">
            <v>0</v>
          </cell>
        </row>
        <row r="220">
          <cell r="D220">
            <v>0</v>
          </cell>
          <cell r="H220">
            <v>0</v>
          </cell>
          <cell r="I220">
            <v>0</v>
          </cell>
        </row>
        <row r="221">
          <cell r="D221">
            <v>0</v>
          </cell>
          <cell r="H221">
            <v>0</v>
          </cell>
          <cell r="I221">
            <v>0</v>
          </cell>
        </row>
        <row r="224">
          <cell r="D224">
            <v>0</v>
          </cell>
          <cell r="H224">
            <v>0</v>
          </cell>
          <cell r="I224">
            <v>0</v>
          </cell>
        </row>
        <row r="225">
          <cell r="D225" t="str">
            <v>Average</v>
          </cell>
          <cell r="H225" t="str">
            <v>Unblocked</v>
          </cell>
          <cell r="I225" t="str">
            <v>Blocked</v>
          </cell>
        </row>
        <row r="226">
          <cell r="D226">
            <v>2.9561000000000002</v>
          </cell>
          <cell r="H226">
            <v>0</v>
          </cell>
          <cell r="I226">
            <v>0</v>
          </cell>
        </row>
        <row r="227">
          <cell r="D227">
            <v>6.0807000000000002</v>
          </cell>
          <cell r="H227">
            <v>1024000</v>
          </cell>
          <cell r="I227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S122"/>
  <sheetViews>
    <sheetView view="pageBreakPreview" topLeftCell="A106" zoomScaleNormal="100" zoomScaleSheetLayoutView="100" workbookViewId="0">
      <selection activeCell="J107" sqref="J107"/>
    </sheetView>
  </sheetViews>
  <sheetFormatPr defaultRowHeight="15" x14ac:dyDescent="0.25"/>
  <cols>
    <col min="1" max="2" width="3.5703125" style="16" customWidth="1"/>
    <col min="3" max="3" width="28.28515625" style="16" bestFit="1" customWidth="1"/>
    <col min="4" max="4" width="10.140625" style="16" bestFit="1" customWidth="1"/>
    <col min="5" max="5" width="9.28515625" style="16" bestFit="1" customWidth="1"/>
    <col min="6" max="6" width="12.7109375" style="16" hidden="1" customWidth="1"/>
    <col min="7" max="12" width="12.7109375" style="16" customWidth="1"/>
    <col min="13" max="13" width="17.42578125" style="16" customWidth="1"/>
    <col min="14" max="14" width="15.5703125" style="16" customWidth="1"/>
    <col min="15" max="15" width="7" style="16" bestFit="1" customWidth="1"/>
    <col min="18" max="18" width="10.42578125" style="16" bestFit="1" customWidth="1"/>
  </cols>
  <sheetData>
    <row r="1" spans="1:19" ht="18.75" customHeight="1" x14ac:dyDescent="0.35">
      <c r="A1" s="48" t="s">
        <v>0</v>
      </c>
    </row>
    <row r="2" spans="1:19" ht="18.75" customHeight="1" x14ac:dyDescent="0.3">
      <c r="A2" s="47" t="str">
        <f>ALL!A1</f>
        <v>As of September 20, 2022</v>
      </c>
    </row>
    <row r="3" spans="1:19" ht="18.75" customHeight="1" x14ac:dyDescent="0.3">
      <c r="A3" s="17"/>
      <c r="L3" s="18" t="s">
        <v>1</v>
      </c>
      <c r="M3" s="19">
        <v>44749</v>
      </c>
      <c r="N3" s="19"/>
    </row>
    <row r="4" spans="1:19" x14ac:dyDescent="0.25">
      <c r="L4" s="18" t="s">
        <v>2</v>
      </c>
      <c r="M4" s="20" t="s">
        <v>3</v>
      </c>
      <c r="N4" s="20"/>
      <c r="R4" s="21"/>
    </row>
    <row r="5" spans="1:19" ht="18.75" customHeight="1" x14ac:dyDescent="0.3">
      <c r="A5" s="22">
        <v>1</v>
      </c>
      <c r="B5" s="17" t="str">
        <f>INDEX(Stocks!A:B,MATCH(P6,Stocks!A:A,),2)&amp;" ("&amp;P6&amp;")"</f>
        <v>Agricultural Bank of China (1288:HK)</v>
      </c>
      <c r="C5" s="17"/>
      <c r="G5" s="16" t="s">
        <v>162</v>
      </c>
      <c r="H5" s="57"/>
      <c r="L5" s="18" t="s">
        <v>4</v>
      </c>
      <c r="M5" s="19">
        <v>44778</v>
      </c>
      <c r="N5" s="19"/>
      <c r="R5" s="23"/>
      <c r="S5" s="24"/>
    </row>
    <row r="6" spans="1:19" x14ac:dyDescent="0.25">
      <c r="A6" s="25"/>
      <c r="C6" s="26" t="s">
        <v>5</v>
      </c>
      <c r="D6" s="26" t="s">
        <v>6</v>
      </c>
      <c r="E6" s="26" t="s">
        <v>7</v>
      </c>
      <c r="F6" s="27" t="s">
        <v>8</v>
      </c>
      <c r="G6" s="24"/>
      <c r="H6" s="26" t="s">
        <v>163</v>
      </c>
      <c r="I6" s="27" t="s">
        <v>164</v>
      </c>
      <c r="J6" s="26" t="str">
        <f>IF(COUNTIF(J7:J18,"&gt;0")&lt;&gt;0,IF(COUNTIF(J7:J18,"&lt;0")&lt;&gt;0,"Gain / Loss", "Gain"),"Loss")</f>
        <v>Loss</v>
      </c>
      <c r="K6" s="26" t="str">
        <f>"% "&amp;IF(COUNTIF(K7:K18,"&gt;=0")&lt;&gt;0,IF(COUNTIF(K7:K18,"&lt;0")&lt;&gt;0,"Gain / Loss", "Gain"),"Loss")</f>
        <v>% Loss</v>
      </c>
      <c r="O6" s="28"/>
      <c r="P6" t="s">
        <v>9</v>
      </c>
    </row>
    <row r="7" spans="1:19" x14ac:dyDescent="0.25">
      <c r="B7" s="29"/>
      <c r="C7" s="30" t="s">
        <v>166</v>
      </c>
      <c r="D7" s="1">
        <f>SUMIF(Download!B:B,Q7,Download!G:G)</f>
        <v>0</v>
      </c>
      <c r="E7" s="31">
        <f>SUMIF(Download!B:B,Q7,Download!H:H)</f>
        <v>0</v>
      </c>
      <c r="F7" s="5">
        <f t="shared" ref="F7:F18" si="0">D7*E7</f>
        <v>0</v>
      </c>
      <c r="G7" s="12"/>
      <c r="H7" s="1">
        <v>100000</v>
      </c>
      <c r="I7" s="5">
        <f>H7*H5</f>
        <v>0</v>
      </c>
      <c r="J7" s="5">
        <f>(H5-E7)*H7</f>
        <v>0</v>
      </c>
      <c r="K7" s="58" t="e">
        <f>(H5/E7)-1</f>
        <v>#DIV/0!</v>
      </c>
      <c r="L7" s="13"/>
      <c r="O7" t="s">
        <v>167</v>
      </c>
      <c r="P7" t="str">
        <f>P6</f>
        <v>1288:HK</v>
      </c>
      <c r="Q7" t="str">
        <f t="shared" ref="Q7:Q18" si="1">O7&amp;P7</f>
        <v>CBSG1288:HK</v>
      </c>
    </row>
    <row r="8" spans="1:19" x14ac:dyDescent="0.25">
      <c r="B8" s="29"/>
      <c r="C8" s="30" t="s">
        <v>12</v>
      </c>
      <c r="D8" s="1">
        <f>SUMIF(Download!B:B,Q8,Download!G:G)</f>
        <v>0</v>
      </c>
      <c r="E8" s="31">
        <f>SUMIF(Download!B:B,Q8,Download!H:H)</f>
        <v>0</v>
      </c>
      <c r="F8" s="5">
        <f t="shared" si="0"/>
        <v>0</v>
      </c>
      <c r="G8" s="12"/>
      <c r="H8" s="1">
        <f>H7</f>
        <v>100000</v>
      </c>
      <c r="I8" s="5">
        <f>H8*H5</f>
        <v>0</v>
      </c>
      <c r="J8" s="5">
        <f>(H5-E8)*H8</f>
        <v>0</v>
      </c>
      <c r="K8" s="58" t="e">
        <f>(H5/E8)-1</f>
        <v>#DIV/0!</v>
      </c>
      <c r="L8" s="13"/>
      <c r="O8" t="s">
        <v>13</v>
      </c>
      <c r="P8" t="str">
        <f>P7</f>
        <v>1288:HK</v>
      </c>
      <c r="Q8" t="str">
        <f t="shared" si="1"/>
        <v>CB21288:HK</v>
      </c>
    </row>
    <row r="9" spans="1:19" x14ac:dyDescent="0.25">
      <c r="B9" s="29"/>
      <c r="C9" s="30" t="s">
        <v>14</v>
      </c>
      <c r="D9" s="1">
        <f>SUMIF(Download!B:B,Q9,Download!G:G)</f>
        <v>0</v>
      </c>
      <c r="E9" s="31">
        <f>SUMIF(Download!B:B,Q9,Download!H:H)</f>
        <v>0</v>
      </c>
      <c r="F9" s="5">
        <f t="shared" si="0"/>
        <v>0</v>
      </c>
      <c r="G9" s="12"/>
      <c r="H9" s="1">
        <f t="shared" ref="H9:H18" si="2">H8</f>
        <v>100000</v>
      </c>
      <c r="I9" s="5">
        <f>H9*H5</f>
        <v>0</v>
      </c>
      <c r="J9" s="5">
        <f>(H5-E9)*H9</f>
        <v>0</v>
      </c>
      <c r="K9" s="58" t="e">
        <f>(H5/E9)-1</f>
        <v>#DIV/0!</v>
      </c>
      <c r="L9" s="13"/>
      <c r="O9" t="s">
        <v>15</v>
      </c>
      <c r="P9" t="str">
        <f>P7</f>
        <v>1288:HK</v>
      </c>
      <c r="Q9" t="str">
        <f t="shared" si="1"/>
        <v>CB31288:HK</v>
      </c>
    </row>
    <row r="10" spans="1:19" x14ac:dyDescent="0.25">
      <c r="B10" s="29"/>
      <c r="C10" s="30" t="s">
        <v>16</v>
      </c>
      <c r="D10" s="1">
        <f>SUMIF(Download!B:B,Q10,Download!G:G)</f>
        <v>0</v>
      </c>
      <c r="E10" s="31">
        <f>SUMIF(Download!B:B,Q10,Download!H:H)</f>
        <v>0</v>
      </c>
      <c r="F10" s="5">
        <f t="shared" si="0"/>
        <v>0</v>
      </c>
      <c r="G10" s="12"/>
      <c r="H10" s="1">
        <f t="shared" si="2"/>
        <v>100000</v>
      </c>
      <c r="I10" s="5">
        <f>H10*H5</f>
        <v>0</v>
      </c>
      <c r="J10" s="5">
        <f>(H5-E10)*H10</f>
        <v>0</v>
      </c>
      <c r="K10" s="58" t="e">
        <f>(H5/E10)-1</f>
        <v>#DIV/0!</v>
      </c>
      <c r="L10" s="13"/>
      <c r="O10" t="s">
        <v>17</v>
      </c>
      <c r="P10" t="str">
        <f>P8</f>
        <v>1288:HK</v>
      </c>
      <c r="Q10" t="str">
        <f t="shared" si="1"/>
        <v>CBBH1288:HK</v>
      </c>
    </row>
    <row r="11" spans="1:19" x14ac:dyDescent="0.25">
      <c r="B11" s="29"/>
      <c r="C11" s="30" t="s">
        <v>18</v>
      </c>
      <c r="D11" s="1">
        <f>SUMIF(Download!B:B,Q11,Download!G:G)</f>
        <v>0</v>
      </c>
      <c r="E11" s="31">
        <f>SUMIF(Download!B:B,Q11,Download!H:H)</f>
        <v>0</v>
      </c>
      <c r="F11" s="5">
        <f t="shared" si="0"/>
        <v>0</v>
      </c>
      <c r="G11" s="12"/>
      <c r="H11" s="1">
        <f t="shared" si="2"/>
        <v>100000</v>
      </c>
      <c r="I11" s="5">
        <f>H11*H5</f>
        <v>0</v>
      </c>
      <c r="J11" s="5">
        <f>(H5-E11)*H11</f>
        <v>0</v>
      </c>
      <c r="K11" s="58" t="e">
        <f>(H5/E11)-1</f>
        <v>#DIV/0!</v>
      </c>
      <c r="L11" s="13"/>
      <c r="O11" t="s">
        <v>19</v>
      </c>
      <c r="P11" t="str">
        <f t="shared" ref="P11:P18" si="3">P10</f>
        <v>1288:HK</v>
      </c>
      <c r="Q11" t="str">
        <f t="shared" si="1"/>
        <v>BOS1288:HK</v>
      </c>
    </row>
    <row r="12" spans="1:19" x14ac:dyDescent="0.25">
      <c r="B12" s="29"/>
      <c r="C12" s="30" t="s">
        <v>20</v>
      </c>
      <c r="D12" s="1">
        <f>SUMIF(Download!B:B,Q12,Download!G:G)</f>
        <v>0</v>
      </c>
      <c r="E12" s="31">
        <f>SUMIF(Download!B:B,Q12,Download!H:H)</f>
        <v>0</v>
      </c>
      <c r="F12" s="5">
        <f t="shared" si="0"/>
        <v>0</v>
      </c>
      <c r="G12" s="12"/>
      <c r="H12" s="1">
        <f t="shared" si="2"/>
        <v>100000</v>
      </c>
      <c r="I12" s="5">
        <f>H12*H5</f>
        <v>0</v>
      </c>
      <c r="J12" s="5">
        <f>(H5-E12)*H12</f>
        <v>0</v>
      </c>
      <c r="K12" s="58" t="e">
        <f>(H5/E12)-1</f>
        <v>#DIV/0!</v>
      </c>
      <c r="L12" s="13"/>
      <c r="O12" t="s">
        <v>21</v>
      </c>
      <c r="P12" t="str">
        <f t="shared" si="3"/>
        <v>1288:HK</v>
      </c>
      <c r="Q12" t="str">
        <f t="shared" si="1"/>
        <v>DBPe1288:HK</v>
      </c>
    </row>
    <row r="13" spans="1:19" x14ac:dyDescent="0.25">
      <c r="B13" s="29"/>
      <c r="C13" s="30" t="s">
        <v>22</v>
      </c>
      <c r="D13" s="1">
        <f>SUMIF(Download!B:B,Q13,Download!G:G)</f>
        <v>0</v>
      </c>
      <c r="E13" s="31">
        <f>SUMIF(Download!B:B,Q13,Download!H:H)</f>
        <v>0</v>
      </c>
      <c r="F13" s="5">
        <f t="shared" si="0"/>
        <v>0</v>
      </c>
      <c r="G13" s="12"/>
      <c r="H13" s="1">
        <f t="shared" si="2"/>
        <v>100000</v>
      </c>
      <c r="I13" s="5">
        <f>H13*H5</f>
        <v>0</v>
      </c>
      <c r="J13" s="5">
        <f>(H5-E13)*H13</f>
        <v>0</v>
      </c>
      <c r="K13" s="58" t="e">
        <f>(H5/E13)-1</f>
        <v>#DIV/0!</v>
      </c>
      <c r="L13" s="13"/>
      <c r="O13" t="s">
        <v>23</v>
      </c>
      <c r="P13" t="str">
        <f t="shared" si="3"/>
        <v>1288:HK</v>
      </c>
      <c r="Q13" t="str">
        <f t="shared" si="1"/>
        <v>DBPL1288:HK</v>
      </c>
    </row>
    <row r="14" spans="1:19" x14ac:dyDescent="0.25">
      <c r="B14" s="29"/>
      <c r="C14" s="30" t="s">
        <v>24</v>
      </c>
      <c r="D14" s="1">
        <f>SUMIF(Download!B:B,Q14,Download!G:G)</f>
        <v>0</v>
      </c>
      <c r="E14" s="31">
        <f>SUMIF(Download!B:B,Q14,Download!H:H)</f>
        <v>0</v>
      </c>
      <c r="F14" s="5">
        <f t="shared" si="0"/>
        <v>0</v>
      </c>
      <c r="G14" s="12"/>
      <c r="H14" s="1">
        <f t="shared" si="2"/>
        <v>100000</v>
      </c>
      <c r="I14" s="5">
        <f>H14*H5</f>
        <v>0</v>
      </c>
      <c r="J14" s="5">
        <f>(H5-E14)*H14</f>
        <v>0</v>
      </c>
      <c r="K14" s="58" t="e">
        <f>(H5/E14)-1</f>
        <v>#DIV/0!</v>
      </c>
      <c r="L14" s="13"/>
      <c r="O14" t="s">
        <v>25</v>
      </c>
      <c r="P14" t="str">
        <f t="shared" si="3"/>
        <v>1288:HK</v>
      </c>
      <c r="Q14" t="str">
        <f t="shared" si="1"/>
        <v>SC1288:HK</v>
      </c>
    </row>
    <row r="15" spans="1:19" x14ac:dyDescent="0.25">
      <c r="B15" s="29"/>
      <c r="C15" s="30" t="s">
        <v>26</v>
      </c>
      <c r="D15" s="1">
        <f>SUMIF(Download!B:B,Q15,Download!G:G)</f>
        <v>0</v>
      </c>
      <c r="E15" s="31">
        <f>SUMIF(Download!B:B,Q15,Download!H:H)</f>
        <v>0</v>
      </c>
      <c r="F15" s="5">
        <f t="shared" si="0"/>
        <v>0</v>
      </c>
      <c r="G15" s="12"/>
      <c r="H15" s="1">
        <f t="shared" si="2"/>
        <v>100000</v>
      </c>
      <c r="I15" s="5">
        <f>H15*H5</f>
        <v>0</v>
      </c>
      <c r="J15" s="5">
        <f>(H5-E15)*H15</f>
        <v>0</v>
      </c>
      <c r="K15" s="58" t="e">
        <f>(H5/E15)-1</f>
        <v>#DIV/0!</v>
      </c>
      <c r="L15" s="13"/>
      <c r="O15" t="s">
        <v>27</v>
      </c>
      <c r="P15" t="str">
        <f t="shared" si="3"/>
        <v>1288:HK</v>
      </c>
      <c r="Q15" t="str">
        <f t="shared" si="1"/>
        <v>SHK1288:HK</v>
      </c>
    </row>
    <row r="16" spans="1:19" x14ac:dyDescent="0.25">
      <c r="B16" s="29"/>
      <c r="C16" s="30" t="s">
        <v>28</v>
      </c>
      <c r="D16" s="1">
        <f>SUMIF(Download!B:B,Q16,Download!G:G)</f>
        <v>0</v>
      </c>
      <c r="E16" s="31">
        <f>SUMIF(Download!B:B,Q16,Download!H:H)</f>
        <v>0</v>
      </c>
      <c r="F16" s="5">
        <f t="shared" si="0"/>
        <v>0</v>
      </c>
      <c r="G16" s="12"/>
      <c r="H16" s="1">
        <f t="shared" si="2"/>
        <v>100000</v>
      </c>
      <c r="I16" s="5">
        <f>H16*H5</f>
        <v>0</v>
      </c>
      <c r="J16" s="5">
        <f>(H5-E16)*H16</f>
        <v>0</v>
      </c>
      <c r="K16" s="58" t="e">
        <f>(H5/E16)-1</f>
        <v>#DIV/0!</v>
      </c>
      <c r="L16" s="13"/>
      <c r="O16" t="s">
        <v>29</v>
      </c>
      <c r="P16" t="str">
        <f t="shared" si="3"/>
        <v>1288:HK</v>
      </c>
      <c r="Q16" t="str">
        <f t="shared" si="1"/>
        <v>MST11288:HK</v>
      </c>
    </row>
    <row r="17" spans="1:17" x14ac:dyDescent="0.25">
      <c r="B17" s="29"/>
      <c r="C17" s="30" t="s">
        <v>30</v>
      </c>
      <c r="D17" s="1">
        <f>SUMIF(Download!B:B,Q17,Download!G:G)</f>
        <v>0</v>
      </c>
      <c r="E17" s="31">
        <f>SUMIF(Download!B:B,Q17,Download!H:H)</f>
        <v>0</v>
      </c>
      <c r="F17" s="5">
        <f t="shared" si="0"/>
        <v>0</v>
      </c>
      <c r="G17" s="12"/>
      <c r="H17" s="1">
        <f t="shared" si="2"/>
        <v>100000</v>
      </c>
      <c r="I17" s="5">
        <f>H17*H5</f>
        <v>0</v>
      </c>
      <c r="J17" s="5">
        <f>(H5-E17)*H17</f>
        <v>0</v>
      </c>
      <c r="K17" s="58" t="e">
        <f>(H5/E17)-1</f>
        <v>#DIV/0!</v>
      </c>
      <c r="L17" s="13" t="s">
        <v>31</v>
      </c>
      <c r="O17" t="s">
        <v>32</v>
      </c>
      <c r="P17" t="str">
        <f t="shared" si="3"/>
        <v>1288:HK</v>
      </c>
      <c r="Q17" t="str">
        <f t="shared" si="1"/>
        <v>MST21288:HK</v>
      </c>
    </row>
    <row r="18" spans="1:17" x14ac:dyDescent="0.25">
      <c r="B18" s="29"/>
      <c r="C18" s="30" t="s">
        <v>33</v>
      </c>
      <c r="D18" s="1">
        <f>SUMIF(Download!B:B,Q18,Download!G:G)</f>
        <v>0</v>
      </c>
      <c r="E18" s="31">
        <f>SUMIF(Download!B:B,Q18,Download!H:H)</f>
        <v>0</v>
      </c>
      <c r="F18" s="5">
        <f t="shared" si="0"/>
        <v>0</v>
      </c>
      <c r="G18" s="12"/>
      <c r="H18" s="1">
        <f t="shared" si="2"/>
        <v>100000</v>
      </c>
      <c r="I18" s="5">
        <f>H18*H5</f>
        <v>0</v>
      </c>
      <c r="J18" s="5">
        <f>(H5-E18)*H18</f>
        <v>0</v>
      </c>
      <c r="K18" s="58" t="e">
        <f>(H5/E18)-1</f>
        <v>#DIV/0!</v>
      </c>
      <c r="L18" s="13"/>
      <c r="O18" t="s">
        <v>34</v>
      </c>
      <c r="P18" t="str">
        <f t="shared" si="3"/>
        <v>1288:HK</v>
      </c>
      <c r="Q18" t="str">
        <f t="shared" si="1"/>
        <v>MSPL1288:HK</v>
      </c>
    </row>
    <row r="19" spans="1:17" x14ac:dyDescent="0.25">
      <c r="B19" s="29"/>
      <c r="C19" s="32"/>
      <c r="D19" s="11"/>
      <c r="E19" s="33"/>
      <c r="F19" s="12"/>
      <c r="G19" s="12"/>
      <c r="H19" s="12"/>
      <c r="I19" s="12"/>
      <c r="J19" s="12"/>
      <c r="K19" s="12"/>
      <c r="L19" s="12"/>
    </row>
    <row r="20" spans="1:17" ht="15.75" customHeight="1" thickBot="1" x14ac:dyDescent="0.3">
      <c r="C20" s="34" t="s">
        <v>35</v>
      </c>
      <c r="D20" s="3">
        <f>SUM(D6:D19)</f>
        <v>0</v>
      </c>
      <c r="E20" s="35" t="e">
        <f>F20/D20</f>
        <v>#DIV/0!</v>
      </c>
      <c r="F20" s="4">
        <f>SUM(F6:F19)</f>
        <v>0</v>
      </c>
      <c r="G20" s="14"/>
      <c r="H20" s="14"/>
      <c r="I20" s="14"/>
      <c r="J20" s="14"/>
      <c r="K20" s="14"/>
      <c r="L20" s="14"/>
    </row>
    <row r="21" spans="1:17" ht="15.75" customHeight="1" thickTop="1" x14ac:dyDescent="0.25">
      <c r="D21" s="36"/>
      <c r="L21" s="18" t="s">
        <v>1</v>
      </c>
      <c r="M21" s="19">
        <v>44749</v>
      </c>
      <c r="N21" s="19"/>
    </row>
    <row r="22" spans="1:17" x14ac:dyDescent="0.25">
      <c r="D22" s="36"/>
      <c r="L22" s="18" t="s">
        <v>2</v>
      </c>
      <c r="M22" s="20" t="s">
        <v>36</v>
      </c>
      <c r="N22" s="20"/>
    </row>
    <row r="23" spans="1:17" ht="18.75" customHeight="1" x14ac:dyDescent="0.3">
      <c r="A23" s="22">
        <v>2</v>
      </c>
      <c r="B23" s="17" t="str">
        <f>INDEX(Stocks!A:B,MATCH(P24,Stocks!A:A,),2)&amp;" ("&amp;P24&amp;")"</f>
        <v>Bank of China (3988:HK)</v>
      </c>
      <c r="C23" s="17"/>
      <c r="E23" s="21"/>
      <c r="F23" s="37"/>
      <c r="G23" s="16" t="s">
        <v>162</v>
      </c>
      <c r="H23" s="57"/>
      <c r="L23" s="18" t="s">
        <v>4</v>
      </c>
      <c r="M23" s="19">
        <v>44783</v>
      </c>
      <c r="N23" s="19"/>
    </row>
    <row r="24" spans="1:17" x14ac:dyDescent="0.25">
      <c r="A24" s="25"/>
      <c r="C24" s="26" t="s">
        <v>5</v>
      </c>
      <c r="D24" s="26" t="s">
        <v>6</v>
      </c>
      <c r="E24" s="26" t="s">
        <v>7</v>
      </c>
      <c r="F24" s="26" t="s">
        <v>8</v>
      </c>
      <c r="G24" s="24"/>
      <c r="H24" s="26" t="s">
        <v>163</v>
      </c>
      <c r="I24" s="27" t="s">
        <v>164</v>
      </c>
      <c r="J24" s="26" t="str">
        <f>IF(COUNTIF(J25:J36,"&gt;0")&lt;&gt;0,IF(COUNTIF(J25:J36,"&lt;0")&lt;&gt;0,"Gain / Loss", "Gain"),"Loss")</f>
        <v>Loss</v>
      </c>
      <c r="K24" s="26" t="str">
        <f>"% "&amp;IF(COUNTIF(K25:K36,"&gt;=0")&lt;&gt;0,IF(COUNTIF(K25:K36,"&lt;0")&lt;&gt;0,"Gain / Loss", "Gain"),"Loss")</f>
        <v>% Loss</v>
      </c>
      <c r="P24" t="s">
        <v>37</v>
      </c>
    </row>
    <row r="25" spans="1:17" x14ac:dyDescent="0.25">
      <c r="B25" s="29"/>
      <c r="C25" s="30" t="s">
        <v>166</v>
      </c>
      <c r="D25" s="1">
        <f>SUMIF(Download!B:B,Q25,Download!G:G)</f>
        <v>0</v>
      </c>
      <c r="E25" s="31">
        <f>SUMIF(Download!B:B,Q25,Download!H:H)</f>
        <v>0</v>
      </c>
      <c r="F25" s="2">
        <f t="shared" ref="F25:F36" si="4">D25*E25</f>
        <v>0</v>
      </c>
      <c r="G25" s="12"/>
      <c r="H25" s="1">
        <v>100000</v>
      </c>
      <c r="I25" s="5">
        <f>H25*H23</f>
        <v>0</v>
      </c>
      <c r="J25" s="5">
        <f>(H23-E25)*H25</f>
        <v>0</v>
      </c>
      <c r="K25" s="58" t="e">
        <f>(H23/E25)-1</f>
        <v>#DIV/0!</v>
      </c>
      <c r="L25" s="50"/>
      <c r="O25" t="s">
        <v>167</v>
      </c>
      <c r="P25" t="str">
        <f>P24</f>
        <v>3988:HK</v>
      </c>
      <c r="Q25" t="str">
        <f t="shared" ref="Q25:Q36" si="5">O25&amp;P25</f>
        <v>CBSG3988:HK</v>
      </c>
    </row>
    <row r="26" spans="1:17" x14ac:dyDescent="0.25">
      <c r="B26" s="29"/>
      <c r="C26" s="30" t="s">
        <v>12</v>
      </c>
      <c r="D26" s="1">
        <f>SUMIF(Download!B:B,Q26,Download!G:G)</f>
        <v>0</v>
      </c>
      <c r="E26" s="31">
        <f>SUMIF(Download!B:B,Q26,Download!H:H)</f>
        <v>0</v>
      </c>
      <c r="F26" s="2">
        <f t="shared" si="4"/>
        <v>0</v>
      </c>
      <c r="G26" s="12"/>
      <c r="H26" s="1">
        <f>H25</f>
        <v>100000</v>
      </c>
      <c r="I26" s="5">
        <f>H26*H23</f>
        <v>0</v>
      </c>
      <c r="J26" s="5">
        <f>(H23-E26)*H26</f>
        <v>0</v>
      </c>
      <c r="K26" s="58" t="e">
        <f>(H23/E26)-1</f>
        <v>#DIV/0!</v>
      </c>
      <c r="L26" s="50"/>
      <c r="O26" t="s">
        <v>13</v>
      </c>
      <c r="P26" t="str">
        <f>P25</f>
        <v>3988:HK</v>
      </c>
      <c r="Q26" t="str">
        <f t="shared" si="5"/>
        <v>CB23988:HK</v>
      </c>
    </row>
    <row r="27" spans="1:17" x14ac:dyDescent="0.25">
      <c r="B27" s="29"/>
      <c r="C27" s="30" t="s">
        <v>14</v>
      </c>
      <c r="D27" s="1">
        <f>SUMIF(Download!B:B,Q27,Download!G:G)</f>
        <v>0</v>
      </c>
      <c r="E27" s="31">
        <f>SUMIF(Download!B:B,Q27,Download!H:H)</f>
        <v>0</v>
      </c>
      <c r="F27" s="2">
        <f t="shared" si="4"/>
        <v>0</v>
      </c>
      <c r="G27" s="12"/>
      <c r="H27" s="1">
        <f t="shared" ref="H27:H36" si="6">H26</f>
        <v>100000</v>
      </c>
      <c r="I27" s="5">
        <f>H27*H23</f>
        <v>0</v>
      </c>
      <c r="J27" s="5">
        <f>(H23-E27)*H27</f>
        <v>0</v>
      </c>
      <c r="K27" s="58" t="e">
        <f>(H23/E27)-1</f>
        <v>#DIV/0!</v>
      </c>
      <c r="L27" s="50"/>
      <c r="O27" t="s">
        <v>15</v>
      </c>
      <c r="P27" t="str">
        <f>P26</f>
        <v>3988:HK</v>
      </c>
      <c r="Q27" t="str">
        <f t="shared" si="5"/>
        <v>CB33988:HK</v>
      </c>
    </row>
    <row r="28" spans="1:17" x14ac:dyDescent="0.25">
      <c r="B28" s="29"/>
      <c r="C28" s="30" t="s">
        <v>16</v>
      </c>
      <c r="D28" s="1">
        <f>SUMIF(Download!B:B,Q28,Download!G:G)</f>
        <v>0</v>
      </c>
      <c r="E28" s="31">
        <f>SUMIF(Download!B:B,Q28,Download!H:H)</f>
        <v>0</v>
      </c>
      <c r="F28" s="2">
        <f t="shared" si="4"/>
        <v>0</v>
      </c>
      <c r="G28" s="12"/>
      <c r="H28" s="1">
        <f t="shared" si="6"/>
        <v>100000</v>
      </c>
      <c r="I28" s="5">
        <f>H28*H23</f>
        <v>0</v>
      </c>
      <c r="J28" s="5">
        <f>(H23-E28)*H28</f>
        <v>0</v>
      </c>
      <c r="K28" s="58" t="e">
        <f>(H23/E28)-1</f>
        <v>#DIV/0!</v>
      </c>
      <c r="L28" s="50"/>
      <c r="O28" t="s">
        <v>17</v>
      </c>
      <c r="P28" t="str">
        <f>P26</f>
        <v>3988:HK</v>
      </c>
      <c r="Q28" t="str">
        <f t="shared" si="5"/>
        <v>CBBH3988:HK</v>
      </c>
    </row>
    <row r="29" spans="1:17" x14ac:dyDescent="0.25">
      <c r="B29" s="29"/>
      <c r="C29" s="30" t="s">
        <v>18</v>
      </c>
      <c r="D29" s="1">
        <f>SUMIF(Download!B:B,Q29,Download!G:G)</f>
        <v>0</v>
      </c>
      <c r="E29" s="31">
        <f>SUMIF(Download!B:B,Q29,Download!H:H)</f>
        <v>0</v>
      </c>
      <c r="F29" s="2">
        <f t="shared" si="4"/>
        <v>0</v>
      </c>
      <c r="G29" s="12"/>
      <c r="H29" s="1">
        <f t="shared" si="6"/>
        <v>100000</v>
      </c>
      <c r="I29" s="5">
        <f>H29*H23</f>
        <v>0</v>
      </c>
      <c r="J29" s="5">
        <f>(H23-E29)*H29</f>
        <v>0</v>
      </c>
      <c r="K29" s="58" t="e">
        <f>(H23/E29)-1</f>
        <v>#DIV/0!</v>
      </c>
      <c r="L29" s="50" t="s">
        <v>38</v>
      </c>
      <c r="O29" t="s">
        <v>19</v>
      </c>
      <c r="P29" t="str">
        <f t="shared" ref="P29:P36" si="7">P28</f>
        <v>3988:HK</v>
      </c>
      <c r="Q29" t="str">
        <f t="shared" si="5"/>
        <v>BOS3988:HK</v>
      </c>
    </row>
    <row r="30" spans="1:17" x14ac:dyDescent="0.25">
      <c r="B30" s="29"/>
      <c r="C30" s="30" t="s">
        <v>20</v>
      </c>
      <c r="D30" s="1">
        <f>SUMIF(Download!B:B,Q30,Download!G:G)</f>
        <v>0</v>
      </c>
      <c r="E30" s="31">
        <f>SUMIF(Download!B:B,Q30,Download!H:H)</f>
        <v>0</v>
      </c>
      <c r="F30" s="2">
        <f t="shared" si="4"/>
        <v>0</v>
      </c>
      <c r="G30" s="12"/>
      <c r="H30" s="1">
        <f t="shared" si="6"/>
        <v>100000</v>
      </c>
      <c r="I30" s="5">
        <f>H30*H23</f>
        <v>0</v>
      </c>
      <c r="J30" s="5">
        <f>(H23-E30)*H30</f>
        <v>0</v>
      </c>
      <c r="K30" s="58" t="e">
        <f>(H23/E30)-1</f>
        <v>#DIV/0!</v>
      </c>
      <c r="L30" s="50" t="s">
        <v>39</v>
      </c>
      <c r="O30" t="s">
        <v>21</v>
      </c>
      <c r="P30" t="str">
        <f t="shared" si="7"/>
        <v>3988:HK</v>
      </c>
      <c r="Q30" t="str">
        <f t="shared" si="5"/>
        <v>DBPe3988:HK</v>
      </c>
    </row>
    <row r="31" spans="1:17" x14ac:dyDescent="0.25">
      <c r="B31" s="29"/>
      <c r="C31" s="30" t="s">
        <v>22</v>
      </c>
      <c r="D31" s="1">
        <f>SUMIF(Download!B:B,Q31,Download!G:G)</f>
        <v>0</v>
      </c>
      <c r="E31" s="31">
        <f>SUMIF(Download!B:B,Q31,Download!H:H)</f>
        <v>0</v>
      </c>
      <c r="F31" s="2">
        <f t="shared" si="4"/>
        <v>0</v>
      </c>
      <c r="G31" s="12"/>
      <c r="H31" s="1">
        <f t="shared" si="6"/>
        <v>100000</v>
      </c>
      <c r="I31" s="5">
        <f>H31*H23</f>
        <v>0</v>
      </c>
      <c r="J31" s="5">
        <f>(H23-E31)*H31</f>
        <v>0</v>
      </c>
      <c r="K31" s="58" t="e">
        <f>(H23/E31)-1</f>
        <v>#DIV/0!</v>
      </c>
      <c r="L31" s="50"/>
      <c r="O31" t="s">
        <v>23</v>
      </c>
      <c r="P31" t="str">
        <f t="shared" si="7"/>
        <v>3988:HK</v>
      </c>
      <c r="Q31" t="str">
        <f t="shared" si="5"/>
        <v>DBPL3988:HK</v>
      </c>
    </row>
    <row r="32" spans="1:17" x14ac:dyDescent="0.25">
      <c r="B32" s="29"/>
      <c r="C32" s="30" t="s">
        <v>24</v>
      </c>
      <c r="D32" s="1">
        <f>SUMIF(Download!B:B,Q32,Download!G:G)</f>
        <v>0</v>
      </c>
      <c r="E32" s="31">
        <f>SUMIF(Download!B:B,Q32,Download!H:H)</f>
        <v>0</v>
      </c>
      <c r="F32" s="2">
        <f t="shared" si="4"/>
        <v>0</v>
      </c>
      <c r="G32" s="12"/>
      <c r="H32" s="1">
        <f t="shared" si="6"/>
        <v>100000</v>
      </c>
      <c r="I32" s="5">
        <f>H32*H23</f>
        <v>0</v>
      </c>
      <c r="J32" s="5">
        <f>(H23-E32)*H32</f>
        <v>0</v>
      </c>
      <c r="K32" s="58" t="e">
        <f>(H23/E32)-1</f>
        <v>#DIV/0!</v>
      </c>
      <c r="L32" s="50"/>
      <c r="O32" t="s">
        <v>25</v>
      </c>
      <c r="P32" t="str">
        <f t="shared" si="7"/>
        <v>3988:HK</v>
      </c>
      <c r="Q32" t="str">
        <f t="shared" si="5"/>
        <v>SC3988:HK</v>
      </c>
    </row>
    <row r="33" spans="1:19" x14ac:dyDescent="0.25">
      <c r="B33" s="29"/>
      <c r="C33" s="30" t="s">
        <v>26</v>
      </c>
      <c r="D33" s="1">
        <f>SUMIF(Download!B:B,Q33,Download!G:G)</f>
        <v>0</v>
      </c>
      <c r="E33" s="31">
        <f>SUMIF(Download!B:B,Q33,Download!H:H)</f>
        <v>0</v>
      </c>
      <c r="F33" s="2">
        <f t="shared" si="4"/>
        <v>0</v>
      </c>
      <c r="G33" s="12"/>
      <c r="H33" s="1">
        <f t="shared" si="6"/>
        <v>100000</v>
      </c>
      <c r="I33" s="5">
        <f>H33*H23</f>
        <v>0</v>
      </c>
      <c r="J33" s="5">
        <f>(H23-E33)*H33</f>
        <v>0</v>
      </c>
      <c r="K33" s="58" t="e">
        <f>(H23/E33)-1</f>
        <v>#DIV/0!</v>
      </c>
      <c r="L33" s="50"/>
      <c r="O33" t="s">
        <v>27</v>
      </c>
      <c r="P33" t="str">
        <f t="shared" si="7"/>
        <v>3988:HK</v>
      </c>
      <c r="Q33" t="str">
        <f t="shared" si="5"/>
        <v>SHK3988:HK</v>
      </c>
    </row>
    <row r="34" spans="1:19" x14ac:dyDescent="0.25">
      <c r="B34" s="29"/>
      <c r="C34" s="30" t="s">
        <v>28</v>
      </c>
      <c r="D34" s="1">
        <f>SUMIF(Download!B:B,Q34,Download!G:G)</f>
        <v>0</v>
      </c>
      <c r="E34" s="31">
        <f>SUMIF(Download!B:B,Q34,Download!H:H)</f>
        <v>0</v>
      </c>
      <c r="F34" s="2">
        <f t="shared" si="4"/>
        <v>0</v>
      </c>
      <c r="G34" s="12"/>
      <c r="H34" s="1">
        <f t="shared" si="6"/>
        <v>100000</v>
      </c>
      <c r="I34" s="5">
        <f>H34*H23</f>
        <v>0</v>
      </c>
      <c r="J34" s="5">
        <f>(H23-E34)*H34</f>
        <v>0</v>
      </c>
      <c r="K34" s="58" t="e">
        <f>(H23/E34)-1</f>
        <v>#DIV/0!</v>
      </c>
      <c r="L34" s="50" t="s">
        <v>40</v>
      </c>
      <c r="O34" t="s">
        <v>29</v>
      </c>
      <c r="P34" t="str">
        <f t="shared" si="7"/>
        <v>3988:HK</v>
      </c>
      <c r="Q34" t="str">
        <f t="shared" si="5"/>
        <v>MST13988:HK</v>
      </c>
    </row>
    <row r="35" spans="1:19" x14ac:dyDescent="0.25">
      <c r="B35" s="29"/>
      <c r="C35" s="30" t="s">
        <v>30</v>
      </c>
      <c r="D35" s="1">
        <f>SUMIF(Download!B:B,Q35,Download!G:G)</f>
        <v>0</v>
      </c>
      <c r="E35" s="31">
        <f>SUMIF(Download!B:B,Q35,Download!H:H)</f>
        <v>0</v>
      </c>
      <c r="F35" s="2">
        <f t="shared" si="4"/>
        <v>0</v>
      </c>
      <c r="G35" s="12"/>
      <c r="H35" s="1">
        <f t="shared" si="6"/>
        <v>100000</v>
      </c>
      <c r="I35" s="5">
        <f>H35*H23</f>
        <v>0</v>
      </c>
      <c r="J35" s="5">
        <f>(H23-E35)*H35</f>
        <v>0</v>
      </c>
      <c r="K35" s="58" t="e">
        <f>(H23/E35)-1</f>
        <v>#DIV/0!</v>
      </c>
      <c r="L35" s="50"/>
      <c r="O35" t="s">
        <v>32</v>
      </c>
      <c r="P35" t="str">
        <f t="shared" si="7"/>
        <v>3988:HK</v>
      </c>
      <c r="Q35" t="str">
        <f t="shared" si="5"/>
        <v>MST23988:HK</v>
      </c>
    </row>
    <row r="36" spans="1:19" x14ac:dyDescent="0.25">
      <c r="B36" s="29"/>
      <c r="C36" s="30" t="s">
        <v>33</v>
      </c>
      <c r="D36" s="1">
        <f>SUMIF(Download!B:B,Q36,Download!G:G)</f>
        <v>0</v>
      </c>
      <c r="E36" s="31">
        <f>SUMIF(Download!B:B,Q36,Download!H:H)</f>
        <v>0</v>
      </c>
      <c r="F36" s="2">
        <f t="shared" si="4"/>
        <v>0</v>
      </c>
      <c r="G36" s="12"/>
      <c r="H36" s="1">
        <f t="shared" si="6"/>
        <v>100000</v>
      </c>
      <c r="I36" s="5">
        <f>H36*H23</f>
        <v>0</v>
      </c>
      <c r="J36" s="5">
        <f>(H23-E36)*H36</f>
        <v>0</v>
      </c>
      <c r="K36" s="58" t="e">
        <f>(H23/E36)-1</f>
        <v>#DIV/0!</v>
      </c>
      <c r="L36" s="50" t="s">
        <v>41</v>
      </c>
      <c r="O36" t="s">
        <v>34</v>
      </c>
      <c r="P36" t="str">
        <f t="shared" si="7"/>
        <v>3988:HK</v>
      </c>
      <c r="Q36" t="str">
        <f t="shared" si="5"/>
        <v>MSPL3988:HK</v>
      </c>
    </row>
    <row r="37" spans="1:19" x14ac:dyDescent="0.25">
      <c r="B37" s="29"/>
      <c r="C37" s="32"/>
      <c r="D37" s="11"/>
      <c r="E37" s="33"/>
      <c r="F37" s="12"/>
      <c r="G37" s="12"/>
      <c r="H37" s="12"/>
      <c r="I37" s="12"/>
      <c r="J37" s="12"/>
      <c r="K37" s="12"/>
      <c r="L37" s="36"/>
    </row>
    <row r="38" spans="1:19" ht="15.75" customHeight="1" thickBot="1" x14ac:dyDescent="0.3">
      <c r="C38" s="34" t="s">
        <v>35</v>
      </c>
      <c r="D38" s="10">
        <f>SUM(D23:D37)</f>
        <v>0</v>
      </c>
      <c r="E38" s="35" t="e">
        <f>F38/D38</f>
        <v>#DIV/0!</v>
      </c>
      <c r="F38" s="4">
        <f>SUM(F23:F37)</f>
        <v>0</v>
      </c>
      <c r="G38" s="14"/>
      <c r="H38" s="14"/>
      <c r="I38" s="14"/>
      <c r="J38" s="14"/>
      <c r="K38" s="14"/>
      <c r="L38" s="36"/>
    </row>
    <row r="39" spans="1:19" ht="15.75" customHeight="1" thickTop="1" x14ac:dyDescent="0.25">
      <c r="C39" s="37"/>
      <c r="D39" s="49"/>
      <c r="E39" s="38"/>
      <c r="F39" s="14"/>
      <c r="G39" s="14"/>
      <c r="H39" s="14"/>
      <c r="I39" s="14"/>
      <c r="J39" s="14"/>
      <c r="K39" s="14"/>
      <c r="L39" s="36"/>
    </row>
    <row r="40" spans="1:19" ht="15.75" customHeight="1" x14ac:dyDescent="0.25">
      <c r="C40" s="37"/>
      <c r="D40" s="49"/>
      <c r="E40" s="38"/>
      <c r="F40" s="14"/>
      <c r="G40" s="14"/>
      <c r="H40" s="14"/>
      <c r="I40" s="14"/>
      <c r="J40" s="14"/>
      <c r="K40" s="14"/>
      <c r="L40" s="36"/>
    </row>
    <row r="41" spans="1:19" ht="18.75" customHeight="1" x14ac:dyDescent="0.3">
      <c r="A41" s="17"/>
      <c r="K41" s="55">
        <v>1</v>
      </c>
      <c r="L41" s="18" t="s">
        <v>1</v>
      </c>
      <c r="M41" s="19">
        <v>44630</v>
      </c>
      <c r="N41" s="19"/>
    </row>
    <row r="42" spans="1:19" x14ac:dyDescent="0.25">
      <c r="L42" s="18" t="s">
        <v>2</v>
      </c>
      <c r="M42" s="20" t="s">
        <v>42</v>
      </c>
      <c r="N42" s="20"/>
      <c r="R42" s="21"/>
    </row>
    <row r="43" spans="1:19" ht="18.75" customHeight="1" x14ac:dyDescent="0.3">
      <c r="A43" s="22"/>
      <c r="B43" s="17"/>
      <c r="C43" s="17"/>
      <c r="L43" s="53" t="s">
        <v>4</v>
      </c>
      <c r="M43" s="54">
        <v>44679</v>
      </c>
      <c r="N43" s="19"/>
      <c r="R43" s="23"/>
      <c r="S43" s="24"/>
    </row>
    <row r="44" spans="1:19" ht="18.75" customHeight="1" x14ac:dyDescent="0.3">
      <c r="A44" s="17"/>
      <c r="K44" s="55">
        <v>2</v>
      </c>
      <c r="L44" s="18" t="s">
        <v>1</v>
      </c>
      <c r="M44" s="19">
        <v>44791</v>
      </c>
      <c r="N44" s="19"/>
    </row>
    <row r="45" spans="1:19" x14ac:dyDescent="0.25">
      <c r="L45" s="18" t="s">
        <v>2</v>
      </c>
      <c r="M45" s="20" t="s">
        <v>43</v>
      </c>
      <c r="N45" s="20"/>
      <c r="R45" s="21"/>
    </row>
    <row r="46" spans="1:19" ht="18.75" customHeight="1" x14ac:dyDescent="0.3">
      <c r="A46" s="22">
        <v>3</v>
      </c>
      <c r="B46" s="17" t="str">
        <f>INDEX(Stocks!A:B,MATCH(P47,Stocks!A:A,),2)&amp;" ("&amp;P47&amp;")"</f>
        <v>HSBC (5:HK)</v>
      </c>
      <c r="C46" s="17"/>
      <c r="G46" s="16" t="s">
        <v>162</v>
      </c>
      <c r="H46" s="57"/>
      <c r="L46" s="18" t="s">
        <v>4</v>
      </c>
      <c r="M46" s="52">
        <v>44833</v>
      </c>
      <c r="N46" s="19"/>
      <c r="R46" s="23"/>
      <c r="S46" s="24"/>
    </row>
    <row r="47" spans="1:19" x14ac:dyDescent="0.25">
      <c r="A47" s="25"/>
      <c r="C47" s="26" t="s">
        <v>5</v>
      </c>
      <c r="D47" s="26" t="s">
        <v>6</v>
      </c>
      <c r="E47" s="26" t="s">
        <v>7</v>
      </c>
      <c r="F47" s="27" t="s">
        <v>8</v>
      </c>
      <c r="G47" s="24"/>
      <c r="H47" s="26" t="s">
        <v>163</v>
      </c>
      <c r="I47" s="27" t="s">
        <v>164</v>
      </c>
      <c r="J47" s="26" t="str">
        <f>IF(COUNTIF(J48:J59,"&gt;0")&lt;&gt;0,IF(COUNTIF(J48:J59,"&lt;0")&lt;&gt;0,"Gain / Loss", "Gain"),"Loss")</f>
        <v>Loss</v>
      </c>
      <c r="K47" s="26" t="str">
        <f>"% "&amp;IF(COUNTIF(K48:K59,"&gt;=0")&lt;&gt;0,IF(COUNTIF(K48:K59,"&lt;0")&lt;&gt;0,"Gain / Loss", "Gain"),"Loss")</f>
        <v>% Loss</v>
      </c>
      <c r="O47" s="28"/>
      <c r="P47" t="s">
        <v>44</v>
      </c>
    </row>
    <row r="48" spans="1:19" x14ac:dyDescent="0.25">
      <c r="B48" s="29"/>
      <c r="C48" s="30" t="s">
        <v>166</v>
      </c>
      <c r="D48" s="1">
        <f>SUMIF(Download!B:B,Q48,Download!G:G)</f>
        <v>0</v>
      </c>
      <c r="E48" s="31">
        <f>SUMIF(Download!B:B,Q48,Download!H:H)</f>
        <v>0</v>
      </c>
      <c r="F48" s="5">
        <f t="shared" ref="F48:F59" si="8">D48*E48</f>
        <v>0</v>
      </c>
      <c r="G48" s="12"/>
      <c r="H48" s="1">
        <v>5000</v>
      </c>
      <c r="I48" s="5">
        <f>H48*H46</f>
        <v>0</v>
      </c>
      <c r="J48" s="5">
        <f>(H46-E48)*H48</f>
        <v>0</v>
      </c>
      <c r="K48" s="58" t="e">
        <f>(H46/E48)-1</f>
        <v>#DIV/0!</v>
      </c>
      <c r="L48" s="13"/>
      <c r="O48" t="s">
        <v>167</v>
      </c>
      <c r="P48" t="str">
        <f>P47</f>
        <v>5:HK</v>
      </c>
      <c r="Q48" t="str">
        <f t="shared" ref="Q48:Q59" si="9">O48&amp;P48</f>
        <v>CBSG5:HK</v>
      </c>
    </row>
    <row r="49" spans="2:17" x14ac:dyDescent="0.25">
      <c r="B49" s="29"/>
      <c r="C49" s="30" t="s">
        <v>12</v>
      </c>
      <c r="D49" s="1">
        <f>SUMIF(Download!B:B,Q49,Download!G:G)</f>
        <v>0</v>
      </c>
      <c r="E49" s="31">
        <f>SUMIF(Download!B:B,Q49,Download!H:H)</f>
        <v>0</v>
      </c>
      <c r="F49" s="5">
        <f t="shared" si="8"/>
        <v>0</v>
      </c>
      <c r="G49" s="12"/>
      <c r="H49" s="1">
        <f>H48</f>
        <v>5000</v>
      </c>
      <c r="I49" s="5">
        <f>H49*H46</f>
        <v>0</v>
      </c>
      <c r="J49" s="5">
        <f>(H46-E49)*H49</f>
        <v>0</v>
      </c>
      <c r="K49" s="58" t="e">
        <f>(H46/E49)-1</f>
        <v>#DIV/0!</v>
      </c>
      <c r="L49" s="13"/>
      <c r="O49" t="s">
        <v>13</v>
      </c>
      <c r="P49" t="str">
        <f>P48</f>
        <v>5:HK</v>
      </c>
      <c r="Q49" t="str">
        <f t="shared" si="9"/>
        <v>CB25:HK</v>
      </c>
    </row>
    <row r="50" spans="2:17" x14ac:dyDescent="0.25">
      <c r="B50" s="29"/>
      <c r="C50" s="30" t="s">
        <v>14</v>
      </c>
      <c r="D50" s="1">
        <f>SUMIF(Download!B:B,Q50,Download!G:G)</f>
        <v>0</v>
      </c>
      <c r="E50" s="31">
        <f>SUMIF(Download!B:B,Q50,Download!H:H)</f>
        <v>0</v>
      </c>
      <c r="F50" s="5">
        <f t="shared" si="8"/>
        <v>0</v>
      </c>
      <c r="G50" s="12"/>
      <c r="H50" s="1">
        <f t="shared" ref="H50:H59" si="10">H49</f>
        <v>5000</v>
      </c>
      <c r="I50" s="5">
        <f>H50*H46</f>
        <v>0</v>
      </c>
      <c r="J50" s="5">
        <f>(H46-E50)*H50</f>
        <v>0</v>
      </c>
      <c r="K50" s="58" t="e">
        <f>(H46/E50)-1</f>
        <v>#DIV/0!</v>
      </c>
      <c r="L50" s="13"/>
      <c r="O50" t="s">
        <v>15</v>
      </c>
      <c r="P50" t="str">
        <f>P48</f>
        <v>5:HK</v>
      </c>
      <c r="Q50" t="str">
        <f t="shared" si="9"/>
        <v>CB35:HK</v>
      </c>
    </row>
    <row r="51" spans="2:17" x14ac:dyDescent="0.25">
      <c r="B51" s="29"/>
      <c r="C51" s="30" t="s">
        <v>16</v>
      </c>
      <c r="D51" s="1">
        <f>SUMIF(Download!B:B,Q51,Download!G:G)</f>
        <v>0</v>
      </c>
      <c r="E51" s="31">
        <f>SUMIF(Download!B:B,Q51,Download!H:H)</f>
        <v>0</v>
      </c>
      <c r="F51" s="5">
        <f t="shared" si="8"/>
        <v>0</v>
      </c>
      <c r="G51" s="12"/>
      <c r="H51" s="1">
        <f t="shared" si="10"/>
        <v>5000</v>
      </c>
      <c r="I51" s="5">
        <f>H51*H46</f>
        <v>0</v>
      </c>
      <c r="J51" s="5">
        <f>(H46-E51)*H51</f>
        <v>0</v>
      </c>
      <c r="K51" s="58" t="e">
        <f>(H46/E51)-1</f>
        <v>#DIV/0!</v>
      </c>
      <c r="L51" s="13"/>
      <c r="O51" t="s">
        <v>17</v>
      </c>
      <c r="P51" t="str">
        <f>P49</f>
        <v>5:HK</v>
      </c>
      <c r="Q51" t="str">
        <f t="shared" si="9"/>
        <v>CBBH5:HK</v>
      </c>
    </row>
    <row r="52" spans="2:17" x14ac:dyDescent="0.25">
      <c r="B52" s="29"/>
      <c r="C52" s="30" t="s">
        <v>18</v>
      </c>
      <c r="D52" s="1">
        <f>SUMIF(Download!B:B,Q52,Download!G:G)</f>
        <v>0</v>
      </c>
      <c r="E52" s="31">
        <f>SUMIF(Download!B:B,Q52,Download!H:H)</f>
        <v>0</v>
      </c>
      <c r="F52" s="5">
        <f t="shared" si="8"/>
        <v>0</v>
      </c>
      <c r="G52" s="12"/>
      <c r="H52" s="1">
        <f t="shared" si="10"/>
        <v>5000</v>
      </c>
      <c r="I52" s="5">
        <f>H52*H46</f>
        <v>0</v>
      </c>
      <c r="J52" s="5">
        <f>(H46-E52)*H52</f>
        <v>0</v>
      </c>
      <c r="K52" s="58" t="e">
        <f>(H46/E52)-1</f>
        <v>#DIV/0!</v>
      </c>
      <c r="L52" s="13"/>
      <c r="O52" t="s">
        <v>19</v>
      </c>
      <c r="P52" t="str">
        <f t="shared" ref="P52:P59" si="11">P51</f>
        <v>5:HK</v>
      </c>
      <c r="Q52" t="str">
        <f t="shared" si="9"/>
        <v>BOS5:HK</v>
      </c>
    </row>
    <row r="53" spans="2:17" x14ac:dyDescent="0.25">
      <c r="B53" s="29"/>
      <c r="C53" s="30" t="s">
        <v>20</v>
      </c>
      <c r="D53" s="1">
        <f>SUMIF(Download!B:B,Q53,Download!G:G)</f>
        <v>0</v>
      </c>
      <c r="E53" s="31">
        <f>SUMIF(Download!B:B,Q53,Download!H:H)</f>
        <v>0</v>
      </c>
      <c r="F53" s="5">
        <f t="shared" si="8"/>
        <v>0</v>
      </c>
      <c r="G53" s="12"/>
      <c r="H53" s="1">
        <f t="shared" si="10"/>
        <v>5000</v>
      </c>
      <c r="I53" s="5">
        <f>H53*H46</f>
        <v>0</v>
      </c>
      <c r="J53" s="5">
        <f>(H46-E53)*H53</f>
        <v>0</v>
      </c>
      <c r="K53" s="58" t="e">
        <f>(H46/E53)-1</f>
        <v>#DIV/0!</v>
      </c>
      <c r="L53" s="13"/>
      <c r="O53" t="s">
        <v>21</v>
      </c>
      <c r="P53" t="str">
        <f t="shared" si="11"/>
        <v>5:HK</v>
      </c>
      <c r="Q53" t="str">
        <f t="shared" si="9"/>
        <v>DBPe5:HK</v>
      </c>
    </row>
    <row r="54" spans="2:17" x14ac:dyDescent="0.25">
      <c r="B54" s="29"/>
      <c r="C54" s="30" t="s">
        <v>22</v>
      </c>
      <c r="D54" s="1">
        <f>SUMIF(Download!B:B,Q54,Download!G:G)</f>
        <v>0</v>
      </c>
      <c r="E54" s="31">
        <f>SUMIF(Download!B:B,Q54,Download!H:H)</f>
        <v>0</v>
      </c>
      <c r="F54" s="5">
        <f t="shared" si="8"/>
        <v>0</v>
      </c>
      <c r="G54" s="12"/>
      <c r="H54" s="1">
        <f t="shared" si="10"/>
        <v>5000</v>
      </c>
      <c r="I54" s="5">
        <f>H54*H46</f>
        <v>0</v>
      </c>
      <c r="J54" s="5">
        <f>(H46-E54)*H54</f>
        <v>0</v>
      </c>
      <c r="K54" s="58" t="e">
        <f>(H46/E54)-1</f>
        <v>#DIV/0!</v>
      </c>
      <c r="L54" s="13"/>
      <c r="O54" t="s">
        <v>23</v>
      </c>
      <c r="P54" t="str">
        <f t="shared" si="11"/>
        <v>5:HK</v>
      </c>
      <c r="Q54" t="str">
        <f t="shared" si="9"/>
        <v>DBPL5:HK</v>
      </c>
    </row>
    <row r="55" spans="2:17" x14ac:dyDescent="0.25">
      <c r="B55" s="29"/>
      <c r="C55" s="30" t="s">
        <v>24</v>
      </c>
      <c r="D55" s="1">
        <f>SUMIF(Download!B:B,Q55,Download!G:G)</f>
        <v>0</v>
      </c>
      <c r="E55" s="31">
        <f>SUMIF(Download!B:B,Q55,Download!H:H)</f>
        <v>0</v>
      </c>
      <c r="F55" s="5">
        <f t="shared" si="8"/>
        <v>0</v>
      </c>
      <c r="G55" s="12"/>
      <c r="H55" s="1">
        <f t="shared" si="10"/>
        <v>5000</v>
      </c>
      <c r="I55" s="5">
        <f>H55*H46</f>
        <v>0</v>
      </c>
      <c r="J55" s="5">
        <f>(H46-E55)*H55</f>
        <v>0</v>
      </c>
      <c r="K55" s="58" t="e">
        <f>(H46/E55)-1</f>
        <v>#DIV/0!</v>
      </c>
      <c r="L55" s="13"/>
      <c r="O55" t="s">
        <v>25</v>
      </c>
      <c r="P55" t="str">
        <f t="shared" si="11"/>
        <v>5:HK</v>
      </c>
      <c r="Q55" t="str">
        <f t="shared" si="9"/>
        <v>SC5:HK</v>
      </c>
    </row>
    <row r="56" spans="2:17" x14ac:dyDescent="0.25">
      <c r="B56" s="29"/>
      <c r="C56" s="30" t="s">
        <v>26</v>
      </c>
      <c r="D56" s="1">
        <f>SUMIF(Download!B:B,Q56,Download!G:G)</f>
        <v>0</v>
      </c>
      <c r="E56" s="31">
        <f>SUMIF(Download!B:B,Q56,Download!H:H)</f>
        <v>0</v>
      </c>
      <c r="F56" s="5">
        <f t="shared" si="8"/>
        <v>0</v>
      </c>
      <c r="G56" s="12"/>
      <c r="H56" s="1">
        <f t="shared" si="10"/>
        <v>5000</v>
      </c>
      <c r="I56" s="5">
        <f>H56*H46</f>
        <v>0</v>
      </c>
      <c r="J56" s="5">
        <f>(H46-E56)*H56</f>
        <v>0</v>
      </c>
      <c r="K56" s="58" t="e">
        <f>(H46/E56)-1</f>
        <v>#DIV/0!</v>
      </c>
      <c r="L56" s="13"/>
      <c r="O56" t="s">
        <v>27</v>
      </c>
      <c r="P56" t="str">
        <f t="shared" si="11"/>
        <v>5:HK</v>
      </c>
      <c r="Q56" t="str">
        <f t="shared" si="9"/>
        <v>SHK5:HK</v>
      </c>
    </row>
    <row r="57" spans="2:17" x14ac:dyDescent="0.25">
      <c r="B57" s="29"/>
      <c r="C57" s="30" t="s">
        <v>28</v>
      </c>
      <c r="D57" s="1">
        <f>SUMIF(Download!B:B,Q57,Download!G:G)</f>
        <v>0</v>
      </c>
      <c r="E57" s="31">
        <f>SUMIF(Download!B:B,Q57,Download!H:H)</f>
        <v>0</v>
      </c>
      <c r="F57" s="5">
        <f t="shared" si="8"/>
        <v>0</v>
      </c>
      <c r="G57" s="12"/>
      <c r="H57" s="1">
        <f t="shared" si="10"/>
        <v>5000</v>
      </c>
      <c r="I57" s="5">
        <f>H57*H46</f>
        <v>0</v>
      </c>
      <c r="J57" s="5">
        <f>(H46-E57)*H57</f>
        <v>0</v>
      </c>
      <c r="K57" s="58" t="e">
        <f>(H46/E57)-1</f>
        <v>#DIV/0!</v>
      </c>
      <c r="L57" s="13" t="s">
        <v>45</v>
      </c>
      <c r="O57" t="s">
        <v>29</v>
      </c>
      <c r="P57" t="str">
        <f t="shared" si="11"/>
        <v>5:HK</v>
      </c>
      <c r="Q57" t="str">
        <f t="shared" si="9"/>
        <v>MST15:HK</v>
      </c>
    </row>
    <row r="58" spans="2:17" x14ac:dyDescent="0.25">
      <c r="B58" s="29"/>
      <c r="C58" s="30" t="s">
        <v>30</v>
      </c>
      <c r="D58" s="1">
        <f>SUMIF(Download!B:B,Q58,Download!G:G)</f>
        <v>0</v>
      </c>
      <c r="E58" s="31">
        <f>SUMIF(Download!B:B,Q58,Download!H:H)</f>
        <v>0</v>
      </c>
      <c r="F58" s="5">
        <f t="shared" si="8"/>
        <v>0</v>
      </c>
      <c r="G58" s="12"/>
      <c r="H58" s="1">
        <f t="shared" si="10"/>
        <v>5000</v>
      </c>
      <c r="I58" s="5">
        <f>H58*H46</f>
        <v>0</v>
      </c>
      <c r="J58" s="5">
        <f>(H46-E58)*H58</f>
        <v>0</v>
      </c>
      <c r="K58" s="58" t="e">
        <f>(H46/E58)-1</f>
        <v>#DIV/0!</v>
      </c>
      <c r="L58" s="13"/>
      <c r="O58" t="s">
        <v>32</v>
      </c>
      <c r="P58" t="str">
        <f t="shared" si="11"/>
        <v>5:HK</v>
      </c>
      <c r="Q58" t="str">
        <f t="shared" si="9"/>
        <v>MST25:HK</v>
      </c>
    </row>
    <row r="59" spans="2:17" x14ac:dyDescent="0.25">
      <c r="B59" s="29"/>
      <c r="C59" s="30" t="s">
        <v>33</v>
      </c>
      <c r="D59" s="1">
        <f>SUMIF(Download!B:B,Q59,Download!G:G)</f>
        <v>0</v>
      </c>
      <c r="E59" s="31">
        <f>SUMIF(Download!B:B,Q59,Download!H:H)</f>
        <v>0</v>
      </c>
      <c r="F59" s="5">
        <f t="shared" si="8"/>
        <v>0</v>
      </c>
      <c r="G59" s="12"/>
      <c r="H59" s="1">
        <f t="shared" si="10"/>
        <v>5000</v>
      </c>
      <c r="I59" s="5">
        <f>H59*H46</f>
        <v>0</v>
      </c>
      <c r="J59" s="5">
        <f>(H46-E59)*H59</f>
        <v>0</v>
      </c>
      <c r="K59" s="58" t="e">
        <f>(H46/E59)-1</f>
        <v>#DIV/0!</v>
      </c>
      <c r="L59" s="13"/>
      <c r="O59" t="s">
        <v>34</v>
      </c>
      <c r="P59" t="str">
        <f t="shared" si="11"/>
        <v>5:HK</v>
      </c>
      <c r="Q59" t="str">
        <f t="shared" si="9"/>
        <v>MSPL5:HK</v>
      </c>
    </row>
    <row r="60" spans="2:17" x14ac:dyDescent="0.25">
      <c r="B60" s="29"/>
      <c r="C60" s="32"/>
      <c r="D60" s="11"/>
      <c r="E60" s="33"/>
      <c r="F60" s="12"/>
      <c r="G60" s="12"/>
      <c r="H60" s="12"/>
      <c r="I60" s="12"/>
      <c r="J60" s="12"/>
      <c r="K60" s="12"/>
      <c r="L60" s="12"/>
    </row>
    <row r="61" spans="2:17" ht="15.75" customHeight="1" thickBot="1" x14ac:dyDescent="0.3">
      <c r="C61" s="34" t="s">
        <v>35</v>
      </c>
      <c r="D61" s="3">
        <f>SUM(D47:D60)</f>
        <v>0</v>
      </c>
      <c r="E61" s="35" t="e">
        <f>F61/D61</f>
        <v>#DIV/0!</v>
      </c>
      <c r="F61" s="4">
        <f>SUM(F47:F60)</f>
        <v>0</v>
      </c>
      <c r="G61" s="14"/>
      <c r="H61" s="14"/>
      <c r="I61" s="14"/>
      <c r="J61" s="14"/>
      <c r="K61" s="14"/>
      <c r="L61" s="14"/>
    </row>
    <row r="62" spans="2:17" ht="15.75" customHeight="1" thickTop="1" x14ac:dyDescent="0.25">
      <c r="D62" s="36"/>
      <c r="L62" s="36"/>
    </row>
    <row r="63" spans="2:17" ht="15.75" customHeight="1" x14ac:dyDescent="0.25">
      <c r="D63" s="36"/>
      <c r="L63" s="36"/>
    </row>
    <row r="64" spans="2:17" ht="15.75" customHeight="1" x14ac:dyDescent="0.25"/>
    <row r="65" spans="1:17" ht="15.75" customHeight="1" x14ac:dyDescent="0.25"/>
    <row r="66" spans="1:17" x14ac:dyDescent="0.25">
      <c r="L66" s="18" t="s">
        <v>1</v>
      </c>
      <c r="M66" s="19">
        <v>44391</v>
      </c>
      <c r="N66" s="19"/>
    </row>
    <row r="67" spans="1:17" x14ac:dyDescent="0.25">
      <c r="L67" s="18" t="s">
        <v>2</v>
      </c>
      <c r="M67" s="20" t="s">
        <v>46</v>
      </c>
      <c r="N67" s="20"/>
    </row>
    <row r="68" spans="1:17" ht="18.75" customHeight="1" x14ac:dyDescent="0.3">
      <c r="A68" s="22">
        <v>4</v>
      </c>
      <c r="B68" s="17" t="str">
        <f>INDEX(Stocks!A:B,MATCH(P69,Stocks!A:A,),2)&amp;" ("&amp;P69&amp;")"</f>
        <v>Postal Savings Bank of China (1658:HK)</v>
      </c>
      <c r="C68" s="17"/>
      <c r="G68" s="16" t="s">
        <v>162</v>
      </c>
      <c r="H68" s="57"/>
      <c r="L68" s="18" t="s">
        <v>4</v>
      </c>
      <c r="M68" s="19">
        <v>44413</v>
      </c>
      <c r="N68" s="19"/>
    </row>
    <row r="69" spans="1:17" x14ac:dyDescent="0.25">
      <c r="A69" s="25"/>
      <c r="C69" s="26" t="s">
        <v>5</v>
      </c>
      <c r="D69" s="26" t="s">
        <v>6</v>
      </c>
      <c r="E69" s="26" t="s">
        <v>7</v>
      </c>
      <c r="F69" s="26" t="s">
        <v>8</v>
      </c>
      <c r="G69" s="24"/>
      <c r="H69" s="26" t="s">
        <v>163</v>
      </c>
      <c r="I69" s="27" t="s">
        <v>164</v>
      </c>
      <c r="J69" s="26" t="str">
        <f>IF(COUNTIF(J70:J81,"&gt;0")&lt;&gt;0,IF(COUNTIF(J70:J81,"&lt;0")&lt;&gt;0,"Gain / Loss", "Gain"),"Loss")</f>
        <v>Loss</v>
      </c>
      <c r="K69" s="26" t="str">
        <f>"% "&amp;IF(COUNTIF(K70:K81,"&gt;=0")&lt;&gt;0,IF(COUNTIF(K70:K81,"&lt;0")&lt;&gt;0,"Gain / Loss", "Gain"),"Loss")</f>
        <v>% Loss</v>
      </c>
      <c r="P69" t="s">
        <v>47</v>
      </c>
    </row>
    <row r="70" spans="1:17" x14ac:dyDescent="0.25">
      <c r="B70" s="29"/>
      <c r="C70" s="30" t="s">
        <v>166</v>
      </c>
      <c r="D70" s="1">
        <f>SUMIF(Download!B:B,Q70,Download!G:G)</f>
        <v>0</v>
      </c>
      <c r="E70" s="31">
        <f>SUMIF(Download!B:B,Q70,Download!H:H)</f>
        <v>0</v>
      </c>
      <c r="F70" s="2">
        <f t="shared" ref="F70:F81" si="12">D70*E70</f>
        <v>0</v>
      </c>
      <c r="G70" s="12"/>
      <c r="H70" s="1"/>
      <c r="I70" s="5">
        <f>H70*H68</f>
        <v>0</v>
      </c>
      <c r="J70" s="5">
        <f>(H68-E70)*H70</f>
        <v>0</v>
      </c>
      <c r="K70" s="58" t="e">
        <f>(H68/E70)-1</f>
        <v>#DIV/0!</v>
      </c>
      <c r="L70" s="50"/>
      <c r="O70" t="s">
        <v>167</v>
      </c>
      <c r="P70" t="str">
        <f>P69</f>
        <v>1658:HK</v>
      </c>
      <c r="Q70" t="str">
        <f t="shared" ref="Q70:Q81" si="13">O70&amp;P70</f>
        <v>CBSG1658:HK</v>
      </c>
    </row>
    <row r="71" spans="1:17" x14ac:dyDescent="0.25">
      <c r="B71" s="29"/>
      <c r="C71" s="30" t="s">
        <v>12</v>
      </c>
      <c r="D71" s="1">
        <f>SUMIF(Download!B:B,Q71,Download!G:G)</f>
        <v>0</v>
      </c>
      <c r="E71" s="31">
        <f>SUMIF(Download!B:B,Q71,Download!H:H)</f>
        <v>0</v>
      </c>
      <c r="F71" s="2">
        <f t="shared" si="12"/>
        <v>0</v>
      </c>
      <c r="G71" s="12"/>
      <c r="H71" s="1"/>
      <c r="I71" s="5">
        <f>H71*H68</f>
        <v>0</v>
      </c>
      <c r="J71" s="5">
        <f>(H68-E71)*H71</f>
        <v>0</v>
      </c>
      <c r="K71" s="58" t="e">
        <f>(H68/E71)-1</f>
        <v>#DIV/0!</v>
      </c>
      <c r="L71" s="50"/>
      <c r="O71" t="s">
        <v>13</v>
      </c>
      <c r="P71" t="str">
        <f>P70</f>
        <v>1658:HK</v>
      </c>
      <c r="Q71" t="str">
        <f t="shared" si="13"/>
        <v>CB21658:HK</v>
      </c>
    </row>
    <row r="72" spans="1:17" x14ac:dyDescent="0.25">
      <c r="B72" s="29"/>
      <c r="C72" s="30" t="s">
        <v>14</v>
      </c>
      <c r="D72" s="1">
        <f>SUMIF(Download!B:B,Q72,Download!G:G)</f>
        <v>0</v>
      </c>
      <c r="E72" s="31">
        <f>SUMIF(Download!B:B,Q72,Download!H:H)</f>
        <v>0</v>
      </c>
      <c r="F72" s="2">
        <f t="shared" si="12"/>
        <v>0</v>
      </c>
      <c r="G72" s="12"/>
      <c r="H72" s="1"/>
      <c r="I72" s="5">
        <f>H72*H68</f>
        <v>0</v>
      </c>
      <c r="J72" s="5">
        <f>(H68-E72)*H72</f>
        <v>0</v>
      </c>
      <c r="K72" s="58" t="e">
        <f>(H68/E72)-1</f>
        <v>#DIV/0!</v>
      </c>
      <c r="L72" s="50"/>
      <c r="O72" t="s">
        <v>15</v>
      </c>
      <c r="P72" t="str">
        <f>P71</f>
        <v>1658:HK</v>
      </c>
      <c r="Q72" t="str">
        <f t="shared" si="13"/>
        <v>CB31658:HK</v>
      </c>
    </row>
    <row r="73" spans="1:17" x14ac:dyDescent="0.25">
      <c r="B73" s="29"/>
      <c r="C73" s="30" t="s">
        <v>16</v>
      </c>
      <c r="D73" s="1">
        <f>SUMIF(Download!B:B,Q73,Download!G:G)</f>
        <v>0</v>
      </c>
      <c r="E73" s="31">
        <f>SUMIF(Download!B:B,Q73,Download!H:H)</f>
        <v>0</v>
      </c>
      <c r="F73" s="2">
        <f t="shared" si="12"/>
        <v>0</v>
      </c>
      <c r="G73" s="12"/>
      <c r="H73" s="1"/>
      <c r="I73" s="5">
        <f>H73*H68</f>
        <v>0</v>
      </c>
      <c r="J73" s="5">
        <f>(H68-E73)*H73</f>
        <v>0</v>
      </c>
      <c r="K73" s="58" t="e">
        <f>(H68/E73)-1</f>
        <v>#DIV/0!</v>
      </c>
      <c r="L73" s="50"/>
      <c r="O73" t="s">
        <v>17</v>
      </c>
      <c r="P73" t="str">
        <f>P71</f>
        <v>1658:HK</v>
      </c>
      <c r="Q73" t="str">
        <f t="shared" si="13"/>
        <v>CBBH1658:HK</v>
      </c>
    </row>
    <row r="74" spans="1:17" x14ac:dyDescent="0.25">
      <c r="B74" s="29"/>
      <c r="C74" s="30" t="s">
        <v>18</v>
      </c>
      <c r="D74" s="1">
        <f>SUMIF(Download!B:B,Q74,Download!G:G)</f>
        <v>0</v>
      </c>
      <c r="E74" s="31">
        <f>SUMIF(Download!B:B,Q74,Download!H:H)</f>
        <v>0</v>
      </c>
      <c r="F74" s="2">
        <f t="shared" si="12"/>
        <v>0</v>
      </c>
      <c r="G74" s="12"/>
      <c r="H74" s="1"/>
      <c r="I74" s="5">
        <f>H74*H68</f>
        <v>0</v>
      </c>
      <c r="J74" s="5">
        <f>(H68-E74)*H74</f>
        <v>0</v>
      </c>
      <c r="K74" s="58" t="e">
        <f>(H68/E74)-1</f>
        <v>#DIV/0!</v>
      </c>
      <c r="L74" s="50"/>
      <c r="O74" t="s">
        <v>19</v>
      </c>
      <c r="P74" t="str">
        <f t="shared" ref="P74:P81" si="14">P73</f>
        <v>1658:HK</v>
      </c>
      <c r="Q74" t="str">
        <f t="shared" si="13"/>
        <v>BOS1658:HK</v>
      </c>
    </row>
    <row r="75" spans="1:17" x14ac:dyDescent="0.25">
      <c r="B75" s="29"/>
      <c r="C75" s="30" t="s">
        <v>20</v>
      </c>
      <c r="D75" s="1">
        <f>SUMIF(Download!B:B,Q75,Download!G:G)</f>
        <v>0</v>
      </c>
      <c r="E75" s="31">
        <f>SUMIF(Download!B:B,Q75,Download!H:H)</f>
        <v>0</v>
      </c>
      <c r="F75" s="2">
        <f t="shared" si="12"/>
        <v>0</v>
      </c>
      <c r="G75" s="12"/>
      <c r="H75" s="1"/>
      <c r="I75" s="5">
        <f>H75*H68</f>
        <v>0</v>
      </c>
      <c r="J75" s="5">
        <f>(H68-E75)*H75</f>
        <v>0</v>
      </c>
      <c r="K75" s="58" t="e">
        <f>(H68/E75)-1</f>
        <v>#DIV/0!</v>
      </c>
      <c r="L75" s="50"/>
      <c r="O75" t="s">
        <v>21</v>
      </c>
      <c r="P75" t="str">
        <f t="shared" si="14"/>
        <v>1658:HK</v>
      </c>
      <c r="Q75" t="str">
        <f t="shared" si="13"/>
        <v>DBPe1658:HK</v>
      </c>
    </row>
    <row r="76" spans="1:17" x14ac:dyDescent="0.25">
      <c r="B76" s="29"/>
      <c r="C76" s="30" t="s">
        <v>22</v>
      </c>
      <c r="D76" s="1">
        <f>SUMIF(Download!B:B,Q76,Download!G:G)</f>
        <v>0</v>
      </c>
      <c r="E76" s="31">
        <f>SUMIF(Download!B:B,Q76,Download!H:H)</f>
        <v>0</v>
      </c>
      <c r="F76" s="2">
        <f t="shared" si="12"/>
        <v>0</v>
      </c>
      <c r="G76" s="12"/>
      <c r="H76" s="1"/>
      <c r="I76" s="5">
        <f>H76*H68</f>
        <v>0</v>
      </c>
      <c r="J76" s="5">
        <f>(H68-E76)*H76</f>
        <v>0</v>
      </c>
      <c r="K76" s="58" t="e">
        <f>(H68/E76)-1</f>
        <v>#DIV/0!</v>
      </c>
      <c r="L76" s="50"/>
      <c r="O76" t="s">
        <v>23</v>
      </c>
      <c r="P76" t="str">
        <f t="shared" si="14"/>
        <v>1658:HK</v>
      </c>
      <c r="Q76" t="str">
        <f t="shared" si="13"/>
        <v>DBPL1658:HK</v>
      </c>
    </row>
    <row r="77" spans="1:17" x14ac:dyDescent="0.25">
      <c r="B77" s="29"/>
      <c r="C77" s="30" t="s">
        <v>24</v>
      </c>
      <c r="D77" s="1">
        <f>SUMIF(Download!B:B,Q77,Download!G:G)</f>
        <v>0</v>
      </c>
      <c r="E77" s="31">
        <f>SUMIF(Download!B:B,Q77,Download!H:H)</f>
        <v>0</v>
      </c>
      <c r="F77" s="2">
        <f t="shared" si="12"/>
        <v>0</v>
      </c>
      <c r="G77" s="12"/>
      <c r="H77" s="1"/>
      <c r="I77" s="5">
        <f>H77*H68</f>
        <v>0</v>
      </c>
      <c r="J77" s="5">
        <f>(H68-E77)*H77</f>
        <v>0</v>
      </c>
      <c r="K77" s="58" t="e">
        <f>(H68/E77)-1</f>
        <v>#DIV/0!</v>
      </c>
      <c r="L77" s="50"/>
      <c r="O77" t="s">
        <v>25</v>
      </c>
      <c r="P77" t="str">
        <f t="shared" si="14"/>
        <v>1658:HK</v>
      </c>
      <c r="Q77" t="str">
        <f t="shared" si="13"/>
        <v>SC1658:HK</v>
      </c>
    </row>
    <row r="78" spans="1:17" x14ac:dyDescent="0.25">
      <c r="B78" s="29"/>
      <c r="C78" s="30" t="s">
        <v>26</v>
      </c>
      <c r="D78" s="1">
        <f>SUMIF(Download!B:B,Q78,Download!G:G)</f>
        <v>0</v>
      </c>
      <c r="E78" s="31">
        <f>SUMIF(Download!B:B,Q78,Download!H:H)</f>
        <v>0</v>
      </c>
      <c r="F78" s="2">
        <f t="shared" si="12"/>
        <v>0</v>
      </c>
      <c r="G78" s="12"/>
      <c r="H78" s="1"/>
      <c r="I78" s="5">
        <f>H78*H68</f>
        <v>0</v>
      </c>
      <c r="J78" s="5">
        <f>(H68-E78)*H78</f>
        <v>0</v>
      </c>
      <c r="K78" s="58" t="e">
        <f>(H68/E78)-1</f>
        <v>#DIV/0!</v>
      </c>
      <c r="L78" s="50"/>
      <c r="O78" t="s">
        <v>27</v>
      </c>
      <c r="P78" t="str">
        <f t="shared" si="14"/>
        <v>1658:HK</v>
      </c>
      <c r="Q78" t="str">
        <f t="shared" si="13"/>
        <v>SHK1658:HK</v>
      </c>
    </row>
    <row r="79" spans="1:17" x14ac:dyDescent="0.25">
      <c r="B79" s="29"/>
      <c r="C79" s="30" t="s">
        <v>28</v>
      </c>
      <c r="D79" s="1">
        <f>SUMIF(Download!B:B,Q79,Download!G:G)</f>
        <v>0</v>
      </c>
      <c r="E79" s="31">
        <f>SUMIF(Download!B:B,Q79,Download!H:H)</f>
        <v>0</v>
      </c>
      <c r="F79" s="2">
        <f t="shared" si="12"/>
        <v>0</v>
      </c>
      <c r="G79" s="12"/>
      <c r="H79" s="1"/>
      <c r="I79" s="5">
        <f>H79*H68</f>
        <v>0</v>
      </c>
      <c r="J79" s="5">
        <f>(H68-E79)*H79</f>
        <v>0</v>
      </c>
      <c r="K79" s="58" t="e">
        <f>(H68/E79)-1</f>
        <v>#DIV/0!</v>
      </c>
      <c r="L79" s="13"/>
      <c r="O79" t="s">
        <v>29</v>
      </c>
      <c r="P79" t="str">
        <f t="shared" si="14"/>
        <v>1658:HK</v>
      </c>
      <c r="Q79" t="str">
        <f t="shared" si="13"/>
        <v>MST11658:HK</v>
      </c>
    </row>
    <row r="80" spans="1:17" x14ac:dyDescent="0.25">
      <c r="B80" s="29"/>
      <c r="C80" s="30" t="s">
        <v>30</v>
      </c>
      <c r="D80" s="1">
        <f>SUMIF(Download!B:B,Q80,Download!G:G)</f>
        <v>0</v>
      </c>
      <c r="E80" s="31">
        <f>SUMIF(Download!B:B,Q80,Download!H:H)</f>
        <v>0</v>
      </c>
      <c r="F80" s="2">
        <f t="shared" si="12"/>
        <v>0</v>
      </c>
      <c r="G80" s="12"/>
      <c r="H80" s="1"/>
      <c r="I80" s="5">
        <f>H80*H68</f>
        <v>0</v>
      </c>
      <c r="J80" s="5">
        <f>(H68-E80)*H80</f>
        <v>0</v>
      </c>
      <c r="K80" s="58" t="e">
        <f>(H68/E80)-1</f>
        <v>#DIV/0!</v>
      </c>
      <c r="L80" s="13"/>
      <c r="O80" t="s">
        <v>32</v>
      </c>
      <c r="P80" t="str">
        <f t="shared" si="14"/>
        <v>1658:HK</v>
      </c>
      <c r="Q80" t="str">
        <f t="shared" si="13"/>
        <v>MST21658:HK</v>
      </c>
    </row>
    <row r="81" spans="1:17" x14ac:dyDescent="0.25">
      <c r="B81" s="29"/>
      <c r="C81" s="30" t="s">
        <v>33</v>
      </c>
      <c r="D81" s="1">
        <f>SUMIF(Download!B:B,Q81,Download!G:G)</f>
        <v>0</v>
      </c>
      <c r="E81" s="31">
        <f>SUMIF(Download!B:B,Q81,Download!H:H)</f>
        <v>0</v>
      </c>
      <c r="F81" s="2">
        <f t="shared" si="12"/>
        <v>0</v>
      </c>
      <c r="G81" s="12"/>
      <c r="H81" s="1"/>
      <c r="I81" s="5">
        <f>H81*H68</f>
        <v>0</v>
      </c>
      <c r="J81" s="5">
        <f>(H68-E81)*H81</f>
        <v>0</v>
      </c>
      <c r="K81" s="58" t="e">
        <f>(H68/E81)-1</f>
        <v>#DIV/0!</v>
      </c>
      <c r="L81" s="13"/>
      <c r="O81" t="s">
        <v>34</v>
      </c>
      <c r="P81" t="str">
        <f t="shared" si="14"/>
        <v>1658:HK</v>
      </c>
      <c r="Q81" t="str">
        <f t="shared" si="13"/>
        <v>MSPL1658:HK</v>
      </c>
    </row>
    <row r="82" spans="1:17" x14ac:dyDescent="0.25">
      <c r="B82" s="29"/>
      <c r="C82" s="32"/>
      <c r="D82" s="11"/>
      <c r="E82" s="33"/>
      <c r="F82" s="12"/>
      <c r="G82" s="12"/>
      <c r="H82" s="12"/>
      <c r="I82" s="12"/>
      <c r="J82" s="12"/>
      <c r="K82" s="12"/>
      <c r="L82" s="12"/>
    </row>
    <row r="83" spans="1:17" ht="15.75" customHeight="1" thickBot="1" x14ac:dyDescent="0.3">
      <c r="C83" s="34" t="s">
        <v>35</v>
      </c>
      <c r="D83" s="10">
        <f>SUM(D64:D82)</f>
        <v>0</v>
      </c>
      <c r="E83" s="35" t="e">
        <f>F83/D83</f>
        <v>#DIV/0!</v>
      </c>
      <c r="F83" s="4">
        <f>SUM(F64:F82)</f>
        <v>0</v>
      </c>
      <c r="G83" s="14"/>
      <c r="H83" s="14"/>
      <c r="I83" s="14"/>
      <c r="J83" s="14"/>
      <c r="K83" s="14"/>
      <c r="L83" s="14"/>
    </row>
    <row r="84" spans="1:17" ht="15.75" customHeight="1" thickTop="1" x14ac:dyDescent="0.25"/>
    <row r="85" spans="1:17" x14ac:dyDescent="0.25">
      <c r="L85" s="18" t="s">
        <v>1</v>
      </c>
      <c r="M85" s="19">
        <v>44384</v>
      </c>
      <c r="N85" s="19"/>
    </row>
    <row r="86" spans="1:17" x14ac:dyDescent="0.25">
      <c r="L86" s="18" t="s">
        <v>2</v>
      </c>
      <c r="M86" s="20" t="s">
        <v>48</v>
      </c>
      <c r="N86" s="20"/>
    </row>
    <row r="87" spans="1:17" ht="18.75" customHeight="1" x14ac:dyDescent="0.3">
      <c r="A87" s="22">
        <v>5</v>
      </c>
      <c r="B87" s="17" t="str">
        <f>INDEX(Stocks!A:B,MATCH(P88,Stocks!A:A,),2)&amp;" ("&amp;P88&amp;")"</f>
        <v>China Construction Bank (939:HK)</v>
      </c>
      <c r="C87" s="17"/>
      <c r="G87" s="16" t="s">
        <v>162</v>
      </c>
      <c r="H87" s="57"/>
      <c r="L87" s="18" t="s">
        <v>4</v>
      </c>
      <c r="M87" s="19">
        <v>44413</v>
      </c>
      <c r="N87" s="19"/>
    </row>
    <row r="88" spans="1:17" x14ac:dyDescent="0.25">
      <c r="A88" s="25"/>
      <c r="C88" s="26" t="s">
        <v>5</v>
      </c>
      <c r="D88" s="26" t="s">
        <v>6</v>
      </c>
      <c r="E88" s="26" t="s">
        <v>7</v>
      </c>
      <c r="F88" s="26" t="s">
        <v>8</v>
      </c>
      <c r="G88" s="24"/>
      <c r="H88" s="26" t="s">
        <v>163</v>
      </c>
      <c r="I88" s="27" t="s">
        <v>164</v>
      </c>
      <c r="J88" s="26" t="str">
        <f>IF(COUNTIF(J89:J100,"&gt;0")&lt;&gt;0,IF(COUNTIF(J89:J100,"&lt;0")&lt;&gt;0,"Gain / Loss", "Gain"),"Loss")</f>
        <v>Loss</v>
      </c>
      <c r="K88" s="26" t="str">
        <f>"% "&amp;IF(COUNTIF(K89:K100,"&gt;=0")&lt;&gt;0,IF(COUNTIF(K89:K100,"&lt;0")&lt;&gt;0,"Gain / Loss", "Gain"),"Loss")</f>
        <v>% Loss</v>
      </c>
      <c r="L88" s="24"/>
      <c r="P88" t="s">
        <v>49</v>
      </c>
    </row>
    <row r="89" spans="1:17" x14ac:dyDescent="0.25">
      <c r="B89" s="29"/>
      <c r="C89" s="30" t="s">
        <v>166</v>
      </c>
      <c r="D89" s="1">
        <f>SUMIF(Download!B:B,Q89,Download!G:G)</f>
        <v>0</v>
      </c>
      <c r="E89" s="31">
        <f>SUMIF(Download!B:B,Q89,Download!H:H)</f>
        <v>0</v>
      </c>
      <c r="F89" s="2">
        <f t="shared" ref="F89:F100" si="15">D89*E89</f>
        <v>0</v>
      </c>
      <c r="G89" s="12"/>
      <c r="H89" s="1"/>
      <c r="I89" s="5">
        <f>H89*H87</f>
        <v>0</v>
      </c>
      <c r="J89" s="5">
        <f>(H87-E89)*H89</f>
        <v>0</v>
      </c>
      <c r="K89" s="58" t="e">
        <f>(H87/E89)-1</f>
        <v>#DIV/0!</v>
      </c>
      <c r="L89" s="13"/>
      <c r="O89" t="s">
        <v>167</v>
      </c>
      <c r="P89" t="str">
        <f>P88</f>
        <v>939:HK</v>
      </c>
      <c r="Q89" t="str">
        <f t="shared" ref="Q89:Q100" si="16">O89&amp;P89</f>
        <v>CBSG939:HK</v>
      </c>
    </row>
    <row r="90" spans="1:17" x14ac:dyDescent="0.25">
      <c r="B90" s="29"/>
      <c r="C90" s="30" t="s">
        <v>12</v>
      </c>
      <c r="D90" s="1">
        <f>SUMIF(Download!B:B,Q90,Download!G:G)</f>
        <v>0</v>
      </c>
      <c r="E90" s="31">
        <f>SUMIF(Download!B:B,Q90,Download!H:H)</f>
        <v>0</v>
      </c>
      <c r="F90" s="2">
        <f t="shared" si="15"/>
        <v>0</v>
      </c>
      <c r="G90" s="12"/>
      <c r="H90" s="1"/>
      <c r="I90" s="5">
        <f>H90*H87</f>
        <v>0</v>
      </c>
      <c r="J90" s="5">
        <f>(H87-E90)*H90</f>
        <v>0</v>
      </c>
      <c r="K90" s="58" t="e">
        <f>(H87/E90)-1</f>
        <v>#DIV/0!</v>
      </c>
      <c r="L90" s="13"/>
      <c r="O90" t="s">
        <v>13</v>
      </c>
      <c r="P90" t="str">
        <f>P88</f>
        <v>939:HK</v>
      </c>
      <c r="Q90" t="str">
        <f t="shared" si="16"/>
        <v>CB2939:HK</v>
      </c>
    </row>
    <row r="91" spans="1:17" x14ac:dyDescent="0.25">
      <c r="B91" s="29"/>
      <c r="C91" s="30" t="s">
        <v>14</v>
      </c>
      <c r="D91" s="1">
        <f>SUMIF(Download!B:B,Q91,Download!G:G)</f>
        <v>0</v>
      </c>
      <c r="E91" s="31">
        <f>SUMIF(Download!B:B,Q91,Download!H:H)</f>
        <v>0</v>
      </c>
      <c r="F91" s="2">
        <f t="shared" si="15"/>
        <v>0</v>
      </c>
      <c r="G91" s="12"/>
      <c r="H91" s="1"/>
      <c r="I91" s="5">
        <f>H91*H87</f>
        <v>0</v>
      </c>
      <c r="J91" s="5">
        <f>(H87-E91)*H91</f>
        <v>0</v>
      </c>
      <c r="K91" s="58" t="e">
        <f>(H87/E91)-1</f>
        <v>#DIV/0!</v>
      </c>
      <c r="L91" s="13"/>
      <c r="O91" t="s">
        <v>15</v>
      </c>
      <c r="P91" t="str">
        <f>P89</f>
        <v>939:HK</v>
      </c>
      <c r="Q91" t="str">
        <f t="shared" si="16"/>
        <v>CB3939:HK</v>
      </c>
    </row>
    <row r="92" spans="1:17" x14ac:dyDescent="0.25">
      <c r="B92" s="29"/>
      <c r="C92" s="30" t="s">
        <v>16</v>
      </c>
      <c r="D92" s="1">
        <f>SUMIF(Download!B:B,Q92,Download!G:G)</f>
        <v>0</v>
      </c>
      <c r="E92" s="31">
        <f>SUMIF(Download!B:B,Q92,Download!H:H)</f>
        <v>0</v>
      </c>
      <c r="F92" s="2">
        <f t="shared" si="15"/>
        <v>0</v>
      </c>
      <c r="G92" s="12"/>
      <c r="H92" s="1"/>
      <c r="I92" s="5">
        <f>H92*H87</f>
        <v>0</v>
      </c>
      <c r="J92" s="5">
        <f>(H87-E92)*H92</f>
        <v>0</v>
      </c>
      <c r="K92" s="58" t="e">
        <f>(H87/E92)-1</f>
        <v>#DIV/0!</v>
      </c>
      <c r="L92" s="13"/>
      <c r="O92" t="s">
        <v>17</v>
      </c>
      <c r="P92" t="str">
        <f t="shared" ref="P92:P100" si="17">P91</f>
        <v>939:HK</v>
      </c>
      <c r="Q92" t="str">
        <f t="shared" si="16"/>
        <v>CBBH939:HK</v>
      </c>
    </row>
    <row r="93" spans="1:17" x14ac:dyDescent="0.25">
      <c r="B93" s="29"/>
      <c r="C93" s="30" t="s">
        <v>18</v>
      </c>
      <c r="D93" s="1">
        <f>SUMIF(Download!B:B,Q93,Download!G:G)</f>
        <v>0</v>
      </c>
      <c r="E93" s="31">
        <f>SUMIF(Download!B:B,Q93,Download!H:H)</f>
        <v>0</v>
      </c>
      <c r="F93" s="2">
        <f t="shared" si="15"/>
        <v>0</v>
      </c>
      <c r="G93" s="12"/>
      <c r="H93" s="1"/>
      <c r="I93" s="5">
        <f>H93*H87</f>
        <v>0</v>
      </c>
      <c r="J93" s="5">
        <f>(H87-E93)*H93</f>
        <v>0</v>
      </c>
      <c r="K93" s="58" t="e">
        <f>(H87/E93)-1</f>
        <v>#DIV/0!</v>
      </c>
      <c r="L93" s="13"/>
      <c r="O93" t="s">
        <v>19</v>
      </c>
      <c r="P93" t="str">
        <f t="shared" si="17"/>
        <v>939:HK</v>
      </c>
      <c r="Q93" t="str">
        <f t="shared" si="16"/>
        <v>BOS939:HK</v>
      </c>
    </row>
    <row r="94" spans="1:17" x14ac:dyDescent="0.25">
      <c r="B94" s="29"/>
      <c r="C94" s="30" t="s">
        <v>20</v>
      </c>
      <c r="D94" s="1">
        <f>SUMIF(Download!B:B,Q94,Download!G:G)</f>
        <v>0</v>
      </c>
      <c r="E94" s="31">
        <f>SUMIF(Download!B:B,Q94,Download!H:H)</f>
        <v>0</v>
      </c>
      <c r="F94" s="2">
        <f t="shared" si="15"/>
        <v>0</v>
      </c>
      <c r="G94" s="12"/>
      <c r="H94" s="1"/>
      <c r="I94" s="5">
        <f>H94*H87</f>
        <v>0</v>
      </c>
      <c r="J94" s="5">
        <f>(H87-E94)*H94</f>
        <v>0</v>
      </c>
      <c r="K94" s="58" t="e">
        <f>(H87/E94)-1</f>
        <v>#DIV/0!</v>
      </c>
      <c r="L94" s="13"/>
      <c r="O94" t="s">
        <v>21</v>
      </c>
      <c r="P94" t="str">
        <f t="shared" si="17"/>
        <v>939:HK</v>
      </c>
      <c r="Q94" t="str">
        <f t="shared" si="16"/>
        <v>DBPe939:HK</v>
      </c>
    </row>
    <row r="95" spans="1:17" x14ac:dyDescent="0.25">
      <c r="B95" s="29"/>
      <c r="C95" s="30" t="s">
        <v>22</v>
      </c>
      <c r="D95" s="1">
        <f>SUMIF(Download!B:B,Q95,Download!G:G)</f>
        <v>0</v>
      </c>
      <c r="E95" s="31">
        <f>SUMIF(Download!B:B,Q95,Download!H:H)</f>
        <v>0</v>
      </c>
      <c r="F95" s="2">
        <f t="shared" si="15"/>
        <v>0</v>
      </c>
      <c r="G95" s="12"/>
      <c r="H95" s="1"/>
      <c r="I95" s="5">
        <f>H95*H87</f>
        <v>0</v>
      </c>
      <c r="J95" s="5">
        <f>(H87-E95)*H95</f>
        <v>0</v>
      </c>
      <c r="K95" s="58" t="e">
        <f>(H87/E95)-1</f>
        <v>#DIV/0!</v>
      </c>
      <c r="L95" s="13"/>
      <c r="O95" t="s">
        <v>23</v>
      </c>
      <c r="P95" t="str">
        <f t="shared" si="17"/>
        <v>939:HK</v>
      </c>
      <c r="Q95" t="str">
        <f t="shared" si="16"/>
        <v>DBPL939:HK</v>
      </c>
    </row>
    <row r="96" spans="1:17" x14ac:dyDescent="0.25">
      <c r="B96" s="29"/>
      <c r="C96" s="30" t="s">
        <v>24</v>
      </c>
      <c r="D96" s="1">
        <f>SUMIF(Download!B:B,Q96,Download!G:G)</f>
        <v>0</v>
      </c>
      <c r="E96" s="31">
        <f>SUMIF(Download!B:B,Q96,Download!H:H)</f>
        <v>0</v>
      </c>
      <c r="F96" s="2">
        <f t="shared" si="15"/>
        <v>0</v>
      </c>
      <c r="G96" s="12"/>
      <c r="H96" s="1"/>
      <c r="I96" s="5">
        <f>H96*H87</f>
        <v>0</v>
      </c>
      <c r="J96" s="5">
        <f>(H87-E96)*H96</f>
        <v>0</v>
      </c>
      <c r="K96" s="58" t="e">
        <f>(H87/E96)-1</f>
        <v>#DIV/0!</v>
      </c>
      <c r="L96" s="13"/>
      <c r="O96" t="s">
        <v>25</v>
      </c>
      <c r="P96" t="str">
        <f t="shared" si="17"/>
        <v>939:HK</v>
      </c>
      <c r="Q96" t="str">
        <f t="shared" si="16"/>
        <v>SC939:HK</v>
      </c>
    </row>
    <row r="97" spans="1:17" x14ac:dyDescent="0.25">
      <c r="B97" s="29"/>
      <c r="C97" s="30" t="s">
        <v>26</v>
      </c>
      <c r="D97" s="1">
        <f>SUMIF(Download!B:B,Q97,Download!G:G)</f>
        <v>0</v>
      </c>
      <c r="E97" s="31">
        <f>SUMIF(Download!B:B,Q97,Download!H:H)</f>
        <v>0</v>
      </c>
      <c r="F97" s="2">
        <f t="shared" si="15"/>
        <v>0</v>
      </c>
      <c r="G97" s="12"/>
      <c r="H97" s="1"/>
      <c r="I97" s="5">
        <f>H97*H87</f>
        <v>0</v>
      </c>
      <c r="J97" s="5">
        <f>(H87-E97)*H97</f>
        <v>0</v>
      </c>
      <c r="K97" s="58" t="e">
        <f>(H87/E97)-1</f>
        <v>#DIV/0!</v>
      </c>
      <c r="L97" s="13"/>
      <c r="O97" t="s">
        <v>27</v>
      </c>
      <c r="P97" t="str">
        <f t="shared" si="17"/>
        <v>939:HK</v>
      </c>
      <c r="Q97" t="str">
        <f t="shared" si="16"/>
        <v>SHK939:HK</v>
      </c>
    </row>
    <row r="98" spans="1:17" x14ac:dyDescent="0.25">
      <c r="B98" s="29"/>
      <c r="C98" s="30" t="s">
        <v>28</v>
      </c>
      <c r="D98" s="1">
        <f>SUMIF(Download!B:B,Q98,Download!G:G)</f>
        <v>0</v>
      </c>
      <c r="E98" s="31">
        <f>SUMIF(Download!B:B,Q98,Download!H:H)</f>
        <v>0</v>
      </c>
      <c r="F98" s="2">
        <f t="shared" si="15"/>
        <v>0</v>
      </c>
      <c r="G98" s="12"/>
      <c r="H98" s="1"/>
      <c r="I98" s="5">
        <f>H98*H87</f>
        <v>0</v>
      </c>
      <c r="J98" s="5">
        <f>(H87-E98)*H98</f>
        <v>0</v>
      </c>
      <c r="K98" s="58" t="e">
        <f>(H87/E98)-1</f>
        <v>#DIV/0!</v>
      </c>
      <c r="L98" s="13"/>
      <c r="O98" t="s">
        <v>29</v>
      </c>
      <c r="P98" t="str">
        <f t="shared" si="17"/>
        <v>939:HK</v>
      </c>
      <c r="Q98" t="str">
        <f t="shared" si="16"/>
        <v>MST1939:HK</v>
      </c>
    </row>
    <row r="99" spans="1:17" x14ac:dyDescent="0.25">
      <c r="B99" s="29"/>
      <c r="C99" s="30" t="s">
        <v>30</v>
      </c>
      <c r="D99" s="1">
        <f>SUMIF(Download!B:B,Q99,Download!G:G)</f>
        <v>0</v>
      </c>
      <c r="E99" s="31">
        <f>SUMIF(Download!B:B,Q99,Download!H:H)</f>
        <v>0</v>
      </c>
      <c r="F99" s="2">
        <f t="shared" si="15"/>
        <v>0</v>
      </c>
      <c r="G99" s="12"/>
      <c r="H99" s="1"/>
      <c r="I99" s="5">
        <f>H99*H87</f>
        <v>0</v>
      </c>
      <c r="J99" s="5">
        <f>(H87-E99)*H99</f>
        <v>0</v>
      </c>
      <c r="K99" s="58" t="e">
        <f>(H87/E99)-1</f>
        <v>#DIV/0!</v>
      </c>
      <c r="L99" s="13"/>
      <c r="O99" t="s">
        <v>32</v>
      </c>
      <c r="P99" t="str">
        <f t="shared" si="17"/>
        <v>939:HK</v>
      </c>
      <c r="Q99" t="str">
        <f t="shared" si="16"/>
        <v>MST2939:HK</v>
      </c>
    </row>
    <row r="100" spans="1:17" x14ac:dyDescent="0.25">
      <c r="B100" s="29"/>
      <c r="C100" s="30" t="s">
        <v>33</v>
      </c>
      <c r="D100" s="1">
        <f>SUMIF(Download!B:B,Q100,Download!G:G)</f>
        <v>0</v>
      </c>
      <c r="E100" s="31">
        <f>SUMIF(Download!B:B,Q100,Download!H:H)</f>
        <v>0</v>
      </c>
      <c r="F100" s="2">
        <f t="shared" si="15"/>
        <v>0</v>
      </c>
      <c r="G100" s="12"/>
      <c r="H100" s="1"/>
      <c r="I100" s="5">
        <f>H100*H87</f>
        <v>0</v>
      </c>
      <c r="J100" s="5">
        <f>(H87-E100)*H100</f>
        <v>0</v>
      </c>
      <c r="K100" s="58" t="e">
        <f>(H87/E100)-1</f>
        <v>#DIV/0!</v>
      </c>
      <c r="L100" s="13"/>
      <c r="O100" t="s">
        <v>34</v>
      </c>
      <c r="P100" t="str">
        <f t="shared" si="17"/>
        <v>939:HK</v>
      </c>
      <c r="Q100" t="str">
        <f t="shared" si="16"/>
        <v>MSPL939:HK</v>
      </c>
    </row>
    <row r="101" spans="1:17" x14ac:dyDescent="0.25">
      <c r="B101" s="29"/>
      <c r="C101" s="32"/>
      <c r="D101" s="11"/>
      <c r="E101" s="33"/>
      <c r="F101" s="12"/>
      <c r="G101" s="12"/>
      <c r="H101" s="12"/>
      <c r="I101" s="12"/>
      <c r="J101" s="12"/>
      <c r="K101" s="12"/>
      <c r="L101" s="12"/>
    </row>
    <row r="102" spans="1:17" ht="15.75" customHeight="1" thickBot="1" x14ac:dyDescent="0.3">
      <c r="C102" s="34" t="s">
        <v>35</v>
      </c>
      <c r="D102" s="10">
        <f>SUM(D88:D101)</f>
        <v>0</v>
      </c>
      <c r="E102" s="35" t="e">
        <f>F102/D102</f>
        <v>#DIV/0!</v>
      </c>
      <c r="F102" s="4">
        <f>SUM(F88:F101)</f>
        <v>0</v>
      </c>
      <c r="G102" s="14"/>
      <c r="H102" s="14"/>
      <c r="I102" s="14"/>
      <c r="J102" s="14"/>
      <c r="K102" s="14"/>
      <c r="L102" s="14"/>
    </row>
    <row r="103" spans="1:17" ht="15.75" customHeight="1" thickTop="1" x14ac:dyDescent="0.25"/>
    <row r="104" spans="1:17" x14ac:dyDescent="0.25">
      <c r="L104" s="18" t="s">
        <v>1</v>
      </c>
      <c r="M104" s="19">
        <v>44382</v>
      </c>
      <c r="N104" s="19"/>
    </row>
    <row r="105" spans="1:17" x14ac:dyDescent="0.25">
      <c r="L105" s="18" t="s">
        <v>2</v>
      </c>
      <c r="M105" s="20" t="s">
        <v>50</v>
      </c>
      <c r="N105" s="20"/>
    </row>
    <row r="106" spans="1:17" ht="18.75" customHeight="1" x14ac:dyDescent="0.3">
      <c r="A106" s="22">
        <v>6</v>
      </c>
      <c r="B106" s="17" t="str">
        <f>INDEX(Stocks!A:B,MATCH(P107,Stocks!A:A,),2)&amp;" ("&amp;P107&amp;")"</f>
        <v>China Merchant (3968:HK)</v>
      </c>
      <c r="C106" s="17"/>
      <c r="G106" s="16" t="s">
        <v>162</v>
      </c>
      <c r="H106" s="57"/>
      <c r="L106" s="18" t="s">
        <v>4</v>
      </c>
      <c r="M106" s="19">
        <v>44414</v>
      </c>
      <c r="N106" s="19"/>
    </row>
    <row r="107" spans="1:17" x14ac:dyDescent="0.25">
      <c r="A107" s="25"/>
      <c r="C107" s="26" t="s">
        <v>5</v>
      </c>
      <c r="D107" s="26" t="s">
        <v>6</v>
      </c>
      <c r="E107" s="26" t="s">
        <v>7</v>
      </c>
      <c r="F107" s="26" t="s">
        <v>8</v>
      </c>
      <c r="G107" s="24"/>
      <c r="H107" s="26" t="s">
        <v>163</v>
      </c>
      <c r="I107" s="27" t="s">
        <v>164</v>
      </c>
      <c r="J107" s="26" t="str">
        <f>IF(COUNTIF(J108:J119,"&gt;0")&lt;&gt;0,IF(COUNTIF(J108:J119,"&lt;0")&lt;&gt;0,"Gain / Loss", "Gain"),"Loss")</f>
        <v>Loss</v>
      </c>
      <c r="K107" s="26" t="str">
        <f>"% "&amp;IF(COUNTIF(K108:K119,"&gt;=0")&lt;&gt;0,IF(COUNTIF(K108:K119,"&lt;0")&lt;&gt;0,"Gain / Loss", "Gain"),"Loss")</f>
        <v>% Loss</v>
      </c>
      <c r="L107" s="24"/>
      <c r="P107" t="s">
        <v>51</v>
      </c>
    </row>
    <row r="108" spans="1:17" x14ac:dyDescent="0.25">
      <c r="B108" s="29"/>
      <c r="C108" s="30" t="s">
        <v>166</v>
      </c>
      <c r="D108" s="1">
        <f>SUMIF(Download!B:B,Q108,Download!G:G)</f>
        <v>0</v>
      </c>
      <c r="E108" s="31">
        <f>SUMIF(Download!B:B,Q108,Download!H:H)</f>
        <v>0</v>
      </c>
      <c r="F108" s="2">
        <f t="shared" ref="F108:F119" si="18">D108*E108</f>
        <v>0</v>
      </c>
      <c r="G108" s="12"/>
      <c r="H108" s="1"/>
      <c r="I108" s="5">
        <f>H108*H106</f>
        <v>0</v>
      </c>
      <c r="J108" s="5">
        <f>(H106-E108)*H108</f>
        <v>0</v>
      </c>
      <c r="K108" s="58" t="e">
        <f>(H106/E108)-1</f>
        <v>#DIV/0!</v>
      </c>
      <c r="L108" s="13"/>
      <c r="O108" t="s">
        <v>167</v>
      </c>
      <c r="P108" t="str">
        <f>P107</f>
        <v>3968:HK</v>
      </c>
      <c r="Q108" t="str">
        <f t="shared" ref="Q108:Q119" si="19">O108&amp;P108</f>
        <v>CBSG3968:HK</v>
      </c>
    </row>
    <row r="109" spans="1:17" x14ac:dyDescent="0.25">
      <c r="B109" s="29"/>
      <c r="C109" s="30" t="s">
        <v>12</v>
      </c>
      <c r="D109" s="1">
        <f>SUMIF(Download!B:B,Q109,Download!G:G)</f>
        <v>0</v>
      </c>
      <c r="E109" s="31">
        <f>SUMIF(Download!B:B,Q109,Download!H:H)</f>
        <v>0</v>
      </c>
      <c r="F109" s="2">
        <f t="shared" si="18"/>
        <v>0</v>
      </c>
      <c r="G109" s="12"/>
      <c r="H109" s="1"/>
      <c r="I109" s="5">
        <f>H109*H106</f>
        <v>0</v>
      </c>
      <c r="J109" s="5">
        <f>(H106-E109)*H109</f>
        <v>0</v>
      </c>
      <c r="K109" s="58" t="e">
        <f>(H106/E109)-1</f>
        <v>#DIV/0!</v>
      </c>
      <c r="L109" s="13"/>
      <c r="O109" t="s">
        <v>13</v>
      </c>
      <c r="P109" t="str">
        <f>P107</f>
        <v>3968:HK</v>
      </c>
      <c r="Q109" t="str">
        <f t="shared" si="19"/>
        <v>CB23968:HK</v>
      </c>
    </row>
    <row r="110" spans="1:17" x14ac:dyDescent="0.25">
      <c r="B110" s="29"/>
      <c r="C110" s="30" t="s">
        <v>14</v>
      </c>
      <c r="D110" s="1">
        <f>SUMIF(Download!B:B,Q110,Download!G:G)</f>
        <v>0</v>
      </c>
      <c r="E110" s="31">
        <f>SUMIF(Download!B:B,Q110,Download!H:H)</f>
        <v>0</v>
      </c>
      <c r="F110" s="2">
        <f t="shared" si="18"/>
        <v>0</v>
      </c>
      <c r="G110" s="12"/>
      <c r="H110" s="1"/>
      <c r="I110" s="5">
        <f>H110*H106</f>
        <v>0</v>
      </c>
      <c r="J110" s="5">
        <f>(H106-E110)*H110</f>
        <v>0</v>
      </c>
      <c r="K110" s="58" t="e">
        <f>(H106/E110)-1</f>
        <v>#DIV/0!</v>
      </c>
      <c r="L110" s="13"/>
      <c r="O110" t="s">
        <v>15</v>
      </c>
      <c r="P110" t="str">
        <f>P108</f>
        <v>3968:HK</v>
      </c>
      <c r="Q110" t="str">
        <f t="shared" si="19"/>
        <v>CB33968:HK</v>
      </c>
    </row>
    <row r="111" spans="1:17" x14ac:dyDescent="0.25">
      <c r="B111" s="29"/>
      <c r="C111" s="30" t="s">
        <v>16</v>
      </c>
      <c r="D111" s="1">
        <f>SUMIF(Download!B:B,Q111,Download!G:G)</f>
        <v>0</v>
      </c>
      <c r="E111" s="31">
        <f>SUMIF(Download!B:B,Q111,Download!H:H)</f>
        <v>0</v>
      </c>
      <c r="F111" s="2">
        <f t="shared" si="18"/>
        <v>0</v>
      </c>
      <c r="G111" s="12"/>
      <c r="H111" s="1"/>
      <c r="I111" s="5">
        <f>H111*H106</f>
        <v>0</v>
      </c>
      <c r="J111" s="5">
        <f>(H106-E111)*H111</f>
        <v>0</v>
      </c>
      <c r="K111" s="58" t="e">
        <f>(H106/E111)-1</f>
        <v>#DIV/0!</v>
      </c>
      <c r="L111" s="13"/>
      <c r="O111" t="s">
        <v>17</v>
      </c>
      <c r="P111" t="str">
        <f t="shared" ref="P111:P119" si="20">P110</f>
        <v>3968:HK</v>
      </c>
      <c r="Q111" t="str">
        <f t="shared" si="19"/>
        <v>CBBH3968:HK</v>
      </c>
    </row>
    <row r="112" spans="1:17" x14ac:dyDescent="0.25">
      <c r="B112" s="29"/>
      <c r="C112" s="30" t="s">
        <v>18</v>
      </c>
      <c r="D112" s="1">
        <f>SUMIF(Download!B:B,Q112,Download!G:G)</f>
        <v>0</v>
      </c>
      <c r="E112" s="31">
        <f>SUMIF(Download!B:B,Q112,Download!H:H)</f>
        <v>0</v>
      </c>
      <c r="F112" s="2">
        <f t="shared" si="18"/>
        <v>0</v>
      </c>
      <c r="G112" s="12"/>
      <c r="H112" s="1"/>
      <c r="I112" s="5">
        <f>H112*H106</f>
        <v>0</v>
      </c>
      <c r="J112" s="5">
        <f>(H106-E112)*H112</f>
        <v>0</v>
      </c>
      <c r="K112" s="58" t="e">
        <f>(H106/E112)-1</f>
        <v>#DIV/0!</v>
      </c>
      <c r="L112" s="13"/>
      <c r="O112" t="s">
        <v>19</v>
      </c>
      <c r="P112" t="str">
        <f t="shared" si="20"/>
        <v>3968:HK</v>
      </c>
      <c r="Q112" t="str">
        <f t="shared" si="19"/>
        <v>BOS3968:HK</v>
      </c>
    </row>
    <row r="113" spans="2:17" x14ac:dyDescent="0.25">
      <c r="B113" s="29"/>
      <c r="C113" s="30" t="s">
        <v>20</v>
      </c>
      <c r="D113" s="1">
        <f>SUMIF(Download!B:B,Q113,Download!G:G)</f>
        <v>0</v>
      </c>
      <c r="E113" s="31">
        <f>SUMIF(Download!B:B,Q113,Download!H:H)</f>
        <v>0</v>
      </c>
      <c r="F113" s="2">
        <f t="shared" si="18"/>
        <v>0</v>
      </c>
      <c r="G113" s="12"/>
      <c r="H113" s="1"/>
      <c r="I113" s="5">
        <f>H113*H106</f>
        <v>0</v>
      </c>
      <c r="J113" s="5">
        <f>(H106-E113)*H113</f>
        <v>0</v>
      </c>
      <c r="K113" s="58" t="e">
        <f>(H106/E113)-1</f>
        <v>#DIV/0!</v>
      </c>
      <c r="L113" s="13"/>
      <c r="O113" t="s">
        <v>21</v>
      </c>
      <c r="P113" t="str">
        <f t="shared" si="20"/>
        <v>3968:HK</v>
      </c>
      <c r="Q113" t="str">
        <f t="shared" si="19"/>
        <v>DBPe3968:HK</v>
      </c>
    </row>
    <row r="114" spans="2:17" x14ac:dyDescent="0.25">
      <c r="B114" s="29"/>
      <c r="C114" s="30" t="s">
        <v>22</v>
      </c>
      <c r="D114" s="1">
        <f>SUMIF(Download!B:B,Q114,Download!G:G)</f>
        <v>0</v>
      </c>
      <c r="E114" s="31">
        <f>SUMIF(Download!B:B,Q114,Download!H:H)</f>
        <v>0</v>
      </c>
      <c r="F114" s="2">
        <f t="shared" si="18"/>
        <v>0</v>
      </c>
      <c r="G114" s="12"/>
      <c r="H114" s="1"/>
      <c r="I114" s="5">
        <f>H114*H106</f>
        <v>0</v>
      </c>
      <c r="J114" s="5">
        <f>(H106-E114)*H114</f>
        <v>0</v>
      </c>
      <c r="K114" s="58" t="e">
        <f>(H106/E114)-1</f>
        <v>#DIV/0!</v>
      </c>
      <c r="L114" s="13"/>
      <c r="O114" t="s">
        <v>23</v>
      </c>
      <c r="P114" t="str">
        <f t="shared" si="20"/>
        <v>3968:HK</v>
      </c>
      <c r="Q114" t="str">
        <f t="shared" si="19"/>
        <v>DBPL3968:HK</v>
      </c>
    </row>
    <row r="115" spans="2:17" x14ac:dyDescent="0.25">
      <c r="B115" s="29"/>
      <c r="C115" s="30" t="s">
        <v>24</v>
      </c>
      <c r="D115" s="1">
        <f>SUMIF(Download!B:B,Q115,Download!G:G)</f>
        <v>0</v>
      </c>
      <c r="E115" s="31">
        <f>SUMIF(Download!B:B,Q115,Download!H:H)</f>
        <v>0</v>
      </c>
      <c r="F115" s="2">
        <f t="shared" si="18"/>
        <v>0</v>
      </c>
      <c r="G115" s="12"/>
      <c r="H115" s="1"/>
      <c r="I115" s="5">
        <f>H115*H106</f>
        <v>0</v>
      </c>
      <c r="J115" s="5">
        <f>(H106-E115)*H115</f>
        <v>0</v>
      </c>
      <c r="K115" s="58" t="e">
        <f>(H106/E115)-1</f>
        <v>#DIV/0!</v>
      </c>
      <c r="L115" s="13"/>
      <c r="O115" t="s">
        <v>25</v>
      </c>
      <c r="P115" t="str">
        <f t="shared" si="20"/>
        <v>3968:HK</v>
      </c>
      <c r="Q115" t="str">
        <f t="shared" si="19"/>
        <v>SC3968:HK</v>
      </c>
    </row>
    <row r="116" spans="2:17" x14ac:dyDescent="0.25">
      <c r="B116" s="29"/>
      <c r="C116" s="30" t="s">
        <v>26</v>
      </c>
      <c r="D116" s="1">
        <f>SUMIF(Download!B:B,Q116,Download!G:G)</f>
        <v>0</v>
      </c>
      <c r="E116" s="31">
        <f>SUMIF(Download!B:B,Q116,Download!H:H)</f>
        <v>0</v>
      </c>
      <c r="F116" s="2">
        <f t="shared" si="18"/>
        <v>0</v>
      </c>
      <c r="G116" s="12"/>
      <c r="H116" s="1"/>
      <c r="I116" s="5">
        <f>H116*H106</f>
        <v>0</v>
      </c>
      <c r="J116" s="5">
        <f>(H106-E116)*H116</f>
        <v>0</v>
      </c>
      <c r="K116" s="58" t="e">
        <f>(H106/E116)-1</f>
        <v>#DIV/0!</v>
      </c>
      <c r="L116" s="13"/>
      <c r="O116" t="s">
        <v>27</v>
      </c>
      <c r="P116" t="str">
        <f t="shared" si="20"/>
        <v>3968:HK</v>
      </c>
      <c r="Q116" t="str">
        <f t="shared" si="19"/>
        <v>SHK3968:HK</v>
      </c>
    </row>
    <row r="117" spans="2:17" x14ac:dyDescent="0.25">
      <c r="B117" s="29"/>
      <c r="C117" s="30" t="s">
        <v>28</v>
      </c>
      <c r="D117" s="1">
        <f>SUMIF(Download!B:B,Q117,Download!G:G)</f>
        <v>0</v>
      </c>
      <c r="E117" s="31">
        <f>SUMIF(Download!B:B,Q117,Download!H:H)</f>
        <v>0</v>
      </c>
      <c r="F117" s="2">
        <f t="shared" si="18"/>
        <v>0</v>
      </c>
      <c r="G117" s="12"/>
      <c r="H117" s="1"/>
      <c r="I117" s="5">
        <f>H117*H106</f>
        <v>0</v>
      </c>
      <c r="J117" s="5">
        <f>(H106-E117)*H117</f>
        <v>0</v>
      </c>
      <c r="K117" s="58" t="e">
        <f>(H106/E117)-1</f>
        <v>#DIV/0!</v>
      </c>
      <c r="L117" s="13"/>
      <c r="O117" t="s">
        <v>29</v>
      </c>
      <c r="P117" t="str">
        <f t="shared" si="20"/>
        <v>3968:HK</v>
      </c>
      <c r="Q117" t="str">
        <f t="shared" si="19"/>
        <v>MST13968:HK</v>
      </c>
    </row>
    <row r="118" spans="2:17" x14ac:dyDescent="0.25">
      <c r="B118" s="29"/>
      <c r="C118" s="30" t="s">
        <v>30</v>
      </c>
      <c r="D118" s="1">
        <f>SUMIF(Download!B:B,Q118,Download!G:G)</f>
        <v>0</v>
      </c>
      <c r="E118" s="31">
        <f>SUMIF(Download!B:B,Q118,Download!H:H)</f>
        <v>0</v>
      </c>
      <c r="F118" s="2">
        <f t="shared" si="18"/>
        <v>0</v>
      </c>
      <c r="G118" s="12"/>
      <c r="H118" s="1"/>
      <c r="I118" s="5">
        <f>H118*H106</f>
        <v>0</v>
      </c>
      <c r="J118" s="5">
        <f>(H106-E118)*H118</f>
        <v>0</v>
      </c>
      <c r="K118" s="58" t="e">
        <f>(H106/E118)-1</f>
        <v>#DIV/0!</v>
      </c>
      <c r="L118" s="13"/>
      <c r="O118" t="s">
        <v>32</v>
      </c>
      <c r="P118" t="str">
        <f t="shared" si="20"/>
        <v>3968:HK</v>
      </c>
      <c r="Q118" t="str">
        <f t="shared" si="19"/>
        <v>MST23968:HK</v>
      </c>
    </row>
    <row r="119" spans="2:17" x14ac:dyDescent="0.25">
      <c r="B119" s="29"/>
      <c r="C119" s="30" t="s">
        <v>33</v>
      </c>
      <c r="D119" s="1">
        <f>SUMIF(Download!B:B,Q119,Download!G:G)</f>
        <v>0</v>
      </c>
      <c r="E119" s="31">
        <f>SUMIF(Download!B:B,Q119,Download!H:H)</f>
        <v>0</v>
      </c>
      <c r="F119" s="2">
        <f t="shared" si="18"/>
        <v>0</v>
      </c>
      <c r="G119" s="12"/>
      <c r="H119" s="1"/>
      <c r="I119" s="5">
        <f>H119*H106</f>
        <v>0</v>
      </c>
      <c r="J119" s="5">
        <f>(H106-E119)*H119</f>
        <v>0</v>
      </c>
      <c r="K119" s="58" t="e">
        <f>(H106/E119)-1</f>
        <v>#DIV/0!</v>
      </c>
      <c r="L119" s="13"/>
      <c r="O119" t="s">
        <v>34</v>
      </c>
      <c r="P119" t="str">
        <f t="shared" si="20"/>
        <v>3968:HK</v>
      </c>
      <c r="Q119" t="str">
        <f t="shared" si="19"/>
        <v>MSPL3968:HK</v>
      </c>
    </row>
    <row r="120" spans="2:17" x14ac:dyDescent="0.25">
      <c r="B120" s="29"/>
      <c r="C120" s="32"/>
      <c r="D120" s="11"/>
      <c r="E120" s="33"/>
      <c r="F120" s="12"/>
      <c r="G120" s="12"/>
      <c r="H120" s="12"/>
      <c r="I120" s="12"/>
      <c r="J120" s="12"/>
      <c r="K120" s="12"/>
      <c r="L120" s="12"/>
    </row>
    <row r="121" spans="2:17" ht="15.75" customHeight="1" thickBot="1" x14ac:dyDescent="0.3">
      <c r="C121" s="34" t="s">
        <v>35</v>
      </c>
      <c r="D121" s="10">
        <f>SUM(D107:D120)</f>
        <v>0</v>
      </c>
      <c r="E121" s="35" t="e">
        <f>F121/D121</f>
        <v>#DIV/0!</v>
      </c>
      <c r="F121" s="4">
        <f>SUM(F107:F120)</f>
        <v>0</v>
      </c>
      <c r="G121" s="14"/>
      <c r="H121" s="14"/>
      <c r="I121" s="14"/>
      <c r="J121" s="14"/>
      <c r="K121" s="14"/>
      <c r="L121" s="14"/>
    </row>
    <row r="122" spans="2:17" ht="15.75" customHeight="1" thickTop="1" x14ac:dyDescent="0.25"/>
  </sheetData>
  <pageMargins left="0.19685039370078741" right="0.19685039370078741" top="0.23622047244094491" bottom="0.15748031496062992" header="0.31496062992125984" footer="0.31496062992125984"/>
  <pageSetup paperSize="10001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S104"/>
  <sheetViews>
    <sheetView view="pageBreakPreview" zoomScaleNormal="100" zoomScaleSheetLayoutView="100" workbookViewId="0">
      <selection activeCell="J7" sqref="J7"/>
    </sheetView>
  </sheetViews>
  <sheetFormatPr defaultColWidth="9.140625" defaultRowHeight="15" x14ac:dyDescent="0.25"/>
  <cols>
    <col min="1" max="2" width="3.5703125" style="16" customWidth="1"/>
    <col min="3" max="3" width="28.28515625" style="16" bestFit="1" customWidth="1"/>
    <col min="4" max="4" width="10.140625" style="16" bestFit="1" customWidth="1"/>
    <col min="5" max="5" width="9.28515625" style="16" bestFit="1" customWidth="1"/>
    <col min="6" max="6" width="12.7109375" style="16" hidden="1" customWidth="1"/>
    <col min="7" max="11" width="12.7109375" style="16" customWidth="1"/>
    <col min="12" max="12" width="12.7109375" style="20" customWidth="1"/>
    <col min="13" max="13" width="18.28515625" style="16" customWidth="1"/>
    <col min="14" max="14" width="14" style="16" customWidth="1"/>
    <col min="15" max="15" width="7" style="16" bestFit="1" customWidth="1"/>
    <col min="16" max="17" width="9.140625" style="16" customWidth="1"/>
    <col min="18" max="18" width="10.42578125" style="16" bestFit="1" customWidth="1"/>
    <col min="19" max="19" width="9.140625" style="16" customWidth="1"/>
  </cols>
  <sheetData>
    <row r="1" spans="1:19" ht="18.75" customHeight="1" x14ac:dyDescent="0.3">
      <c r="A1" s="47" t="s">
        <v>0</v>
      </c>
    </row>
    <row r="2" spans="1:19" ht="18.75" customHeight="1" x14ac:dyDescent="0.3">
      <c r="A2" s="47" t="str">
        <f>ALL!A1</f>
        <v>As of September 20, 2022</v>
      </c>
    </row>
    <row r="3" spans="1:19" ht="18.75" customHeight="1" x14ac:dyDescent="0.3">
      <c r="A3" s="47"/>
    </row>
    <row r="4" spans="1:19" ht="18.75" customHeight="1" x14ac:dyDescent="0.3">
      <c r="A4" s="17"/>
      <c r="K4" s="55">
        <v>1</v>
      </c>
      <c r="L4" s="18" t="s">
        <v>1</v>
      </c>
      <c r="M4" s="19">
        <v>44931</v>
      </c>
    </row>
    <row r="5" spans="1:19" x14ac:dyDescent="0.25">
      <c r="L5" s="18" t="s">
        <v>2</v>
      </c>
      <c r="M5" s="56" t="s">
        <v>165</v>
      </c>
      <c r="R5" s="21"/>
    </row>
    <row r="6" spans="1:19" ht="18.75" customHeight="1" x14ac:dyDescent="0.3">
      <c r="A6" s="22">
        <v>1</v>
      </c>
      <c r="B6" s="17" t="str">
        <f>INDEX(Stocks!A:B,MATCH(P7,Stocks!A:A,),2)&amp;" ("&amp;P7&amp;")"</f>
        <v>Tencent (700:HK)</v>
      </c>
      <c r="C6" s="17"/>
      <c r="G6" s="16" t="s">
        <v>162</v>
      </c>
      <c r="H6" s="57"/>
      <c r="L6" s="18" t="s">
        <v>4</v>
      </c>
      <c r="M6" s="19">
        <v>45009</v>
      </c>
      <c r="N6"/>
      <c r="R6" s="23"/>
      <c r="S6" s="37"/>
    </row>
    <row r="7" spans="1:19" x14ac:dyDescent="0.25">
      <c r="A7" s="25"/>
      <c r="C7" s="26" t="s">
        <v>5</v>
      </c>
      <c r="D7" s="26" t="s">
        <v>6</v>
      </c>
      <c r="E7" s="26" t="s">
        <v>7</v>
      </c>
      <c r="F7" s="27" t="s">
        <v>8</v>
      </c>
      <c r="G7" s="24"/>
      <c r="H7" s="26" t="s">
        <v>163</v>
      </c>
      <c r="I7" s="27" t="s">
        <v>164</v>
      </c>
      <c r="J7" s="26" t="str">
        <f>IF(COUNTIF(J8:J19,"&gt;0")&lt;&gt;0,IF(COUNTIF(J8:J19,"&lt;0")&lt;&gt;0,"Gain / Loss", "Gain"),"Loss")</f>
        <v>Loss</v>
      </c>
      <c r="K7" s="26" t="str">
        <f>"% "&amp;IF(COUNTIF(K8:K19,"&gt;=0")&lt;&gt;0,IF(COUNTIF(K8:K19,"&lt;0")&lt;&gt;0,"Gain / Loss", "Gain"),"Loss")</f>
        <v>% Loss</v>
      </c>
      <c r="O7" s="28"/>
      <c r="P7" t="s">
        <v>52</v>
      </c>
    </row>
    <row r="8" spans="1:19" x14ac:dyDescent="0.25">
      <c r="B8" s="29"/>
      <c r="C8" s="30" t="s">
        <v>166</v>
      </c>
      <c r="D8" s="1">
        <f>SUMIF(Download!B:B,Q8,Download!G:G)</f>
        <v>0</v>
      </c>
      <c r="E8" s="31">
        <f>SUMIF(Download!B:B,Q8,Download!H:H)</f>
        <v>0</v>
      </c>
      <c r="F8" s="5">
        <f t="shared" ref="F8:F19" si="0">D8*E8</f>
        <v>0</v>
      </c>
      <c r="G8" s="12"/>
      <c r="H8" s="1">
        <v>500</v>
      </c>
      <c r="I8" s="5">
        <f>H8*H6</f>
        <v>0</v>
      </c>
      <c r="J8" s="5">
        <f>(H6-E8)*H8</f>
        <v>0</v>
      </c>
      <c r="K8" s="58" t="e">
        <f>(H6/E8)-1</f>
        <v>#DIV/0!</v>
      </c>
      <c r="L8" s="13"/>
      <c r="O8" t="s">
        <v>167</v>
      </c>
      <c r="P8" t="str">
        <f>P7</f>
        <v>700:HK</v>
      </c>
      <c r="Q8" t="str">
        <f t="shared" ref="Q8:Q19" si="1">O8&amp;P8</f>
        <v>CBSG700:HK</v>
      </c>
    </row>
    <row r="9" spans="1:19" x14ac:dyDescent="0.25">
      <c r="B9" s="29"/>
      <c r="C9" s="30" t="s">
        <v>12</v>
      </c>
      <c r="D9" s="1">
        <f>SUMIF(Download!B:B,Q9,Download!G:G)</f>
        <v>0</v>
      </c>
      <c r="E9" s="31">
        <f>SUMIF(Download!B:B,Q9,Download!H:H)</f>
        <v>0</v>
      </c>
      <c r="F9" s="5">
        <f t="shared" si="0"/>
        <v>0</v>
      </c>
      <c r="G9" s="12"/>
      <c r="H9" s="1">
        <f>H8</f>
        <v>500</v>
      </c>
      <c r="I9" s="5">
        <f>H9*H6</f>
        <v>0</v>
      </c>
      <c r="J9" s="5">
        <f>(H6-E9)*H9</f>
        <v>0</v>
      </c>
      <c r="K9" s="58" t="e">
        <f>(H6/E9)-1</f>
        <v>#DIV/0!</v>
      </c>
      <c r="L9" s="13"/>
      <c r="O9" t="s">
        <v>13</v>
      </c>
      <c r="P9" t="str">
        <f>P7</f>
        <v>700:HK</v>
      </c>
      <c r="Q9" t="str">
        <f t="shared" si="1"/>
        <v>CB2700:HK</v>
      </c>
    </row>
    <row r="10" spans="1:19" x14ac:dyDescent="0.25">
      <c r="B10" s="29"/>
      <c r="C10" s="30" t="s">
        <v>14</v>
      </c>
      <c r="D10" s="1">
        <f>SUMIF(Download!B:B,Q10,Download!G:G)</f>
        <v>0</v>
      </c>
      <c r="E10" s="31">
        <f>SUMIF(Download!B:B,Q10,Download!H:H)</f>
        <v>0</v>
      </c>
      <c r="F10" s="5">
        <f t="shared" si="0"/>
        <v>0</v>
      </c>
      <c r="G10" s="12"/>
      <c r="H10" s="1">
        <f t="shared" ref="H10:H19" si="2">H9</f>
        <v>500</v>
      </c>
      <c r="I10" s="5">
        <f>H10*H6</f>
        <v>0</v>
      </c>
      <c r="J10" s="5">
        <f>(H6-E10)*H10</f>
        <v>0</v>
      </c>
      <c r="K10" s="58" t="e">
        <f>(H6/E10)-1</f>
        <v>#DIV/0!</v>
      </c>
      <c r="L10" s="13"/>
      <c r="O10" t="s">
        <v>15</v>
      </c>
      <c r="P10" t="str">
        <f>P8</f>
        <v>700:HK</v>
      </c>
      <c r="Q10" t="str">
        <f t="shared" si="1"/>
        <v>CB3700:HK</v>
      </c>
    </row>
    <row r="11" spans="1:19" x14ac:dyDescent="0.25">
      <c r="B11" s="29"/>
      <c r="C11" s="30" t="s">
        <v>16</v>
      </c>
      <c r="D11" s="1">
        <f>SUMIF(Download!B:B,Q11,Download!G:G)</f>
        <v>0</v>
      </c>
      <c r="E11" s="31">
        <f>SUMIF(Download!B:B,Q11,Download!H:H)</f>
        <v>0</v>
      </c>
      <c r="F11" s="5">
        <f t="shared" si="0"/>
        <v>0</v>
      </c>
      <c r="G11" s="12"/>
      <c r="H11" s="1">
        <f t="shared" si="2"/>
        <v>500</v>
      </c>
      <c r="I11" s="5">
        <f>H11*H6</f>
        <v>0</v>
      </c>
      <c r="J11" s="5">
        <f>(H6-E11)*H11</f>
        <v>0</v>
      </c>
      <c r="K11" s="58" t="e">
        <f>(H6/E11)-1</f>
        <v>#DIV/0!</v>
      </c>
      <c r="L11" s="13"/>
      <c r="O11" t="s">
        <v>17</v>
      </c>
      <c r="P11" t="str">
        <f t="shared" ref="P11:P19" si="3">P10</f>
        <v>700:HK</v>
      </c>
      <c r="Q11" t="str">
        <f t="shared" si="1"/>
        <v>CBBH700:HK</v>
      </c>
    </row>
    <row r="12" spans="1:19" x14ac:dyDescent="0.25">
      <c r="B12" s="29"/>
      <c r="C12" s="30" t="s">
        <v>18</v>
      </c>
      <c r="D12" s="1">
        <f>SUMIF(Download!B:B,Q12,Download!G:G)</f>
        <v>0</v>
      </c>
      <c r="E12" s="31">
        <f>SUMIF(Download!B:B,Q12,Download!H:H)</f>
        <v>0</v>
      </c>
      <c r="F12" s="5">
        <f t="shared" si="0"/>
        <v>0</v>
      </c>
      <c r="G12" s="12"/>
      <c r="H12" s="1">
        <f t="shared" si="2"/>
        <v>500</v>
      </c>
      <c r="I12" s="5">
        <f>H12*H6</f>
        <v>0</v>
      </c>
      <c r="J12" s="5">
        <f>(H6-E12)*H12</f>
        <v>0</v>
      </c>
      <c r="K12" s="58" t="e">
        <f>(H6/E12)-1</f>
        <v>#DIV/0!</v>
      </c>
      <c r="L12" s="13"/>
      <c r="O12" t="s">
        <v>19</v>
      </c>
      <c r="P12" t="str">
        <f t="shared" si="3"/>
        <v>700:HK</v>
      </c>
      <c r="Q12" t="str">
        <f t="shared" si="1"/>
        <v>BOS700:HK</v>
      </c>
    </row>
    <row r="13" spans="1:19" x14ac:dyDescent="0.25">
      <c r="B13" s="29"/>
      <c r="C13" s="30" t="s">
        <v>20</v>
      </c>
      <c r="D13" s="1">
        <f>SUMIF(Download!B:B,Q13,Download!G:G)</f>
        <v>0</v>
      </c>
      <c r="E13" s="31">
        <f>SUMIF(Download!B:B,Q13,Download!H:H)</f>
        <v>0</v>
      </c>
      <c r="F13" s="5">
        <f t="shared" si="0"/>
        <v>0</v>
      </c>
      <c r="G13" s="12"/>
      <c r="H13" s="1">
        <f t="shared" si="2"/>
        <v>500</v>
      </c>
      <c r="I13" s="5">
        <f>H13*H6</f>
        <v>0</v>
      </c>
      <c r="J13" s="5">
        <f>(H6-E13)*H13</f>
        <v>0</v>
      </c>
      <c r="K13" s="58" t="e">
        <f>(H6/E13)-1</f>
        <v>#DIV/0!</v>
      </c>
      <c r="L13" s="13"/>
      <c r="O13" t="s">
        <v>21</v>
      </c>
      <c r="P13" t="str">
        <f t="shared" si="3"/>
        <v>700:HK</v>
      </c>
      <c r="Q13" t="str">
        <f t="shared" si="1"/>
        <v>DBPe700:HK</v>
      </c>
    </row>
    <row r="14" spans="1:19" x14ac:dyDescent="0.25">
      <c r="B14" s="29"/>
      <c r="C14" s="30" t="s">
        <v>22</v>
      </c>
      <c r="D14" s="1">
        <f>SUMIF(Download!B:B,Q14,Download!G:G)</f>
        <v>0</v>
      </c>
      <c r="E14" s="31">
        <f>SUMIF(Download!B:B,Q14,Download!H:H)</f>
        <v>0</v>
      </c>
      <c r="F14" s="5">
        <f t="shared" si="0"/>
        <v>0</v>
      </c>
      <c r="G14" s="12"/>
      <c r="H14" s="1">
        <f t="shared" si="2"/>
        <v>500</v>
      </c>
      <c r="I14" s="5">
        <f>H14*H6</f>
        <v>0</v>
      </c>
      <c r="J14" s="5">
        <f>(H6-E14)*H14</f>
        <v>0</v>
      </c>
      <c r="K14" s="58" t="e">
        <f>(H6/E14)-1</f>
        <v>#DIV/0!</v>
      </c>
      <c r="L14" s="13"/>
      <c r="O14" t="s">
        <v>23</v>
      </c>
      <c r="P14" t="str">
        <f t="shared" si="3"/>
        <v>700:HK</v>
      </c>
      <c r="Q14" t="str">
        <f t="shared" si="1"/>
        <v>DBPL700:HK</v>
      </c>
    </row>
    <row r="15" spans="1:19" x14ac:dyDescent="0.25">
      <c r="B15" s="29"/>
      <c r="C15" s="30" t="s">
        <v>24</v>
      </c>
      <c r="D15" s="1">
        <f>SUMIF(Download!B:B,Q15,Download!G:G)</f>
        <v>0</v>
      </c>
      <c r="E15" s="31">
        <f>SUMIF(Download!B:B,Q15,Download!H:H)</f>
        <v>0</v>
      </c>
      <c r="F15" s="5">
        <f t="shared" si="0"/>
        <v>0</v>
      </c>
      <c r="G15" s="12"/>
      <c r="H15" s="1">
        <f t="shared" si="2"/>
        <v>500</v>
      </c>
      <c r="I15" s="5">
        <f>H15*H6</f>
        <v>0</v>
      </c>
      <c r="J15" s="5">
        <f>(H6-E15)*H15</f>
        <v>0</v>
      </c>
      <c r="K15" s="58" t="e">
        <f>(H6/E15)-1</f>
        <v>#DIV/0!</v>
      </c>
      <c r="L15" s="13"/>
      <c r="O15" t="s">
        <v>25</v>
      </c>
      <c r="P15" t="str">
        <f t="shared" si="3"/>
        <v>700:HK</v>
      </c>
      <c r="Q15" t="str">
        <f t="shared" si="1"/>
        <v>SC700:HK</v>
      </c>
    </row>
    <row r="16" spans="1:19" x14ac:dyDescent="0.25">
      <c r="B16" s="29"/>
      <c r="C16" s="30" t="s">
        <v>26</v>
      </c>
      <c r="D16" s="1">
        <f>SUMIF(Download!B:B,Q16,Download!G:G)</f>
        <v>0</v>
      </c>
      <c r="E16" s="31">
        <f>SUMIF(Download!B:B,Q16,Download!H:H)</f>
        <v>0</v>
      </c>
      <c r="F16" s="5">
        <f t="shared" si="0"/>
        <v>0</v>
      </c>
      <c r="G16" s="12"/>
      <c r="H16" s="1">
        <f t="shared" si="2"/>
        <v>500</v>
      </c>
      <c r="I16" s="5">
        <f>H16*H6</f>
        <v>0</v>
      </c>
      <c r="J16" s="5">
        <f>(H6-E16)*H16</f>
        <v>0</v>
      </c>
      <c r="K16" s="58" t="e">
        <f>(H6/E16)-1</f>
        <v>#DIV/0!</v>
      </c>
      <c r="L16" s="13"/>
      <c r="O16" t="s">
        <v>27</v>
      </c>
      <c r="P16" t="str">
        <f t="shared" si="3"/>
        <v>700:HK</v>
      </c>
      <c r="Q16" t="str">
        <f t="shared" si="1"/>
        <v>SHK700:HK</v>
      </c>
    </row>
    <row r="17" spans="1:19" x14ac:dyDescent="0.25">
      <c r="B17" s="29"/>
      <c r="C17" s="30" t="s">
        <v>28</v>
      </c>
      <c r="D17" s="1">
        <f>SUMIF(Download!B:B,Q17,Download!G:G)</f>
        <v>0</v>
      </c>
      <c r="E17" s="31">
        <f>SUMIF(Download!B:B,Q17,Download!H:H)</f>
        <v>0</v>
      </c>
      <c r="F17" s="5">
        <f t="shared" si="0"/>
        <v>0</v>
      </c>
      <c r="G17" s="12"/>
      <c r="H17" s="1">
        <f t="shared" si="2"/>
        <v>500</v>
      </c>
      <c r="I17" s="5">
        <f>H17*H6</f>
        <v>0</v>
      </c>
      <c r="J17" s="5">
        <f>(H6-E17)*H17</f>
        <v>0</v>
      </c>
      <c r="K17" s="58" t="e">
        <f>(H6/E17)-1</f>
        <v>#DIV/0!</v>
      </c>
      <c r="L17" s="13"/>
      <c r="O17" t="s">
        <v>29</v>
      </c>
      <c r="P17" t="str">
        <f t="shared" si="3"/>
        <v>700:HK</v>
      </c>
      <c r="Q17" t="str">
        <f t="shared" si="1"/>
        <v>MST1700:HK</v>
      </c>
    </row>
    <row r="18" spans="1:19" x14ac:dyDescent="0.25">
      <c r="B18" s="29"/>
      <c r="C18" s="30" t="s">
        <v>30</v>
      </c>
      <c r="D18" s="1">
        <f>SUMIF(Download!B:B,Q18,Download!G:G)</f>
        <v>0</v>
      </c>
      <c r="E18" s="31">
        <f>SUMIF(Download!B:B,Q18,Download!H:H)</f>
        <v>0</v>
      </c>
      <c r="F18" s="5">
        <f t="shared" si="0"/>
        <v>0</v>
      </c>
      <c r="G18" s="12"/>
      <c r="H18" s="1">
        <f t="shared" si="2"/>
        <v>500</v>
      </c>
      <c r="I18" s="5">
        <f>H18*H6</f>
        <v>0</v>
      </c>
      <c r="J18" s="5">
        <f>(H6-E18)*H18</f>
        <v>0</v>
      </c>
      <c r="K18" s="58" t="e">
        <f>(H6/E18)-1</f>
        <v>#DIV/0!</v>
      </c>
      <c r="L18" s="13"/>
      <c r="O18" t="s">
        <v>32</v>
      </c>
      <c r="P18" t="str">
        <f t="shared" si="3"/>
        <v>700:HK</v>
      </c>
      <c r="Q18" t="str">
        <f t="shared" si="1"/>
        <v>MST2700:HK</v>
      </c>
    </row>
    <row r="19" spans="1:19" x14ac:dyDescent="0.25">
      <c r="B19" s="29"/>
      <c r="C19" s="30" t="s">
        <v>33</v>
      </c>
      <c r="D19" s="1">
        <f>SUMIF(Download!B:B,Q19,Download!G:G)</f>
        <v>0</v>
      </c>
      <c r="E19" s="31">
        <f>SUMIF(Download!B:B,Q19,Download!H:H)</f>
        <v>0</v>
      </c>
      <c r="F19" s="5">
        <f t="shared" si="0"/>
        <v>0</v>
      </c>
      <c r="G19" s="12"/>
      <c r="H19" s="1">
        <f t="shared" si="2"/>
        <v>500</v>
      </c>
      <c r="I19" s="5">
        <f>H19*H6</f>
        <v>0</v>
      </c>
      <c r="J19" s="5">
        <f>(H6-E19)*H19</f>
        <v>0</v>
      </c>
      <c r="K19" s="58" t="e">
        <f>(H6/E19)-1</f>
        <v>#DIV/0!</v>
      </c>
      <c r="L19" s="13"/>
      <c r="O19" t="s">
        <v>34</v>
      </c>
      <c r="P19" t="str">
        <f t="shared" si="3"/>
        <v>700:HK</v>
      </c>
      <c r="Q19" t="str">
        <f t="shared" si="1"/>
        <v>MSPL700:HK</v>
      </c>
    </row>
    <row r="20" spans="1:19" x14ac:dyDescent="0.25">
      <c r="B20" s="29"/>
      <c r="C20" s="32"/>
      <c r="D20" s="11"/>
      <c r="E20" s="33"/>
      <c r="F20" s="12"/>
      <c r="G20" s="12"/>
      <c r="H20" s="12"/>
      <c r="I20" s="12"/>
      <c r="J20" s="12"/>
      <c r="K20" s="12"/>
      <c r="L20" s="13"/>
    </row>
    <row r="21" spans="1:19" ht="15.75" customHeight="1" thickBot="1" x14ac:dyDescent="0.3">
      <c r="C21" s="34" t="s">
        <v>35</v>
      </c>
      <c r="D21" s="10">
        <f>SUM(D7:D20)</f>
        <v>0</v>
      </c>
      <c r="E21" s="35" t="e">
        <f>F21/D21</f>
        <v>#DIV/0!</v>
      </c>
      <c r="F21" s="4">
        <f>SUM(F7:F20)</f>
        <v>0</v>
      </c>
      <c r="G21" s="14"/>
      <c r="H21" s="14"/>
      <c r="I21" s="14"/>
      <c r="J21" s="14"/>
      <c r="K21" s="14"/>
      <c r="L21" s="51"/>
    </row>
    <row r="22" spans="1:19" ht="18.75" customHeight="1" thickTop="1" x14ac:dyDescent="0.3">
      <c r="A22" s="17"/>
      <c r="L22" s="18"/>
      <c r="M22" s="19"/>
    </row>
    <row r="23" spans="1:19" ht="18.75" customHeight="1" x14ac:dyDescent="0.3">
      <c r="A23" s="17"/>
      <c r="L23" s="18"/>
      <c r="M23" s="19"/>
    </row>
    <row r="24" spans="1:19" x14ac:dyDescent="0.25">
      <c r="L24" s="18"/>
      <c r="M24" s="20"/>
      <c r="N24" s="20"/>
      <c r="R24" s="21"/>
    </row>
    <row r="25" spans="1:19" ht="18.75" customHeight="1" x14ac:dyDescent="0.3">
      <c r="A25" s="22">
        <v>2</v>
      </c>
      <c r="B25" s="17" t="str">
        <f>INDEX(Stocks!A:B,MATCH(P26,Stocks!A:A,),2)&amp;" ("&amp;P26&amp;")"</f>
        <v>Kuaishou Tech (1024:HK)</v>
      </c>
      <c r="C25" s="17"/>
      <c r="G25" s="16" t="s">
        <v>162</v>
      </c>
      <c r="H25" s="57"/>
      <c r="L25" s="18"/>
      <c r="M25" s="19"/>
      <c r="N25" s="19"/>
      <c r="R25" s="23"/>
      <c r="S25" s="37"/>
    </row>
    <row r="26" spans="1:19" x14ac:dyDescent="0.25">
      <c r="A26" s="25"/>
      <c r="C26" s="26" t="s">
        <v>5</v>
      </c>
      <c r="D26" s="26" t="s">
        <v>6</v>
      </c>
      <c r="E26" s="26" t="s">
        <v>7</v>
      </c>
      <c r="F26" s="27" t="s">
        <v>8</v>
      </c>
      <c r="G26" s="24"/>
      <c r="H26" s="26" t="s">
        <v>163</v>
      </c>
      <c r="I26" s="27" t="s">
        <v>164</v>
      </c>
      <c r="J26" s="26" t="str">
        <f>IF(COUNTIF(J27:J38,"&gt;0")&lt;&gt;0,IF(COUNTIF(J27:J38,"&lt;0")&lt;&gt;0,"Gain / Loss", "Gain"),"Loss")</f>
        <v>Loss</v>
      </c>
      <c r="K26" s="26" t="str">
        <f>"% "&amp;IF(COUNTIF(K27:K38,"&gt;=0")&lt;&gt;0,IF(COUNTIF(K27:K38,"&lt;0")&lt;&gt;0,"Gain / Loss", "Gain"),"Loss")</f>
        <v>% Loss</v>
      </c>
      <c r="O26" s="28"/>
      <c r="P26" t="s">
        <v>53</v>
      </c>
    </row>
    <row r="27" spans="1:19" x14ac:dyDescent="0.25">
      <c r="B27" s="29"/>
      <c r="C27" s="30" t="s">
        <v>166</v>
      </c>
      <c r="D27" s="1">
        <f>SUMIF(Download!B:B,Q27,Download!G:G)</f>
        <v>0</v>
      </c>
      <c r="E27" s="31">
        <f>SUMIF(Download!B:B,Q27,Download!H:H)</f>
        <v>0</v>
      </c>
      <c r="F27" s="5">
        <f t="shared" ref="F27:F38" si="4">D27*E27</f>
        <v>0</v>
      </c>
      <c r="G27" s="12"/>
      <c r="H27" s="1">
        <v>3000</v>
      </c>
      <c r="I27" s="5">
        <f>H27*H25</f>
        <v>0</v>
      </c>
      <c r="J27" s="5">
        <f>(H25-E27)*H27</f>
        <v>0</v>
      </c>
      <c r="K27" s="58" t="e">
        <f>(H25/E27)-1</f>
        <v>#DIV/0!</v>
      </c>
      <c r="L27" s="13"/>
      <c r="O27" t="s">
        <v>167</v>
      </c>
      <c r="P27" t="str">
        <f>P26</f>
        <v>1024:HK</v>
      </c>
      <c r="Q27" t="str">
        <f t="shared" ref="Q27:Q38" si="5">O27&amp;P27</f>
        <v>CBSG1024:HK</v>
      </c>
    </row>
    <row r="28" spans="1:19" x14ac:dyDescent="0.25">
      <c r="B28" s="29"/>
      <c r="C28" s="30" t="s">
        <v>12</v>
      </c>
      <c r="D28" s="1">
        <f>SUMIF(Download!B:B,Q28,Download!G:G)</f>
        <v>0</v>
      </c>
      <c r="E28" s="31">
        <f>SUMIF(Download!B:B,Q28,Download!H:H)</f>
        <v>0</v>
      </c>
      <c r="F28" s="5">
        <f t="shared" si="4"/>
        <v>0</v>
      </c>
      <c r="G28" s="12"/>
      <c r="H28" s="1">
        <f>H27</f>
        <v>3000</v>
      </c>
      <c r="I28" s="5">
        <f>H28*H25</f>
        <v>0</v>
      </c>
      <c r="J28" s="5">
        <f>(H25-E28)*H28</f>
        <v>0</v>
      </c>
      <c r="K28" s="58" t="e">
        <f>(H25/E28)-1</f>
        <v>#DIV/0!</v>
      </c>
      <c r="L28" s="13"/>
      <c r="O28" t="s">
        <v>13</v>
      </c>
      <c r="P28" t="str">
        <f>P26</f>
        <v>1024:HK</v>
      </c>
      <c r="Q28" t="str">
        <f t="shared" si="5"/>
        <v>CB21024:HK</v>
      </c>
    </row>
    <row r="29" spans="1:19" x14ac:dyDescent="0.25">
      <c r="B29" s="29"/>
      <c r="C29" s="30" t="s">
        <v>14</v>
      </c>
      <c r="D29" s="1">
        <f>SUMIF(Download!B:B,Q29,Download!G:G)</f>
        <v>0</v>
      </c>
      <c r="E29" s="31">
        <f>SUMIF(Download!B:B,Q29,Download!H:H)</f>
        <v>0</v>
      </c>
      <c r="F29" s="5">
        <f t="shared" si="4"/>
        <v>0</v>
      </c>
      <c r="G29" s="12"/>
      <c r="H29" s="1">
        <f t="shared" ref="H29:H38" si="6">H28</f>
        <v>3000</v>
      </c>
      <c r="I29" s="5">
        <f>H29*H25</f>
        <v>0</v>
      </c>
      <c r="J29" s="5">
        <f>(H25-E29)*H29</f>
        <v>0</v>
      </c>
      <c r="K29" s="58" t="e">
        <f>(H25/E29)-1</f>
        <v>#DIV/0!</v>
      </c>
      <c r="L29" s="13"/>
      <c r="O29" t="s">
        <v>15</v>
      </c>
      <c r="P29" t="str">
        <f>P27</f>
        <v>1024:HK</v>
      </c>
      <c r="Q29" t="str">
        <f t="shared" si="5"/>
        <v>CB31024:HK</v>
      </c>
    </row>
    <row r="30" spans="1:19" x14ac:dyDescent="0.25">
      <c r="B30" s="29"/>
      <c r="C30" s="30" t="s">
        <v>16</v>
      </c>
      <c r="D30" s="1">
        <f>SUMIF(Download!B:B,Q30,Download!G:G)</f>
        <v>0</v>
      </c>
      <c r="E30" s="31">
        <f>SUMIF(Download!B:B,Q30,Download!H:H)</f>
        <v>0</v>
      </c>
      <c r="F30" s="5">
        <f t="shared" si="4"/>
        <v>0</v>
      </c>
      <c r="G30" s="12"/>
      <c r="H30" s="1">
        <f t="shared" si="6"/>
        <v>3000</v>
      </c>
      <c r="I30" s="5">
        <f>H30*H25</f>
        <v>0</v>
      </c>
      <c r="J30" s="5">
        <f>(H25-E30)*H30</f>
        <v>0</v>
      </c>
      <c r="K30" s="58" t="e">
        <f>(H25/E30)-1</f>
        <v>#DIV/0!</v>
      </c>
      <c r="L30" s="13"/>
      <c r="O30" t="s">
        <v>17</v>
      </c>
      <c r="P30" t="str">
        <f t="shared" ref="P30:P38" si="7">P29</f>
        <v>1024:HK</v>
      </c>
      <c r="Q30" t="str">
        <f t="shared" si="5"/>
        <v>CBBH1024:HK</v>
      </c>
    </row>
    <row r="31" spans="1:19" x14ac:dyDescent="0.25">
      <c r="B31" s="29"/>
      <c r="C31" s="30" t="s">
        <v>18</v>
      </c>
      <c r="D31" s="1">
        <f>SUMIF(Download!B:B,Q31,Download!G:G)</f>
        <v>0</v>
      </c>
      <c r="E31" s="31">
        <f>SUMIF(Download!B:B,Q31,Download!H:H)</f>
        <v>0</v>
      </c>
      <c r="F31" s="5">
        <f t="shared" si="4"/>
        <v>0</v>
      </c>
      <c r="G31" s="12"/>
      <c r="H31" s="1">
        <f t="shared" si="6"/>
        <v>3000</v>
      </c>
      <c r="I31" s="5">
        <f>H31*H25</f>
        <v>0</v>
      </c>
      <c r="J31" s="5">
        <f>(H25-E31)*H31</f>
        <v>0</v>
      </c>
      <c r="K31" s="58" t="e">
        <f>(H25/E31)-1</f>
        <v>#DIV/0!</v>
      </c>
      <c r="L31" s="13"/>
      <c r="O31" t="s">
        <v>19</v>
      </c>
      <c r="P31" t="str">
        <f t="shared" si="7"/>
        <v>1024:HK</v>
      </c>
      <c r="Q31" t="str">
        <f t="shared" si="5"/>
        <v>BOS1024:HK</v>
      </c>
    </row>
    <row r="32" spans="1:19" x14ac:dyDescent="0.25">
      <c r="B32" s="29"/>
      <c r="C32" s="30" t="s">
        <v>20</v>
      </c>
      <c r="D32" s="1">
        <f>SUMIF(Download!B:B,Q32,Download!G:G)</f>
        <v>0</v>
      </c>
      <c r="E32" s="31">
        <f>SUMIF(Download!B:B,Q32,Download!H:H)</f>
        <v>0</v>
      </c>
      <c r="F32" s="5">
        <f t="shared" si="4"/>
        <v>0</v>
      </c>
      <c r="G32" s="12"/>
      <c r="H32" s="1">
        <f t="shared" si="6"/>
        <v>3000</v>
      </c>
      <c r="I32" s="5">
        <f>H32*H25</f>
        <v>0</v>
      </c>
      <c r="J32" s="5">
        <f>(H25-E32)*H32</f>
        <v>0</v>
      </c>
      <c r="K32" s="58" t="e">
        <f>(H25/E32)-1</f>
        <v>#DIV/0!</v>
      </c>
      <c r="L32" s="13"/>
      <c r="O32" t="s">
        <v>21</v>
      </c>
      <c r="P32" t="str">
        <f t="shared" si="7"/>
        <v>1024:HK</v>
      </c>
      <c r="Q32" t="str">
        <f t="shared" si="5"/>
        <v>DBPe1024:HK</v>
      </c>
    </row>
    <row r="33" spans="1:19" x14ac:dyDescent="0.25">
      <c r="B33" s="29"/>
      <c r="C33" s="30" t="s">
        <v>22</v>
      </c>
      <c r="D33" s="1">
        <f>SUMIF(Download!B:B,Q33,Download!G:G)</f>
        <v>0</v>
      </c>
      <c r="E33" s="31">
        <f>SUMIF(Download!B:B,Q33,Download!H:H)</f>
        <v>0</v>
      </c>
      <c r="F33" s="5">
        <f t="shared" si="4"/>
        <v>0</v>
      </c>
      <c r="G33" s="12"/>
      <c r="H33" s="1">
        <f t="shared" si="6"/>
        <v>3000</v>
      </c>
      <c r="I33" s="5">
        <f>H33*H25</f>
        <v>0</v>
      </c>
      <c r="J33" s="5">
        <f>(H25-E33)*H33</f>
        <v>0</v>
      </c>
      <c r="K33" s="58" t="e">
        <f>(H25/E33)-1</f>
        <v>#DIV/0!</v>
      </c>
      <c r="L33" s="13"/>
      <c r="O33" t="s">
        <v>23</v>
      </c>
      <c r="P33" t="str">
        <f t="shared" si="7"/>
        <v>1024:HK</v>
      </c>
      <c r="Q33" t="str">
        <f t="shared" si="5"/>
        <v>DBPL1024:HK</v>
      </c>
    </row>
    <row r="34" spans="1:19" x14ac:dyDescent="0.25">
      <c r="B34" s="29"/>
      <c r="C34" s="30" t="s">
        <v>24</v>
      </c>
      <c r="D34" s="1">
        <f>SUMIF(Download!B:B,Q34,Download!G:G)</f>
        <v>0</v>
      </c>
      <c r="E34" s="31">
        <f>SUMIF(Download!B:B,Q34,Download!H:H)</f>
        <v>0</v>
      </c>
      <c r="F34" s="5">
        <f t="shared" si="4"/>
        <v>0</v>
      </c>
      <c r="G34" s="12"/>
      <c r="H34" s="1">
        <f t="shared" si="6"/>
        <v>3000</v>
      </c>
      <c r="I34" s="5">
        <f>H34*H25</f>
        <v>0</v>
      </c>
      <c r="J34" s="5">
        <f>(H25-E34)*H34</f>
        <v>0</v>
      </c>
      <c r="K34" s="58" t="e">
        <f>(H25/E34)-1</f>
        <v>#DIV/0!</v>
      </c>
      <c r="L34" s="13"/>
      <c r="O34" t="s">
        <v>25</v>
      </c>
      <c r="P34" t="str">
        <f t="shared" si="7"/>
        <v>1024:HK</v>
      </c>
      <c r="Q34" t="str">
        <f t="shared" si="5"/>
        <v>SC1024:HK</v>
      </c>
    </row>
    <row r="35" spans="1:19" x14ac:dyDescent="0.25">
      <c r="B35" s="29"/>
      <c r="C35" s="30" t="s">
        <v>26</v>
      </c>
      <c r="D35" s="1">
        <f>SUMIF(Download!B:B,Q35,Download!G:G)</f>
        <v>0</v>
      </c>
      <c r="E35" s="31">
        <f>SUMIF(Download!B:B,Q35,Download!H:H)</f>
        <v>0</v>
      </c>
      <c r="F35" s="5">
        <f t="shared" si="4"/>
        <v>0</v>
      </c>
      <c r="G35" s="12"/>
      <c r="H35" s="1">
        <f t="shared" si="6"/>
        <v>3000</v>
      </c>
      <c r="I35" s="5">
        <f>H35*H25</f>
        <v>0</v>
      </c>
      <c r="J35" s="5">
        <f>(H25-E35)*H35</f>
        <v>0</v>
      </c>
      <c r="K35" s="58" t="e">
        <f>(H25/E35)-1</f>
        <v>#DIV/0!</v>
      </c>
      <c r="L35" s="13" t="s">
        <v>54</v>
      </c>
      <c r="O35" t="s">
        <v>27</v>
      </c>
      <c r="P35" t="str">
        <f t="shared" si="7"/>
        <v>1024:HK</v>
      </c>
      <c r="Q35" t="str">
        <f t="shared" si="5"/>
        <v>SHK1024:HK</v>
      </c>
    </row>
    <row r="36" spans="1:19" x14ac:dyDescent="0.25">
      <c r="B36" s="29"/>
      <c r="C36" s="30" t="s">
        <v>28</v>
      </c>
      <c r="D36" s="1">
        <f>SUMIF(Download!B:B,Q36,Download!G:G)</f>
        <v>0</v>
      </c>
      <c r="E36" s="31">
        <f>SUMIF(Download!B:B,Q36,Download!H:H)</f>
        <v>0</v>
      </c>
      <c r="F36" s="5">
        <f t="shared" si="4"/>
        <v>0</v>
      </c>
      <c r="G36" s="12"/>
      <c r="H36" s="1">
        <f t="shared" si="6"/>
        <v>3000</v>
      </c>
      <c r="I36" s="5">
        <f>H36*H25</f>
        <v>0</v>
      </c>
      <c r="J36" s="5">
        <f>(H25-E36)*H36</f>
        <v>0</v>
      </c>
      <c r="K36" s="58" t="e">
        <f>(H25/E36)-1</f>
        <v>#DIV/0!</v>
      </c>
      <c r="L36" s="13"/>
      <c r="O36" t="s">
        <v>29</v>
      </c>
      <c r="P36" t="str">
        <f t="shared" si="7"/>
        <v>1024:HK</v>
      </c>
      <c r="Q36" t="str">
        <f t="shared" si="5"/>
        <v>MST11024:HK</v>
      </c>
    </row>
    <row r="37" spans="1:19" x14ac:dyDescent="0.25">
      <c r="B37" s="29"/>
      <c r="C37" s="30" t="s">
        <v>30</v>
      </c>
      <c r="D37" s="1">
        <f>SUMIF(Download!B:B,Q37,Download!G:G)</f>
        <v>0</v>
      </c>
      <c r="E37" s="31">
        <f>SUMIF(Download!B:B,Q37,Download!H:H)</f>
        <v>0</v>
      </c>
      <c r="F37" s="5">
        <f t="shared" si="4"/>
        <v>0</v>
      </c>
      <c r="G37" s="12"/>
      <c r="H37" s="1">
        <f t="shared" si="6"/>
        <v>3000</v>
      </c>
      <c r="I37" s="5">
        <f>H37*H25</f>
        <v>0</v>
      </c>
      <c r="J37" s="5">
        <f>(H25-E37)*H37</f>
        <v>0</v>
      </c>
      <c r="K37" s="58" t="e">
        <f>(H25/E37)-1</f>
        <v>#DIV/0!</v>
      </c>
      <c r="L37" s="13"/>
      <c r="O37" t="s">
        <v>32</v>
      </c>
      <c r="P37" t="str">
        <f t="shared" si="7"/>
        <v>1024:HK</v>
      </c>
      <c r="Q37" t="str">
        <f t="shared" si="5"/>
        <v>MST21024:HK</v>
      </c>
    </row>
    <row r="38" spans="1:19" x14ac:dyDescent="0.25">
      <c r="B38" s="29"/>
      <c r="C38" s="30" t="s">
        <v>33</v>
      </c>
      <c r="D38" s="1">
        <f>SUMIF(Download!B:B,Q38,Download!G:G)</f>
        <v>0</v>
      </c>
      <c r="E38" s="31">
        <f>SUMIF(Download!B:B,Q38,Download!H:H)</f>
        <v>0</v>
      </c>
      <c r="F38" s="5">
        <f t="shared" si="4"/>
        <v>0</v>
      </c>
      <c r="G38" s="12"/>
      <c r="H38" s="1">
        <f t="shared" si="6"/>
        <v>3000</v>
      </c>
      <c r="I38" s="5">
        <f>H38*H25</f>
        <v>0</v>
      </c>
      <c r="J38" s="5">
        <f>(H25-E38)*H38</f>
        <v>0</v>
      </c>
      <c r="K38" s="58" t="e">
        <f>(H25/E38)-1</f>
        <v>#DIV/0!</v>
      </c>
      <c r="L38" s="13"/>
      <c r="O38" t="s">
        <v>34</v>
      </c>
      <c r="P38" t="str">
        <f t="shared" si="7"/>
        <v>1024:HK</v>
      </c>
      <c r="Q38" t="str">
        <f t="shared" si="5"/>
        <v>MSPL1024:HK</v>
      </c>
    </row>
    <row r="39" spans="1:19" x14ac:dyDescent="0.25">
      <c r="B39" s="29"/>
      <c r="C39" s="32"/>
      <c r="D39" s="11"/>
      <c r="E39" s="33"/>
      <c r="F39" s="12"/>
      <c r="G39" s="12"/>
      <c r="H39" s="12"/>
      <c r="I39" s="12"/>
      <c r="J39" s="12"/>
      <c r="K39" s="12"/>
      <c r="L39" s="13"/>
    </row>
    <row r="40" spans="1:19" ht="15.75" customHeight="1" thickBot="1" x14ac:dyDescent="0.3">
      <c r="C40" s="34" t="s">
        <v>35</v>
      </c>
      <c r="D40" s="10">
        <f>SUM(D26:D39)</f>
        <v>0</v>
      </c>
      <c r="E40" s="35" t="e">
        <f>F40/D40</f>
        <v>#DIV/0!</v>
      </c>
      <c r="F40" s="4">
        <f>SUM(F26:F39)</f>
        <v>0</v>
      </c>
      <c r="G40" s="14"/>
      <c r="H40" s="14"/>
      <c r="I40" s="14"/>
      <c r="J40" s="14"/>
      <c r="K40" s="14"/>
      <c r="L40" s="51"/>
    </row>
    <row r="41" spans="1:19" ht="18.75" customHeight="1" thickTop="1" x14ac:dyDescent="0.3">
      <c r="A41" s="17"/>
      <c r="L41" s="18"/>
      <c r="M41" s="19"/>
    </row>
    <row r="42" spans="1:19" ht="18.75" customHeight="1" x14ac:dyDescent="0.3">
      <c r="A42" s="17"/>
      <c r="L42" s="18"/>
      <c r="M42" s="19"/>
    </row>
    <row r="43" spans="1:19" x14ac:dyDescent="0.25">
      <c r="L43" s="18"/>
      <c r="M43" s="20"/>
      <c r="N43" s="20"/>
      <c r="R43" s="21"/>
    </row>
    <row r="44" spans="1:19" ht="18.75" customHeight="1" x14ac:dyDescent="0.3">
      <c r="A44" s="22">
        <v>3</v>
      </c>
      <c r="B44" s="17" t="str">
        <f>INDEX(Stocks!A:B,MATCH(P45,Stocks!A:A,),2)&amp;" ("&amp;P45&amp;")"</f>
        <v>Xiaomi Corp (1810:HK)</v>
      </c>
      <c r="C44" s="17"/>
      <c r="G44" s="16" t="s">
        <v>162</v>
      </c>
      <c r="H44" s="57"/>
      <c r="L44" s="18"/>
      <c r="M44" s="19"/>
      <c r="N44" s="19"/>
      <c r="R44" s="23"/>
      <c r="S44" s="37"/>
    </row>
    <row r="45" spans="1:19" x14ac:dyDescent="0.25">
      <c r="A45" s="25"/>
      <c r="C45" s="26" t="s">
        <v>5</v>
      </c>
      <c r="D45" s="26" t="s">
        <v>6</v>
      </c>
      <c r="E45" s="26" t="s">
        <v>7</v>
      </c>
      <c r="F45" s="27" t="s">
        <v>8</v>
      </c>
      <c r="G45" s="24"/>
      <c r="H45" s="26" t="s">
        <v>163</v>
      </c>
      <c r="I45" s="27" t="s">
        <v>164</v>
      </c>
      <c r="J45" s="26" t="str">
        <f>IF(COUNTIF(J46:J57,"&gt;0")&lt;&gt;0,IF(COUNTIF(J46:J57,"&lt;0")&lt;&gt;0,"Gain / Loss", "Gain"),"Loss")</f>
        <v>Loss</v>
      </c>
      <c r="K45" s="26" t="str">
        <f>"% "&amp;IF(COUNTIF(K46:K57,"&gt;=0")&lt;&gt;0,IF(COUNTIF(K46:K57,"&lt;0")&lt;&gt;0,"Gain / Loss", "Gain"),"Loss")</f>
        <v>% Loss</v>
      </c>
      <c r="O45" s="28"/>
      <c r="P45" t="s">
        <v>55</v>
      </c>
    </row>
    <row r="46" spans="1:19" x14ac:dyDescent="0.25">
      <c r="B46" s="29"/>
      <c r="C46" s="30" t="s">
        <v>166</v>
      </c>
      <c r="D46" s="1">
        <f>SUMIF(Download!B:B,Q46,Download!G:G)</f>
        <v>0</v>
      </c>
      <c r="E46" s="31">
        <f>SUMIF(Download!B:B,Q46,Download!H:H)</f>
        <v>0</v>
      </c>
      <c r="F46" s="5">
        <f t="shared" ref="F46:F57" si="8">D46*E46</f>
        <v>0</v>
      </c>
      <c r="G46" s="12"/>
      <c r="H46" s="1">
        <v>15000</v>
      </c>
      <c r="I46" s="5">
        <f>H46*H44</f>
        <v>0</v>
      </c>
      <c r="J46" s="5">
        <f>(H44-E46)*H46</f>
        <v>0</v>
      </c>
      <c r="K46" s="58" t="e">
        <f>(H44/E46)-1</f>
        <v>#DIV/0!</v>
      </c>
      <c r="L46" s="13"/>
      <c r="O46" t="s">
        <v>167</v>
      </c>
      <c r="P46" t="str">
        <f>P45</f>
        <v>1810:HK</v>
      </c>
      <c r="Q46" t="str">
        <f t="shared" ref="Q46:Q57" si="9">O46&amp;P46</f>
        <v>CBSG1810:HK</v>
      </c>
    </row>
    <row r="47" spans="1:19" x14ac:dyDescent="0.25">
      <c r="B47" s="29"/>
      <c r="C47" s="30" t="s">
        <v>12</v>
      </c>
      <c r="D47" s="1">
        <f>SUMIF(Download!B:B,Q47,Download!G:G)</f>
        <v>0</v>
      </c>
      <c r="E47" s="31">
        <f>SUMIF(Download!B:B,Q47,Download!H:H)</f>
        <v>0</v>
      </c>
      <c r="F47" s="5">
        <f t="shared" si="8"/>
        <v>0</v>
      </c>
      <c r="G47" s="12"/>
      <c r="H47" s="1">
        <f>H46</f>
        <v>15000</v>
      </c>
      <c r="I47" s="5">
        <f>H47*H44</f>
        <v>0</v>
      </c>
      <c r="J47" s="5">
        <f>(H44-E47)*H47</f>
        <v>0</v>
      </c>
      <c r="K47" s="58" t="e">
        <f>(H44/E47)-1</f>
        <v>#DIV/0!</v>
      </c>
      <c r="L47" s="13"/>
      <c r="O47" t="s">
        <v>13</v>
      </c>
      <c r="P47" t="str">
        <f>P45</f>
        <v>1810:HK</v>
      </c>
      <c r="Q47" t="str">
        <f t="shared" si="9"/>
        <v>CB21810:HK</v>
      </c>
    </row>
    <row r="48" spans="1:19" x14ac:dyDescent="0.25">
      <c r="B48" s="29"/>
      <c r="C48" s="30" t="s">
        <v>14</v>
      </c>
      <c r="D48" s="1">
        <f>SUMIF(Download!B:B,Q48,Download!G:G)</f>
        <v>0</v>
      </c>
      <c r="E48" s="31">
        <f>SUMIF(Download!B:B,Q48,Download!H:H)</f>
        <v>0</v>
      </c>
      <c r="F48" s="5">
        <f t="shared" si="8"/>
        <v>0</v>
      </c>
      <c r="G48" s="12"/>
      <c r="H48" s="1">
        <f t="shared" ref="H48:H57" si="10">H47</f>
        <v>15000</v>
      </c>
      <c r="I48" s="5">
        <f>H48*H44</f>
        <v>0</v>
      </c>
      <c r="J48" s="5">
        <f>(H44-E48)*H48</f>
        <v>0</v>
      </c>
      <c r="K48" s="58" t="e">
        <f>(H44/E48)-1</f>
        <v>#DIV/0!</v>
      </c>
      <c r="L48" s="13"/>
      <c r="O48" t="s">
        <v>15</v>
      </c>
      <c r="P48" t="str">
        <f>P46</f>
        <v>1810:HK</v>
      </c>
      <c r="Q48" t="str">
        <f t="shared" si="9"/>
        <v>CB31810:HK</v>
      </c>
    </row>
    <row r="49" spans="1:19" x14ac:dyDescent="0.25">
      <c r="B49" s="29"/>
      <c r="C49" s="30" t="s">
        <v>16</v>
      </c>
      <c r="D49" s="1">
        <f>SUMIF(Download!B:B,Q49,Download!G:G)</f>
        <v>0</v>
      </c>
      <c r="E49" s="31">
        <f>SUMIF(Download!B:B,Q49,Download!H:H)</f>
        <v>0</v>
      </c>
      <c r="F49" s="5">
        <f t="shared" si="8"/>
        <v>0</v>
      </c>
      <c r="G49" s="12"/>
      <c r="H49" s="1">
        <f t="shared" si="10"/>
        <v>15000</v>
      </c>
      <c r="I49" s="5">
        <f>H49*H44</f>
        <v>0</v>
      </c>
      <c r="J49" s="5">
        <f>(H44-E49)*H49</f>
        <v>0</v>
      </c>
      <c r="K49" s="58" t="e">
        <f>(H44/E49)-1</f>
        <v>#DIV/0!</v>
      </c>
      <c r="L49" s="13"/>
      <c r="O49" t="s">
        <v>17</v>
      </c>
      <c r="P49" t="str">
        <f t="shared" ref="P49:P57" si="11">P48</f>
        <v>1810:HK</v>
      </c>
      <c r="Q49" t="str">
        <f t="shared" si="9"/>
        <v>CBBH1810:HK</v>
      </c>
    </row>
    <row r="50" spans="1:19" x14ac:dyDescent="0.25">
      <c r="B50" s="29"/>
      <c r="C50" s="30" t="s">
        <v>18</v>
      </c>
      <c r="D50" s="1">
        <f>SUMIF(Download!B:B,Q50,Download!G:G)</f>
        <v>0</v>
      </c>
      <c r="E50" s="31">
        <f>SUMIF(Download!B:B,Q50,Download!H:H)</f>
        <v>0</v>
      </c>
      <c r="F50" s="5">
        <f t="shared" si="8"/>
        <v>0</v>
      </c>
      <c r="G50" s="12"/>
      <c r="H50" s="1">
        <f t="shared" si="10"/>
        <v>15000</v>
      </c>
      <c r="I50" s="5">
        <f>H50*H44</f>
        <v>0</v>
      </c>
      <c r="J50" s="5">
        <f>(H44-E50)*H50</f>
        <v>0</v>
      </c>
      <c r="K50" s="58" t="e">
        <f>(H44/E50)-1</f>
        <v>#DIV/0!</v>
      </c>
      <c r="L50" s="13"/>
      <c r="O50" t="s">
        <v>19</v>
      </c>
      <c r="P50" t="str">
        <f t="shared" si="11"/>
        <v>1810:HK</v>
      </c>
      <c r="Q50" t="str">
        <f t="shared" si="9"/>
        <v>BOS1810:HK</v>
      </c>
    </row>
    <row r="51" spans="1:19" x14ac:dyDescent="0.25">
      <c r="B51" s="29"/>
      <c r="C51" s="30" t="s">
        <v>20</v>
      </c>
      <c r="D51" s="1">
        <f>SUMIF(Download!B:B,Q51,Download!G:G)</f>
        <v>0</v>
      </c>
      <c r="E51" s="31">
        <f>SUMIF(Download!B:B,Q51,Download!H:H)</f>
        <v>0</v>
      </c>
      <c r="F51" s="5">
        <f t="shared" si="8"/>
        <v>0</v>
      </c>
      <c r="G51" s="12"/>
      <c r="H51" s="1">
        <f t="shared" si="10"/>
        <v>15000</v>
      </c>
      <c r="I51" s="5">
        <f>H51*H44</f>
        <v>0</v>
      </c>
      <c r="J51" s="5">
        <f>(H44-E51)*H51</f>
        <v>0</v>
      </c>
      <c r="K51" s="58" t="e">
        <f>(H44/E51)-1</f>
        <v>#DIV/0!</v>
      </c>
      <c r="L51" s="13"/>
      <c r="O51" t="s">
        <v>21</v>
      </c>
      <c r="P51" t="str">
        <f t="shared" si="11"/>
        <v>1810:HK</v>
      </c>
      <c r="Q51" t="str">
        <f t="shared" si="9"/>
        <v>DBPe1810:HK</v>
      </c>
    </row>
    <row r="52" spans="1:19" x14ac:dyDescent="0.25">
      <c r="B52" s="29"/>
      <c r="C52" s="30" t="s">
        <v>22</v>
      </c>
      <c r="D52" s="1">
        <f>SUMIF(Download!B:B,Q52,Download!G:G)</f>
        <v>0</v>
      </c>
      <c r="E52" s="31">
        <f>SUMIF(Download!B:B,Q52,Download!H:H)</f>
        <v>0</v>
      </c>
      <c r="F52" s="5">
        <f t="shared" si="8"/>
        <v>0</v>
      </c>
      <c r="G52" s="12"/>
      <c r="H52" s="1">
        <f t="shared" si="10"/>
        <v>15000</v>
      </c>
      <c r="I52" s="5">
        <f>H52*H44</f>
        <v>0</v>
      </c>
      <c r="J52" s="5">
        <f>(H44-E52)*H52</f>
        <v>0</v>
      </c>
      <c r="K52" s="58" t="e">
        <f>(H44/E52)-1</f>
        <v>#DIV/0!</v>
      </c>
      <c r="L52" s="13"/>
      <c r="O52" t="s">
        <v>23</v>
      </c>
      <c r="P52" t="str">
        <f t="shared" si="11"/>
        <v>1810:HK</v>
      </c>
      <c r="Q52" t="str">
        <f t="shared" si="9"/>
        <v>DBPL1810:HK</v>
      </c>
    </row>
    <row r="53" spans="1:19" x14ac:dyDescent="0.25">
      <c r="B53" s="29"/>
      <c r="C53" s="30" t="s">
        <v>24</v>
      </c>
      <c r="D53" s="1">
        <f>SUMIF(Download!B:B,Q53,Download!G:G)</f>
        <v>0</v>
      </c>
      <c r="E53" s="31">
        <f>SUMIF(Download!B:B,Q53,Download!H:H)</f>
        <v>0</v>
      </c>
      <c r="F53" s="5">
        <f t="shared" si="8"/>
        <v>0</v>
      </c>
      <c r="G53" s="12"/>
      <c r="H53" s="1">
        <f t="shared" si="10"/>
        <v>15000</v>
      </c>
      <c r="I53" s="5">
        <f>H53*H44</f>
        <v>0</v>
      </c>
      <c r="J53" s="5">
        <f>(H44-E53)*H53</f>
        <v>0</v>
      </c>
      <c r="K53" s="58" t="e">
        <f>(H44/E53)-1</f>
        <v>#DIV/0!</v>
      </c>
      <c r="L53" s="13"/>
      <c r="O53" t="s">
        <v>25</v>
      </c>
      <c r="P53" t="str">
        <f t="shared" si="11"/>
        <v>1810:HK</v>
      </c>
      <c r="Q53" t="str">
        <f t="shared" si="9"/>
        <v>SC1810:HK</v>
      </c>
    </row>
    <row r="54" spans="1:19" x14ac:dyDescent="0.25">
      <c r="B54" s="29"/>
      <c r="C54" s="30" t="s">
        <v>26</v>
      </c>
      <c r="D54" s="1">
        <f>SUMIF(Download!B:B,Q54,Download!G:G)</f>
        <v>0</v>
      </c>
      <c r="E54" s="31">
        <f>SUMIF(Download!B:B,Q54,Download!H:H)</f>
        <v>0</v>
      </c>
      <c r="F54" s="5">
        <f t="shared" si="8"/>
        <v>0</v>
      </c>
      <c r="G54" s="12"/>
      <c r="H54" s="1">
        <f t="shared" si="10"/>
        <v>15000</v>
      </c>
      <c r="I54" s="5">
        <f>H54*H44</f>
        <v>0</v>
      </c>
      <c r="J54" s="5">
        <f>(H44-E54)*H54</f>
        <v>0</v>
      </c>
      <c r="K54" s="58" t="e">
        <f>(H44/E54)-1</f>
        <v>#DIV/0!</v>
      </c>
      <c r="L54" s="13"/>
      <c r="O54" t="s">
        <v>27</v>
      </c>
      <c r="P54" t="str">
        <f t="shared" si="11"/>
        <v>1810:HK</v>
      </c>
      <c r="Q54" t="str">
        <f t="shared" si="9"/>
        <v>SHK1810:HK</v>
      </c>
    </row>
    <row r="55" spans="1:19" x14ac:dyDescent="0.25">
      <c r="B55" s="29"/>
      <c r="C55" s="30" t="s">
        <v>28</v>
      </c>
      <c r="D55" s="1">
        <f>SUMIF(Download!B:B,Q55,Download!G:G)</f>
        <v>0</v>
      </c>
      <c r="E55" s="31">
        <f>SUMIF(Download!B:B,Q55,Download!H:H)</f>
        <v>0</v>
      </c>
      <c r="F55" s="5">
        <f t="shared" si="8"/>
        <v>0</v>
      </c>
      <c r="G55" s="12"/>
      <c r="H55" s="1">
        <f t="shared" si="10"/>
        <v>15000</v>
      </c>
      <c r="I55" s="5">
        <f>H55*H44</f>
        <v>0</v>
      </c>
      <c r="J55" s="5">
        <f>(H44-E55)*H55</f>
        <v>0</v>
      </c>
      <c r="K55" s="58" t="e">
        <f>(H44/E55)-1</f>
        <v>#DIV/0!</v>
      </c>
      <c r="L55" s="13"/>
      <c r="O55" t="s">
        <v>29</v>
      </c>
      <c r="P55" t="str">
        <f t="shared" si="11"/>
        <v>1810:HK</v>
      </c>
      <c r="Q55" t="str">
        <f t="shared" si="9"/>
        <v>MST11810:HK</v>
      </c>
    </row>
    <row r="56" spans="1:19" x14ac:dyDescent="0.25">
      <c r="B56" s="29"/>
      <c r="C56" s="30" t="s">
        <v>30</v>
      </c>
      <c r="D56" s="1">
        <f>SUMIF(Download!B:B,Q56,Download!G:G)</f>
        <v>0</v>
      </c>
      <c r="E56" s="31">
        <f>SUMIF(Download!B:B,Q56,Download!H:H)</f>
        <v>0</v>
      </c>
      <c r="F56" s="5">
        <f t="shared" si="8"/>
        <v>0</v>
      </c>
      <c r="G56" s="12"/>
      <c r="H56" s="1">
        <f t="shared" si="10"/>
        <v>15000</v>
      </c>
      <c r="I56" s="5">
        <f>H56*H44</f>
        <v>0</v>
      </c>
      <c r="J56" s="5">
        <f>(H44-E56)*H56</f>
        <v>0</v>
      </c>
      <c r="K56" s="58" t="e">
        <f>(H44/E56)-1</f>
        <v>#DIV/0!</v>
      </c>
      <c r="L56" s="13"/>
      <c r="O56" t="s">
        <v>32</v>
      </c>
      <c r="P56" t="str">
        <f t="shared" si="11"/>
        <v>1810:HK</v>
      </c>
      <c r="Q56" t="str">
        <f t="shared" si="9"/>
        <v>MST21810:HK</v>
      </c>
    </row>
    <row r="57" spans="1:19" x14ac:dyDescent="0.25">
      <c r="B57" s="29"/>
      <c r="C57" s="30" t="s">
        <v>33</v>
      </c>
      <c r="D57" s="1">
        <f>SUMIF(Download!B:B,Q57,Download!G:G)</f>
        <v>0</v>
      </c>
      <c r="E57" s="31">
        <f>SUMIF(Download!B:B,Q57,Download!H:H)</f>
        <v>0</v>
      </c>
      <c r="F57" s="5">
        <f t="shared" si="8"/>
        <v>0</v>
      </c>
      <c r="G57" s="12"/>
      <c r="H57" s="1">
        <f t="shared" si="10"/>
        <v>15000</v>
      </c>
      <c r="I57" s="5">
        <f>H57*H44</f>
        <v>0</v>
      </c>
      <c r="J57" s="5">
        <f>(H44-E57)*H57</f>
        <v>0</v>
      </c>
      <c r="K57" s="58" t="e">
        <f>(H44/E57)-1</f>
        <v>#DIV/0!</v>
      </c>
      <c r="L57" s="13"/>
      <c r="O57" t="s">
        <v>34</v>
      </c>
      <c r="P57" t="str">
        <f t="shared" si="11"/>
        <v>1810:HK</v>
      </c>
      <c r="Q57" t="str">
        <f t="shared" si="9"/>
        <v>MSPL1810:HK</v>
      </c>
    </row>
    <row r="58" spans="1:19" x14ac:dyDescent="0.25">
      <c r="B58" s="29"/>
      <c r="C58" s="32"/>
      <c r="D58" s="11"/>
      <c r="E58" s="33"/>
      <c r="F58" s="12"/>
      <c r="G58" s="12"/>
      <c r="H58" s="12"/>
      <c r="I58" s="12"/>
      <c r="J58" s="12"/>
      <c r="K58" s="12"/>
      <c r="L58" s="13"/>
    </row>
    <row r="59" spans="1:19" ht="15.75" customHeight="1" thickBot="1" x14ac:dyDescent="0.3">
      <c r="C59" s="34" t="s">
        <v>35</v>
      </c>
      <c r="D59" s="10">
        <f>SUM(D45:D58)</f>
        <v>0</v>
      </c>
      <c r="E59" s="35" t="e">
        <f>F59/D59</f>
        <v>#DIV/0!</v>
      </c>
      <c r="F59" s="4">
        <f>SUM(F45:F58)</f>
        <v>0</v>
      </c>
      <c r="G59" s="14"/>
      <c r="H59" s="14"/>
      <c r="I59" s="14"/>
      <c r="J59" s="14"/>
      <c r="K59" s="14"/>
      <c r="L59" s="51"/>
    </row>
    <row r="60" spans="1:19" ht="15.75" customHeight="1" thickTop="1" x14ac:dyDescent="0.25">
      <c r="C60" s="37"/>
      <c r="D60" s="49"/>
      <c r="E60" s="38"/>
      <c r="F60" s="14"/>
      <c r="G60" s="14"/>
      <c r="H60" s="14"/>
      <c r="I60" s="14"/>
      <c r="J60" s="14"/>
      <c r="K60" s="14"/>
      <c r="L60" s="51"/>
    </row>
    <row r="61" spans="1:19" ht="18.75" customHeight="1" x14ac:dyDescent="0.3">
      <c r="A61" s="17"/>
      <c r="K61" s="55">
        <v>1</v>
      </c>
      <c r="L61" s="18" t="s">
        <v>1</v>
      </c>
      <c r="M61" s="19">
        <v>44629</v>
      </c>
    </row>
    <row r="62" spans="1:19" x14ac:dyDescent="0.25">
      <c r="L62" s="18" t="s">
        <v>2</v>
      </c>
      <c r="M62" s="20" t="s">
        <v>56</v>
      </c>
      <c r="N62" s="20"/>
      <c r="R62" s="21"/>
    </row>
    <row r="63" spans="1:19" ht="18.75" customHeight="1" x14ac:dyDescent="0.3">
      <c r="A63" s="22"/>
      <c r="B63" s="17"/>
      <c r="C63" s="17"/>
      <c r="L63" s="53" t="s">
        <v>4</v>
      </c>
      <c r="M63" s="54">
        <v>44643</v>
      </c>
      <c r="N63" s="19"/>
      <c r="R63" s="23"/>
      <c r="S63" s="37"/>
    </row>
    <row r="64" spans="1:19" ht="18.75" customHeight="1" x14ac:dyDescent="0.3">
      <c r="A64" s="17"/>
      <c r="K64" s="55">
        <v>2</v>
      </c>
      <c r="L64" s="18" t="s">
        <v>1</v>
      </c>
      <c r="M64" s="19">
        <v>44803</v>
      </c>
    </row>
    <row r="65" spans="1:19" x14ac:dyDescent="0.25">
      <c r="L65" s="18" t="s">
        <v>2</v>
      </c>
      <c r="M65" s="20" t="s">
        <v>159</v>
      </c>
      <c r="N65" s="20"/>
      <c r="R65" s="21"/>
    </row>
    <row r="66" spans="1:19" ht="18.75" customHeight="1" x14ac:dyDescent="0.3">
      <c r="A66" s="22">
        <v>4</v>
      </c>
      <c r="B66" s="17" t="str">
        <f>INDEX(Stocks!A:B,MATCH(P67,Stocks!A:A,),2)&amp;" ("&amp;P67&amp;")"</f>
        <v>HK Exchange (388:HK)</v>
      </c>
      <c r="C66" s="17"/>
      <c r="G66" s="16" t="s">
        <v>162</v>
      </c>
      <c r="H66" s="57"/>
      <c r="L66" s="18" t="s">
        <v>4</v>
      </c>
      <c r="M66" s="19">
        <v>44818</v>
      </c>
      <c r="N66" s="19"/>
      <c r="R66" s="23"/>
      <c r="S66" s="37"/>
    </row>
    <row r="67" spans="1:19" x14ac:dyDescent="0.25">
      <c r="A67" s="25"/>
      <c r="C67" s="26" t="s">
        <v>5</v>
      </c>
      <c r="D67" s="26" t="s">
        <v>6</v>
      </c>
      <c r="E67" s="26" t="s">
        <v>7</v>
      </c>
      <c r="F67" s="27" t="s">
        <v>8</v>
      </c>
      <c r="G67" s="24"/>
      <c r="H67" s="26" t="s">
        <v>163</v>
      </c>
      <c r="I67" s="27" t="s">
        <v>164</v>
      </c>
      <c r="J67" s="26" t="str">
        <f>IF(COUNTIF(J68:J79,"&gt;0")&lt;&gt;0,IF(COUNTIF(J68:J79,"&lt;0")&lt;&gt;0,"Gain / Loss", "Gain"),"Loss")</f>
        <v>Loss</v>
      </c>
      <c r="K67" s="26" t="str">
        <f>"% "&amp;IF(COUNTIF(K68:K79,"&gt;=0")&lt;&gt;0,IF(COUNTIF(K68:K79,"&lt;0")&lt;&gt;0,"Gain / Loss", "Gain"),"Loss")</f>
        <v>% Loss</v>
      </c>
      <c r="O67" s="28"/>
      <c r="P67" t="s">
        <v>57</v>
      </c>
    </row>
    <row r="68" spans="1:19" x14ac:dyDescent="0.25">
      <c r="B68" s="29"/>
      <c r="C68" s="30" t="s">
        <v>166</v>
      </c>
      <c r="D68" s="1">
        <f>SUMIF(Download!B:B,Q68,Download!G:G)</f>
        <v>0</v>
      </c>
      <c r="E68" s="31">
        <f>SUMIF(Download!B:B,Q68,Download!H:H)</f>
        <v>0</v>
      </c>
      <c r="F68" s="5">
        <f t="shared" ref="F68:F79" si="12">D68*E68</f>
        <v>0</v>
      </c>
      <c r="G68" s="12"/>
      <c r="H68" s="1">
        <v>3000</v>
      </c>
      <c r="I68" s="5">
        <f>H68*H66</f>
        <v>0</v>
      </c>
      <c r="J68" s="5">
        <f>(H66-E68)*H68</f>
        <v>0</v>
      </c>
      <c r="K68" s="58" t="e">
        <f>(H66/E68)-1</f>
        <v>#DIV/0!</v>
      </c>
      <c r="L68" s="13"/>
      <c r="O68" t="s">
        <v>167</v>
      </c>
      <c r="P68" t="str">
        <f>P67</f>
        <v>388:HK</v>
      </c>
      <c r="Q68" t="str">
        <f t="shared" ref="Q68:Q79" si="13">O68&amp;P68</f>
        <v>CBSG388:HK</v>
      </c>
    </row>
    <row r="69" spans="1:19" x14ac:dyDescent="0.25">
      <c r="B69" s="29"/>
      <c r="C69" s="30" t="s">
        <v>12</v>
      </c>
      <c r="D69" s="1">
        <f>SUMIF(Download!B:B,Q69,Download!G:G)</f>
        <v>0</v>
      </c>
      <c r="E69" s="31">
        <f>SUMIF(Download!B:B,Q69,Download!H:H)</f>
        <v>0</v>
      </c>
      <c r="F69" s="5">
        <f t="shared" si="12"/>
        <v>0</v>
      </c>
      <c r="G69" s="12"/>
      <c r="H69" s="1">
        <f>H68</f>
        <v>3000</v>
      </c>
      <c r="I69" s="5">
        <f>H69*H66</f>
        <v>0</v>
      </c>
      <c r="J69" s="5">
        <f>(H66-E69)*H69</f>
        <v>0</v>
      </c>
      <c r="K69" s="58" t="e">
        <f>(H66/E69)-1</f>
        <v>#DIV/0!</v>
      </c>
      <c r="L69" s="13"/>
      <c r="O69" t="s">
        <v>13</v>
      </c>
      <c r="P69" t="str">
        <f>P67</f>
        <v>388:HK</v>
      </c>
      <c r="Q69" t="str">
        <f t="shared" si="13"/>
        <v>CB2388:HK</v>
      </c>
    </row>
    <row r="70" spans="1:19" x14ac:dyDescent="0.25">
      <c r="B70" s="29"/>
      <c r="C70" s="30" t="s">
        <v>14</v>
      </c>
      <c r="D70" s="1">
        <f>SUMIF(Download!B:B,Q70,Download!G:G)</f>
        <v>0</v>
      </c>
      <c r="E70" s="31">
        <f>SUMIF(Download!B:B,Q70,Download!H:H)</f>
        <v>0</v>
      </c>
      <c r="F70" s="5">
        <f t="shared" si="12"/>
        <v>0</v>
      </c>
      <c r="G70" s="12"/>
      <c r="H70" s="1">
        <f t="shared" ref="H70:H79" si="14">H69</f>
        <v>3000</v>
      </c>
      <c r="I70" s="5">
        <f>H70*H66</f>
        <v>0</v>
      </c>
      <c r="J70" s="5">
        <f>(H66-E70)*H70</f>
        <v>0</v>
      </c>
      <c r="K70" s="58" t="e">
        <f>(H66/E70)-1</f>
        <v>#DIV/0!</v>
      </c>
      <c r="L70" s="13"/>
      <c r="O70" t="s">
        <v>15</v>
      </c>
      <c r="P70" t="str">
        <f>P68</f>
        <v>388:HK</v>
      </c>
      <c r="Q70" t="str">
        <f t="shared" si="13"/>
        <v>CB3388:HK</v>
      </c>
    </row>
    <row r="71" spans="1:19" x14ac:dyDescent="0.25">
      <c r="B71" s="29"/>
      <c r="C71" s="30" t="s">
        <v>16</v>
      </c>
      <c r="D71" s="1">
        <f>SUMIF(Download!B:B,Q71,Download!G:G)</f>
        <v>0</v>
      </c>
      <c r="E71" s="31">
        <f>SUMIF(Download!B:B,Q71,Download!H:H)</f>
        <v>0</v>
      </c>
      <c r="F71" s="5">
        <f t="shared" si="12"/>
        <v>0</v>
      </c>
      <c r="G71" s="12"/>
      <c r="H71" s="1">
        <f t="shared" si="14"/>
        <v>3000</v>
      </c>
      <c r="I71" s="5">
        <f>H71*H66</f>
        <v>0</v>
      </c>
      <c r="J71" s="5">
        <f>(H66-E71)*H71</f>
        <v>0</v>
      </c>
      <c r="K71" s="58" t="e">
        <f>(H66/E71)-1</f>
        <v>#DIV/0!</v>
      </c>
      <c r="L71" s="13"/>
      <c r="O71" t="s">
        <v>17</v>
      </c>
      <c r="P71" t="str">
        <f t="shared" ref="P71:P79" si="15">P70</f>
        <v>388:HK</v>
      </c>
      <c r="Q71" t="str">
        <f t="shared" si="13"/>
        <v>CBBH388:HK</v>
      </c>
    </row>
    <row r="72" spans="1:19" x14ac:dyDescent="0.25">
      <c r="B72" s="29"/>
      <c r="C72" s="30" t="s">
        <v>18</v>
      </c>
      <c r="D72" s="1">
        <f>SUMIF(Download!B:B,Q72,Download!G:G)</f>
        <v>0</v>
      </c>
      <c r="E72" s="31">
        <f>SUMIF(Download!B:B,Q72,Download!H:H)</f>
        <v>0</v>
      </c>
      <c r="F72" s="5">
        <f t="shared" si="12"/>
        <v>0</v>
      </c>
      <c r="G72" s="12"/>
      <c r="H72" s="1">
        <f t="shared" si="14"/>
        <v>3000</v>
      </c>
      <c r="I72" s="5">
        <f>H72*H66</f>
        <v>0</v>
      </c>
      <c r="J72" s="5">
        <f>(H66-E72)*H72</f>
        <v>0</v>
      </c>
      <c r="K72" s="58" t="e">
        <f>(H66/E72)-1</f>
        <v>#DIV/0!</v>
      </c>
      <c r="L72" s="13"/>
      <c r="O72" t="s">
        <v>19</v>
      </c>
      <c r="P72" t="str">
        <f t="shared" si="15"/>
        <v>388:HK</v>
      </c>
      <c r="Q72" t="str">
        <f t="shared" si="13"/>
        <v>BOS388:HK</v>
      </c>
    </row>
    <row r="73" spans="1:19" x14ac:dyDescent="0.25">
      <c r="B73" s="29"/>
      <c r="C73" s="30" t="s">
        <v>20</v>
      </c>
      <c r="D73" s="1">
        <f>SUMIF(Download!B:B,Q73,Download!G:G)</f>
        <v>0</v>
      </c>
      <c r="E73" s="31">
        <f>SUMIF(Download!B:B,Q73,Download!H:H)</f>
        <v>0</v>
      </c>
      <c r="F73" s="5">
        <f t="shared" si="12"/>
        <v>0</v>
      </c>
      <c r="G73" s="12"/>
      <c r="H73" s="1">
        <f t="shared" si="14"/>
        <v>3000</v>
      </c>
      <c r="I73" s="5">
        <f>H73*H66</f>
        <v>0</v>
      </c>
      <c r="J73" s="5">
        <f>(H66-E73)*H73</f>
        <v>0</v>
      </c>
      <c r="K73" s="58" t="e">
        <f>(H66/E73)-1</f>
        <v>#DIV/0!</v>
      </c>
      <c r="L73" s="13"/>
      <c r="O73" t="s">
        <v>21</v>
      </c>
      <c r="P73" t="str">
        <f t="shared" si="15"/>
        <v>388:HK</v>
      </c>
      <c r="Q73" t="str">
        <f t="shared" si="13"/>
        <v>DBPe388:HK</v>
      </c>
    </row>
    <row r="74" spans="1:19" x14ac:dyDescent="0.25">
      <c r="B74" s="29"/>
      <c r="C74" s="30" t="s">
        <v>22</v>
      </c>
      <c r="D74" s="1">
        <f>SUMIF(Download!B:B,Q74,Download!G:G)</f>
        <v>0</v>
      </c>
      <c r="E74" s="31">
        <f>SUMIF(Download!B:B,Q74,Download!H:H)</f>
        <v>0</v>
      </c>
      <c r="F74" s="5">
        <f t="shared" si="12"/>
        <v>0</v>
      </c>
      <c r="G74" s="12"/>
      <c r="H74" s="1">
        <f t="shared" si="14"/>
        <v>3000</v>
      </c>
      <c r="I74" s="5">
        <f>H74*H66</f>
        <v>0</v>
      </c>
      <c r="J74" s="5">
        <f>(H66-E74)*H74</f>
        <v>0</v>
      </c>
      <c r="K74" s="58" t="e">
        <f>(H66/E74)-1</f>
        <v>#DIV/0!</v>
      </c>
      <c r="L74" s="13"/>
      <c r="O74" t="s">
        <v>23</v>
      </c>
      <c r="P74" t="str">
        <f t="shared" si="15"/>
        <v>388:HK</v>
      </c>
      <c r="Q74" t="str">
        <f t="shared" si="13"/>
        <v>DBPL388:HK</v>
      </c>
    </row>
    <row r="75" spans="1:19" x14ac:dyDescent="0.25">
      <c r="B75" s="29"/>
      <c r="C75" s="30" t="s">
        <v>24</v>
      </c>
      <c r="D75" s="1">
        <f>SUMIF(Download!B:B,Q75,Download!G:G)</f>
        <v>0</v>
      </c>
      <c r="E75" s="31">
        <f>SUMIF(Download!B:B,Q75,Download!H:H)</f>
        <v>0</v>
      </c>
      <c r="F75" s="5">
        <f t="shared" si="12"/>
        <v>0</v>
      </c>
      <c r="G75" s="12"/>
      <c r="H75" s="1">
        <f t="shared" si="14"/>
        <v>3000</v>
      </c>
      <c r="I75" s="5">
        <f>H75*H66</f>
        <v>0</v>
      </c>
      <c r="J75" s="5">
        <f>(H66-E75)*H75</f>
        <v>0</v>
      </c>
      <c r="K75" s="58" t="e">
        <f>(H66/E75)-1</f>
        <v>#DIV/0!</v>
      </c>
      <c r="L75" s="13"/>
      <c r="O75" t="s">
        <v>25</v>
      </c>
      <c r="P75" t="str">
        <f t="shared" si="15"/>
        <v>388:HK</v>
      </c>
      <c r="Q75" t="str">
        <f t="shared" si="13"/>
        <v>SC388:HK</v>
      </c>
    </row>
    <row r="76" spans="1:19" x14ac:dyDescent="0.25">
      <c r="B76" s="29"/>
      <c r="C76" s="30" t="s">
        <v>26</v>
      </c>
      <c r="D76" s="1">
        <f>SUMIF(Download!B:B,Q76,Download!G:G)</f>
        <v>0</v>
      </c>
      <c r="E76" s="31">
        <f>SUMIF(Download!B:B,Q76,Download!H:H)</f>
        <v>0</v>
      </c>
      <c r="F76" s="5">
        <f t="shared" si="12"/>
        <v>0</v>
      </c>
      <c r="G76" s="12"/>
      <c r="H76" s="1">
        <f t="shared" si="14"/>
        <v>3000</v>
      </c>
      <c r="I76" s="5">
        <f>H76*H66</f>
        <v>0</v>
      </c>
      <c r="J76" s="5">
        <f>(H66-E76)*H76</f>
        <v>0</v>
      </c>
      <c r="K76" s="58" t="e">
        <f>(H66/E76)-1</f>
        <v>#DIV/0!</v>
      </c>
      <c r="L76" s="13"/>
      <c r="O76" t="s">
        <v>27</v>
      </c>
      <c r="P76" t="str">
        <f t="shared" si="15"/>
        <v>388:HK</v>
      </c>
      <c r="Q76" t="str">
        <f t="shared" si="13"/>
        <v>SHK388:HK</v>
      </c>
    </row>
    <row r="77" spans="1:19" x14ac:dyDescent="0.25">
      <c r="B77" s="29"/>
      <c r="C77" s="30" t="s">
        <v>28</v>
      </c>
      <c r="D77" s="1">
        <f>SUMIF(Download!B:B,Q77,Download!G:G)</f>
        <v>0</v>
      </c>
      <c r="E77" s="31">
        <f>SUMIF(Download!B:B,Q77,Download!H:H)</f>
        <v>0</v>
      </c>
      <c r="F77" s="5">
        <f t="shared" si="12"/>
        <v>0</v>
      </c>
      <c r="G77" s="12"/>
      <c r="H77" s="1">
        <f t="shared" si="14"/>
        <v>3000</v>
      </c>
      <c r="I77" s="5">
        <f>H77*H66</f>
        <v>0</v>
      </c>
      <c r="J77" s="5">
        <f>(H66-E77)*H77</f>
        <v>0</v>
      </c>
      <c r="K77" s="58" t="e">
        <f>(H66/E77)-1</f>
        <v>#DIV/0!</v>
      </c>
      <c r="L77" s="13"/>
      <c r="O77" t="s">
        <v>29</v>
      </c>
      <c r="P77" t="str">
        <f t="shared" si="15"/>
        <v>388:HK</v>
      </c>
      <c r="Q77" t="str">
        <f t="shared" si="13"/>
        <v>MST1388:HK</v>
      </c>
    </row>
    <row r="78" spans="1:19" x14ac:dyDescent="0.25">
      <c r="B78" s="29"/>
      <c r="C78" s="30" t="s">
        <v>30</v>
      </c>
      <c r="D78" s="1">
        <f>SUMIF(Download!B:B,Q78,Download!G:G)</f>
        <v>0</v>
      </c>
      <c r="E78" s="31">
        <f>SUMIF(Download!B:B,Q78,Download!H:H)</f>
        <v>0</v>
      </c>
      <c r="F78" s="5">
        <f t="shared" si="12"/>
        <v>0</v>
      </c>
      <c r="G78" s="12"/>
      <c r="H78" s="1">
        <f t="shared" si="14"/>
        <v>3000</v>
      </c>
      <c r="I78" s="5">
        <f>H78*H66</f>
        <v>0</v>
      </c>
      <c r="J78" s="5">
        <f>(H66-E78)*H78</f>
        <v>0</v>
      </c>
      <c r="K78" s="58" t="e">
        <f>(H66/E78)-1</f>
        <v>#DIV/0!</v>
      </c>
      <c r="L78" s="13"/>
      <c r="O78" t="s">
        <v>32</v>
      </c>
      <c r="P78" t="str">
        <f t="shared" si="15"/>
        <v>388:HK</v>
      </c>
      <c r="Q78" t="str">
        <f t="shared" si="13"/>
        <v>MST2388:HK</v>
      </c>
    </row>
    <row r="79" spans="1:19" x14ac:dyDescent="0.25">
      <c r="B79" s="29"/>
      <c r="C79" s="30" t="s">
        <v>33</v>
      </c>
      <c r="D79" s="1">
        <f>SUMIF(Download!B:B,Q79,Download!G:G)</f>
        <v>0</v>
      </c>
      <c r="E79" s="31">
        <f>SUMIF(Download!B:B,Q79,Download!H:H)</f>
        <v>0</v>
      </c>
      <c r="F79" s="5">
        <f t="shared" si="12"/>
        <v>0</v>
      </c>
      <c r="G79" s="12"/>
      <c r="H79" s="1">
        <f t="shared" si="14"/>
        <v>3000</v>
      </c>
      <c r="I79" s="5">
        <f>H79*H66</f>
        <v>0</v>
      </c>
      <c r="J79" s="5">
        <f>(H66-E79)*H79</f>
        <v>0</v>
      </c>
      <c r="K79" s="58" t="e">
        <f>(H66/E79)-1</f>
        <v>#DIV/0!</v>
      </c>
      <c r="L79" s="13"/>
      <c r="O79" t="s">
        <v>34</v>
      </c>
      <c r="P79" t="str">
        <f t="shared" si="15"/>
        <v>388:HK</v>
      </c>
      <c r="Q79" t="str">
        <f t="shared" si="13"/>
        <v>MSPL388:HK</v>
      </c>
    </row>
    <row r="80" spans="1:19" x14ac:dyDescent="0.25">
      <c r="B80" s="29"/>
      <c r="C80" s="32"/>
      <c r="D80" s="11"/>
      <c r="E80" s="33"/>
      <c r="F80" s="12"/>
      <c r="G80" s="12"/>
      <c r="H80" s="12"/>
      <c r="I80" s="12"/>
      <c r="J80" s="12"/>
      <c r="K80" s="12"/>
      <c r="L80" s="13"/>
    </row>
    <row r="81" spans="1:19" ht="15.75" customHeight="1" thickBot="1" x14ac:dyDescent="0.3">
      <c r="C81" s="34" t="s">
        <v>35</v>
      </c>
      <c r="D81" s="10">
        <f>SUM(D67:D80)</f>
        <v>0</v>
      </c>
      <c r="E81" s="35" t="e">
        <f>F81/D81</f>
        <v>#DIV/0!</v>
      </c>
      <c r="F81" s="4">
        <f>SUM(F67:F80)</f>
        <v>0</v>
      </c>
      <c r="G81" s="14"/>
      <c r="H81" s="14"/>
      <c r="I81" s="14"/>
      <c r="J81" s="14"/>
      <c r="K81" s="14"/>
      <c r="L81" s="51"/>
    </row>
    <row r="82" spans="1:19" ht="18.75" customHeight="1" thickTop="1" x14ac:dyDescent="0.3">
      <c r="A82" s="17"/>
      <c r="L82" s="18"/>
      <c r="M82" s="19"/>
    </row>
    <row r="83" spans="1:19" ht="18.75" customHeight="1" x14ac:dyDescent="0.3">
      <c r="A83" s="17"/>
      <c r="L83" s="18"/>
      <c r="M83" s="19"/>
    </row>
    <row r="84" spans="1:19" x14ac:dyDescent="0.25">
      <c r="L84" s="18"/>
      <c r="M84" s="20"/>
      <c r="N84" s="20"/>
      <c r="R84" s="21"/>
    </row>
    <row r="85" spans="1:19" ht="18.75" customHeight="1" x14ac:dyDescent="0.3">
      <c r="A85" s="22">
        <v>5</v>
      </c>
      <c r="B85" s="17" t="str">
        <f>INDEX(Stocks!A:B,MATCH(P86,Stocks!A:A,),2)&amp;" ("&amp;P86&amp;")"</f>
        <v>Alibaba (9988:HK)</v>
      </c>
      <c r="C85" s="17"/>
      <c r="G85" s="16" t="s">
        <v>162</v>
      </c>
      <c r="H85" s="57"/>
      <c r="L85" s="18"/>
      <c r="M85" s="19"/>
      <c r="N85" s="19"/>
      <c r="R85" s="23"/>
      <c r="S85" s="37"/>
    </row>
    <row r="86" spans="1:19" x14ac:dyDescent="0.25">
      <c r="A86" s="25"/>
      <c r="C86" s="26" t="s">
        <v>5</v>
      </c>
      <c r="D86" s="26" t="s">
        <v>6</v>
      </c>
      <c r="E86" s="26" t="s">
        <v>7</v>
      </c>
      <c r="F86" s="27" t="s">
        <v>8</v>
      </c>
      <c r="G86" s="24"/>
      <c r="H86" s="26" t="s">
        <v>163</v>
      </c>
      <c r="I86" s="27" t="s">
        <v>164</v>
      </c>
      <c r="J86" s="26" t="str">
        <f>IF(COUNTIF(J87:J98,"&gt;0")&lt;&gt;0,IF(COUNTIF(J87:J98,"&lt;0")&lt;&gt;0,"Gain / Loss", "Gain"),"Loss")</f>
        <v>Loss</v>
      </c>
      <c r="K86" s="26" t="str">
        <f>"% "&amp;IF(COUNTIF(K87:K98,"&gt;=0")&lt;&gt;0,IF(COUNTIF(K87:K98,"&lt;0")&lt;&gt;0,"Gain / Loss", "Gain"),"Loss")</f>
        <v>% Loss</v>
      </c>
      <c r="O86" s="28"/>
      <c r="P86" t="s">
        <v>58</v>
      </c>
    </row>
    <row r="87" spans="1:19" x14ac:dyDescent="0.25">
      <c r="B87" s="29"/>
      <c r="C87" s="30" t="s">
        <v>166</v>
      </c>
      <c r="D87" s="1">
        <f>SUMIF(Download!B:B,Q87,Download!G:G)</f>
        <v>0</v>
      </c>
      <c r="E87" s="31">
        <f>SUMIF(Download!B:B,Q87,Download!H:H)</f>
        <v>0</v>
      </c>
      <c r="F87" s="5">
        <f t="shared" ref="F87:F98" si="16">D87*E87</f>
        <v>0</v>
      </c>
      <c r="G87" s="12"/>
      <c r="H87" s="1">
        <v>3000</v>
      </c>
      <c r="I87" s="5">
        <f>H87*H85</f>
        <v>0</v>
      </c>
      <c r="J87" s="5">
        <f>(H85-E87)*H87</f>
        <v>0</v>
      </c>
      <c r="K87" s="58" t="e">
        <f>(H85/E87)-1</f>
        <v>#DIV/0!</v>
      </c>
      <c r="L87" s="13"/>
      <c r="O87" t="s">
        <v>167</v>
      </c>
      <c r="P87" t="str">
        <f>P86</f>
        <v>9988:HK</v>
      </c>
      <c r="Q87" t="str">
        <f t="shared" ref="Q87:Q98" si="17">O87&amp;P87</f>
        <v>CBSG9988:HK</v>
      </c>
    </row>
    <row r="88" spans="1:19" x14ac:dyDescent="0.25">
      <c r="B88" s="29"/>
      <c r="C88" s="30" t="s">
        <v>12</v>
      </c>
      <c r="D88" s="1">
        <f>SUMIF(Download!B:B,Q88,Download!G:G)</f>
        <v>0</v>
      </c>
      <c r="E88" s="31">
        <f>SUMIF(Download!B:B,Q88,Download!H:H)</f>
        <v>0</v>
      </c>
      <c r="F88" s="5">
        <f t="shared" si="16"/>
        <v>0</v>
      </c>
      <c r="G88" s="12"/>
      <c r="H88" s="1">
        <f>H87</f>
        <v>3000</v>
      </c>
      <c r="I88" s="5">
        <f>H88*H85</f>
        <v>0</v>
      </c>
      <c r="J88" s="5">
        <f>(H85-E88)*H88</f>
        <v>0</v>
      </c>
      <c r="K88" s="58" t="e">
        <f>(H85/E88)-1</f>
        <v>#DIV/0!</v>
      </c>
      <c r="L88" s="13"/>
      <c r="O88" t="s">
        <v>13</v>
      </c>
      <c r="P88" t="str">
        <f>P86</f>
        <v>9988:HK</v>
      </c>
      <c r="Q88" t="str">
        <f t="shared" si="17"/>
        <v>CB29988:HK</v>
      </c>
    </row>
    <row r="89" spans="1:19" x14ac:dyDescent="0.25">
      <c r="B89" s="29"/>
      <c r="C89" s="30" t="s">
        <v>14</v>
      </c>
      <c r="D89" s="1">
        <f>SUMIF(Download!B:B,Q89,Download!G:G)</f>
        <v>0</v>
      </c>
      <c r="E89" s="31">
        <f>SUMIF(Download!B:B,Q89,Download!H:H)</f>
        <v>0</v>
      </c>
      <c r="F89" s="5">
        <f t="shared" si="16"/>
        <v>0</v>
      </c>
      <c r="G89" s="12"/>
      <c r="H89" s="1">
        <f t="shared" ref="H89:H98" si="18">H88</f>
        <v>3000</v>
      </c>
      <c r="I89" s="5">
        <f>H89*H85</f>
        <v>0</v>
      </c>
      <c r="J89" s="5">
        <f>(H85-E89)*H89</f>
        <v>0</v>
      </c>
      <c r="K89" s="58" t="e">
        <f>(H85/E89)-1</f>
        <v>#DIV/0!</v>
      </c>
      <c r="L89" s="13"/>
      <c r="O89" t="s">
        <v>15</v>
      </c>
      <c r="P89" t="str">
        <f>P87</f>
        <v>9988:HK</v>
      </c>
      <c r="Q89" t="str">
        <f t="shared" si="17"/>
        <v>CB39988:HK</v>
      </c>
    </row>
    <row r="90" spans="1:19" x14ac:dyDescent="0.25">
      <c r="B90" s="29"/>
      <c r="C90" s="30" t="s">
        <v>16</v>
      </c>
      <c r="D90" s="1">
        <f>SUMIF(Download!B:B,Q90,Download!G:G)</f>
        <v>0</v>
      </c>
      <c r="E90" s="31">
        <f>SUMIF(Download!B:B,Q90,Download!H:H)</f>
        <v>0</v>
      </c>
      <c r="F90" s="5">
        <f t="shared" si="16"/>
        <v>0</v>
      </c>
      <c r="G90" s="12"/>
      <c r="H90" s="1">
        <f t="shared" si="18"/>
        <v>3000</v>
      </c>
      <c r="I90" s="5">
        <f>H90*H85</f>
        <v>0</v>
      </c>
      <c r="J90" s="5">
        <f>(H85-E90)*H90</f>
        <v>0</v>
      </c>
      <c r="K90" s="58" t="e">
        <f>(H85/E90)-1</f>
        <v>#DIV/0!</v>
      </c>
      <c r="L90" s="13"/>
      <c r="O90" t="s">
        <v>17</v>
      </c>
      <c r="P90" t="str">
        <f t="shared" ref="P90:P98" si="19">P89</f>
        <v>9988:HK</v>
      </c>
      <c r="Q90" t="str">
        <f t="shared" si="17"/>
        <v>CBBH9988:HK</v>
      </c>
    </row>
    <row r="91" spans="1:19" x14ac:dyDescent="0.25">
      <c r="B91" s="29"/>
      <c r="C91" s="30" t="s">
        <v>18</v>
      </c>
      <c r="D91" s="1">
        <f>SUMIF(Download!B:B,Q91,Download!G:G)</f>
        <v>0</v>
      </c>
      <c r="E91" s="31">
        <f>SUMIF(Download!B:B,Q91,Download!H:H)</f>
        <v>0</v>
      </c>
      <c r="F91" s="5">
        <f t="shared" si="16"/>
        <v>0</v>
      </c>
      <c r="G91" s="12"/>
      <c r="H91" s="1">
        <f t="shared" si="18"/>
        <v>3000</v>
      </c>
      <c r="I91" s="5">
        <f>H91*H85</f>
        <v>0</v>
      </c>
      <c r="J91" s="5">
        <f>(H85-E91)*H91</f>
        <v>0</v>
      </c>
      <c r="K91" s="58" t="e">
        <f>(H85/E91)-1</f>
        <v>#DIV/0!</v>
      </c>
      <c r="L91" s="13"/>
      <c r="O91" t="s">
        <v>19</v>
      </c>
      <c r="P91" t="str">
        <f t="shared" si="19"/>
        <v>9988:HK</v>
      </c>
      <c r="Q91" t="str">
        <f t="shared" si="17"/>
        <v>BOS9988:HK</v>
      </c>
    </row>
    <row r="92" spans="1:19" x14ac:dyDescent="0.25">
      <c r="B92" s="29"/>
      <c r="C92" s="30" t="s">
        <v>20</v>
      </c>
      <c r="D92" s="1">
        <f>SUMIF(Download!B:B,Q92,Download!G:G)</f>
        <v>0</v>
      </c>
      <c r="E92" s="31">
        <f>SUMIF(Download!B:B,Q92,Download!H:H)</f>
        <v>0</v>
      </c>
      <c r="F92" s="5">
        <f t="shared" si="16"/>
        <v>0</v>
      </c>
      <c r="G92" s="12"/>
      <c r="H92" s="1">
        <f t="shared" si="18"/>
        <v>3000</v>
      </c>
      <c r="I92" s="5">
        <f>H92*H85</f>
        <v>0</v>
      </c>
      <c r="J92" s="5">
        <f>(H85-E92)*H92</f>
        <v>0</v>
      </c>
      <c r="K92" s="58" t="e">
        <f>(H85/E92)-1</f>
        <v>#DIV/0!</v>
      </c>
      <c r="L92" s="13"/>
      <c r="O92" t="s">
        <v>21</v>
      </c>
      <c r="P92" t="str">
        <f t="shared" si="19"/>
        <v>9988:HK</v>
      </c>
      <c r="Q92" t="str">
        <f t="shared" si="17"/>
        <v>DBPe9988:HK</v>
      </c>
    </row>
    <row r="93" spans="1:19" x14ac:dyDescent="0.25">
      <c r="B93" s="29"/>
      <c r="C93" s="30" t="s">
        <v>22</v>
      </c>
      <c r="D93" s="1">
        <f>SUMIF(Download!B:B,Q93,Download!G:G)</f>
        <v>0</v>
      </c>
      <c r="E93" s="31">
        <f>SUMIF(Download!B:B,Q93,Download!H:H)</f>
        <v>0</v>
      </c>
      <c r="F93" s="5">
        <f t="shared" si="16"/>
        <v>0</v>
      </c>
      <c r="G93" s="12"/>
      <c r="H93" s="1">
        <f t="shared" si="18"/>
        <v>3000</v>
      </c>
      <c r="I93" s="5">
        <f>H93*H85</f>
        <v>0</v>
      </c>
      <c r="J93" s="5">
        <f>(H85-E93)*H93</f>
        <v>0</v>
      </c>
      <c r="K93" s="58" t="e">
        <f>(H85/E93)-1</f>
        <v>#DIV/0!</v>
      </c>
      <c r="L93" s="13" t="s">
        <v>59</v>
      </c>
      <c r="O93" t="s">
        <v>23</v>
      </c>
      <c r="P93" t="str">
        <f t="shared" si="19"/>
        <v>9988:HK</v>
      </c>
      <c r="Q93" t="str">
        <f t="shared" si="17"/>
        <v>DBPL9988:HK</v>
      </c>
    </row>
    <row r="94" spans="1:19" x14ac:dyDescent="0.25">
      <c r="B94" s="29"/>
      <c r="C94" s="30" t="s">
        <v>24</v>
      </c>
      <c r="D94" s="1">
        <f>SUMIF(Download!B:B,Q94,Download!G:G)</f>
        <v>0</v>
      </c>
      <c r="E94" s="31">
        <f>SUMIF(Download!B:B,Q94,Download!H:H)</f>
        <v>0</v>
      </c>
      <c r="F94" s="5">
        <f t="shared" si="16"/>
        <v>0</v>
      </c>
      <c r="G94" s="12"/>
      <c r="H94" s="1">
        <f t="shared" si="18"/>
        <v>3000</v>
      </c>
      <c r="I94" s="5">
        <f>H94*H85</f>
        <v>0</v>
      </c>
      <c r="J94" s="5">
        <f>(H85-E94)*H94</f>
        <v>0</v>
      </c>
      <c r="K94" s="58" t="e">
        <f>(H85/E94)-1</f>
        <v>#DIV/0!</v>
      </c>
      <c r="L94" s="13"/>
      <c r="O94" t="s">
        <v>25</v>
      </c>
      <c r="P94" t="str">
        <f t="shared" si="19"/>
        <v>9988:HK</v>
      </c>
      <c r="Q94" t="str">
        <f t="shared" si="17"/>
        <v>SC9988:HK</v>
      </c>
    </row>
    <row r="95" spans="1:19" x14ac:dyDescent="0.25">
      <c r="B95" s="29"/>
      <c r="C95" s="30" t="s">
        <v>26</v>
      </c>
      <c r="D95" s="1">
        <f>SUMIF(Download!B:B,Q95,Download!G:G)</f>
        <v>0</v>
      </c>
      <c r="E95" s="31">
        <f>SUMIF(Download!B:B,Q95,Download!H:H)</f>
        <v>0</v>
      </c>
      <c r="F95" s="5">
        <f t="shared" si="16"/>
        <v>0</v>
      </c>
      <c r="G95" s="12"/>
      <c r="H95" s="1">
        <f t="shared" si="18"/>
        <v>3000</v>
      </c>
      <c r="I95" s="5">
        <f>H95*H85</f>
        <v>0</v>
      </c>
      <c r="J95" s="5">
        <f>(H85-E95)*H95</f>
        <v>0</v>
      </c>
      <c r="K95" s="58" t="e">
        <f>(H85/E95)-1</f>
        <v>#DIV/0!</v>
      </c>
      <c r="L95" s="13"/>
      <c r="O95" t="s">
        <v>27</v>
      </c>
      <c r="P95" t="str">
        <f t="shared" si="19"/>
        <v>9988:HK</v>
      </c>
      <c r="Q95" t="str">
        <f t="shared" si="17"/>
        <v>SHK9988:HK</v>
      </c>
    </row>
    <row r="96" spans="1:19" x14ac:dyDescent="0.25">
      <c r="B96" s="29"/>
      <c r="C96" s="30" t="s">
        <v>28</v>
      </c>
      <c r="D96" s="1">
        <f>SUMIF(Download!B:B,Q96,Download!G:G)</f>
        <v>0</v>
      </c>
      <c r="E96" s="31">
        <f>SUMIF(Download!B:B,Q96,Download!H:H)</f>
        <v>0</v>
      </c>
      <c r="F96" s="5">
        <f t="shared" si="16"/>
        <v>0</v>
      </c>
      <c r="G96" s="12"/>
      <c r="H96" s="1">
        <f t="shared" si="18"/>
        <v>3000</v>
      </c>
      <c r="I96" s="5">
        <f>H96*H85</f>
        <v>0</v>
      </c>
      <c r="J96" s="5">
        <f>(H85-E96)*H96</f>
        <v>0</v>
      </c>
      <c r="K96" s="58" t="e">
        <f>(H85/E96)-1</f>
        <v>#DIV/0!</v>
      </c>
      <c r="L96" s="13"/>
      <c r="O96" t="s">
        <v>29</v>
      </c>
      <c r="P96" t="str">
        <f t="shared" si="19"/>
        <v>9988:HK</v>
      </c>
      <c r="Q96" t="str">
        <f t="shared" si="17"/>
        <v>MST19988:HK</v>
      </c>
    </row>
    <row r="97" spans="1:18" x14ac:dyDescent="0.25">
      <c r="B97" s="29"/>
      <c r="C97" s="30" t="s">
        <v>30</v>
      </c>
      <c r="D97" s="1">
        <f>SUMIF(Download!B:B,Q97,Download!G:G)</f>
        <v>0</v>
      </c>
      <c r="E97" s="31">
        <f>SUMIF(Download!B:B,Q97,Download!H:H)</f>
        <v>0</v>
      </c>
      <c r="F97" s="5">
        <f t="shared" si="16"/>
        <v>0</v>
      </c>
      <c r="G97" s="12"/>
      <c r="H97" s="1">
        <f t="shared" si="18"/>
        <v>3000</v>
      </c>
      <c r="I97" s="5">
        <f>H97*H85</f>
        <v>0</v>
      </c>
      <c r="J97" s="5">
        <f>(H85-E97)*H97</f>
        <v>0</v>
      </c>
      <c r="K97" s="58" t="e">
        <f>(H85/E97)-1</f>
        <v>#DIV/0!</v>
      </c>
      <c r="L97" s="13"/>
      <c r="O97" t="s">
        <v>32</v>
      </c>
      <c r="P97" t="str">
        <f t="shared" si="19"/>
        <v>9988:HK</v>
      </c>
      <c r="Q97" t="str">
        <f t="shared" si="17"/>
        <v>MST29988:HK</v>
      </c>
    </row>
    <row r="98" spans="1:18" x14ac:dyDescent="0.25">
      <c r="B98" s="29"/>
      <c r="C98" s="30" t="s">
        <v>33</v>
      </c>
      <c r="D98" s="1">
        <f>SUMIF(Download!B:B,Q98,Download!G:G)</f>
        <v>0</v>
      </c>
      <c r="E98" s="31">
        <f>SUMIF(Download!B:B,Q98,Download!H:H)</f>
        <v>0</v>
      </c>
      <c r="F98" s="5">
        <f t="shared" si="16"/>
        <v>0</v>
      </c>
      <c r="G98" s="12"/>
      <c r="H98" s="1">
        <f t="shared" si="18"/>
        <v>3000</v>
      </c>
      <c r="I98" s="5">
        <f>H98*H85</f>
        <v>0</v>
      </c>
      <c r="J98" s="5">
        <f>(H85-E98)*H98</f>
        <v>0</v>
      </c>
      <c r="K98" s="58" t="e">
        <f>(H85/E98)-1</f>
        <v>#DIV/0!</v>
      </c>
      <c r="L98" s="13"/>
      <c r="O98" t="s">
        <v>34</v>
      </c>
      <c r="P98" t="str">
        <f t="shared" si="19"/>
        <v>9988:HK</v>
      </c>
      <c r="Q98" t="str">
        <f t="shared" si="17"/>
        <v>MSPL9988:HK</v>
      </c>
    </row>
    <row r="99" spans="1:18" x14ac:dyDescent="0.25">
      <c r="B99" s="29"/>
      <c r="C99" s="32"/>
      <c r="D99" s="11"/>
      <c r="E99" s="33"/>
      <c r="F99" s="12"/>
      <c r="G99" s="12"/>
      <c r="H99" s="12"/>
      <c r="I99" s="12"/>
      <c r="J99" s="12"/>
      <c r="K99" s="12"/>
      <c r="L99" s="13"/>
    </row>
    <row r="100" spans="1:18" ht="15.75" customHeight="1" thickBot="1" x14ac:dyDescent="0.3">
      <c r="C100" s="34" t="s">
        <v>35</v>
      </c>
      <c r="D100" s="10">
        <f>SUM(D86:D99)</f>
        <v>0</v>
      </c>
      <c r="E100" s="35" t="e">
        <f>F100/D100</f>
        <v>#DIV/0!</v>
      </c>
      <c r="F100" s="4">
        <f>SUM(F86:F99)</f>
        <v>0</v>
      </c>
      <c r="G100" s="14"/>
      <c r="H100" s="14"/>
      <c r="I100" s="14"/>
      <c r="J100" s="14"/>
      <c r="K100" s="14"/>
      <c r="L100" s="51"/>
    </row>
    <row r="101" spans="1:18" ht="15.75" customHeight="1" thickTop="1" x14ac:dyDescent="0.25">
      <c r="D101" s="36"/>
    </row>
    <row r="102" spans="1:18" ht="18.75" customHeight="1" x14ac:dyDescent="0.3">
      <c r="A102" s="17"/>
      <c r="L102" s="18"/>
      <c r="M102" s="19"/>
    </row>
    <row r="103" spans="1:18" ht="18.75" customHeight="1" x14ac:dyDescent="0.3">
      <c r="A103" s="17"/>
      <c r="L103" s="18"/>
      <c r="M103" s="19"/>
    </row>
    <row r="104" spans="1:18" x14ac:dyDescent="0.25">
      <c r="L104" s="18"/>
      <c r="M104" s="20"/>
      <c r="N104" s="20"/>
      <c r="R104" s="21"/>
    </row>
  </sheetData>
  <pageMargins left="0.19685039370078741" right="0.19685039370078741" top="0.23622047244094491" bottom="0.15748031496062992" header="0.31496062992125984" footer="0.31496062992125984"/>
  <pageSetup paperSize="10001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S138"/>
  <sheetViews>
    <sheetView view="pageBreakPreview" zoomScaleNormal="100" zoomScaleSheetLayoutView="100" workbookViewId="0">
      <selection activeCell="J6" sqref="J6"/>
    </sheetView>
  </sheetViews>
  <sheetFormatPr defaultRowHeight="15" x14ac:dyDescent="0.25"/>
  <cols>
    <col min="1" max="2" width="3.5703125" style="16" customWidth="1"/>
    <col min="3" max="3" width="28.28515625" style="16" bestFit="1" customWidth="1"/>
    <col min="4" max="4" width="10.140625" style="16" bestFit="1" customWidth="1"/>
    <col min="5" max="5" width="9.28515625" style="16" bestFit="1" customWidth="1"/>
    <col min="6" max="6" width="12.7109375" style="16" hidden="1" customWidth="1"/>
    <col min="7" max="11" width="12.7109375" style="16" customWidth="1"/>
    <col min="12" max="12" width="12.7109375" style="20" customWidth="1"/>
    <col min="13" max="13" width="18" style="16" customWidth="1"/>
    <col min="14" max="14" width="17.28515625" style="16" customWidth="1"/>
    <col min="15" max="15" width="7" style="16" bestFit="1" customWidth="1"/>
    <col min="18" max="18" width="10.42578125" style="16" bestFit="1" customWidth="1"/>
  </cols>
  <sheetData>
    <row r="1" spans="1:19" ht="18.75" customHeight="1" x14ac:dyDescent="0.3">
      <c r="A1" s="47" t="s">
        <v>0</v>
      </c>
    </row>
    <row r="2" spans="1:19" ht="18.75" customHeight="1" x14ac:dyDescent="0.3">
      <c r="A2" s="47" t="str">
        <f>ALL!A1</f>
        <v>As of September 20, 2022</v>
      </c>
    </row>
    <row r="3" spans="1:19" ht="18.75" customHeight="1" x14ac:dyDescent="0.3">
      <c r="A3" s="17"/>
      <c r="L3" s="18" t="s">
        <v>1</v>
      </c>
      <c r="M3" s="19">
        <v>44714</v>
      </c>
      <c r="N3" s="19"/>
    </row>
    <row r="4" spans="1:19" x14ac:dyDescent="0.25">
      <c r="L4" s="18" t="s">
        <v>2</v>
      </c>
      <c r="M4" s="20" t="s">
        <v>60</v>
      </c>
      <c r="N4" s="20"/>
      <c r="R4" s="21"/>
    </row>
    <row r="5" spans="1:19" ht="18.75" customHeight="1" x14ac:dyDescent="0.3">
      <c r="A5" s="22">
        <v>1</v>
      </c>
      <c r="B5" s="17" t="str">
        <f>INDEX(Stocks!A:B,MATCH(P6,Stocks!A:A,),2)&amp;" ("&amp;P6&amp;")"</f>
        <v>Geely Motor (175:HK)</v>
      </c>
      <c r="C5" s="17"/>
      <c r="G5" s="16" t="s">
        <v>162</v>
      </c>
      <c r="H5" s="57"/>
      <c r="L5" s="18" t="s">
        <v>4</v>
      </c>
      <c r="M5" s="19">
        <v>44768</v>
      </c>
      <c r="N5" s="19"/>
      <c r="R5" s="23"/>
      <c r="S5" s="37"/>
    </row>
    <row r="6" spans="1:19" x14ac:dyDescent="0.25">
      <c r="A6" s="25"/>
      <c r="C6" s="26" t="s">
        <v>5</v>
      </c>
      <c r="D6" s="26" t="s">
        <v>6</v>
      </c>
      <c r="E6" s="26" t="s">
        <v>7</v>
      </c>
      <c r="F6" s="27" t="s">
        <v>8</v>
      </c>
      <c r="G6" s="24"/>
      <c r="H6" s="26" t="s">
        <v>163</v>
      </c>
      <c r="I6" s="27" t="s">
        <v>164</v>
      </c>
      <c r="J6" s="26" t="str">
        <f>IF(COUNTIF(J7:J18,"&gt;0")&lt;&gt;0,IF(COUNTIF(J7:J18,"&lt;0")&lt;&gt;0,"Gain / Loss", "Gain"),"Loss")</f>
        <v>Loss</v>
      </c>
      <c r="K6" s="26" t="str">
        <f>"% "&amp;IF(COUNTIF(K7:K18,"&gt;=0")&lt;&gt;0,IF(COUNTIF(K7:K18,"&lt;0")&lt;&gt;0,"Gain / Loss", "Gain"),"Loss")</f>
        <v>% Loss</v>
      </c>
      <c r="O6" s="28"/>
      <c r="P6" t="s">
        <v>61</v>
      </c>
    </row>
    <row r="7" spans="1:19" x14ac:dyDescent="0.25">
      <c r="B7" s="29"/>
      <c r="C7" s="30" t="s">
        <v>166</v>
      </c>
      <c r="D7" s="1">
        <f>SUMIF(Download!B:B,Q7,Download!G:G)</f>
        <v>0</v>
      </c>
      <c r="E7" s="31">
        <f>SUMIF(Download!B:B,Q7,Download!H:H)</f>
        <v>0</v>
      </c>
      <c r="F7" s="5">
        <f t="shared" ref="F7:F18" si="0">D7*E7</f>
        <v>0</v>
      </c>
      <c r="G7" s="12"/>
      <c r="H7" s="1">
        <v>40000</v>
      </c>
      <c r="I7" s="5">
        <f>H7*H5</f>
        <v>0</v>
      </c>
      <c r="J7" s="5">
        <f>(H5-E7)*H7</f>
        <v>0</v>
      </c>
      <c r="K7" s="58" t="e">
        <f>(H5/E7)-1</f>
        <v>#DIV/0!</v>
      </c>
      <c r="O7" t="s">
        <v>167</v>
      </c>
      <c r="P7" t="str">
        <f>P6</f>
        <v>175:HK</v>
      </c>
      <c r="Q7" t="str">
        <f t="shared" ref="Q7:Q18" si="1">O7&amp;P7</f>
        <v>CBSG175:HK</v>
      </c>
    </row>
    <row r="8" spans="1:19" x14ac:dyDescent="0.25">
      <c r="B8" s="29"/>
      <c r="C8" s="30" t="s">
        <v>12</v>
      </c>
      <c r="D8" s="1">
        <f>SUMIF(Download!B:B,Q8,Download!G:G)</f>
        <v>0</v>
      </c>
      <c r="E8" s="31">
        <f>SUMIF(Download!B:B,Q8,Download!H:H)</f>
        <v>0</v>
      </c>
      <c r="F8" s="5">
        <f t="shared" si="0"/>
        <v>0</v>
      </c>
      <c r="G8" s="12"/>
      <c r="H8" s="1">
        <f>H7</f>
        <v>40000</v>
      </c>
      <c r="I8" s="5">
        <f>H8*H5</f>
        <v>0</v>
      </c>
      <c r="J8" s="5">
        <f>(H5-E8)*H8</f>
        <v>0</v>
      </c>
      <c r="K8" s="58" t="e">
        <f>(H5/E8)-1</f>
        <v>#DIV/0!</v>
      </c>
      <c r="O8" t="s">
        <v>13</v>
      </c>
      <c r="P8" t="str">
        <f>P6</f>
        <v>175:HK</v>
      </c>
      <c r="Q8" t="str">
        <f t="shared" si="1"/>
        <v>CB2175:HK</v>
      </c>
    </row>
    <row r="9" spans="1:19" x14ac:dyDescent="0.25">
      <c r="B9" s="29"/>
      <c r="C9" s="30" t="s">
        <v>14</v>
      </c>
      <c r="D9" s="1">
        <f>SUMIF(Download!B:B,Q9,Download!G:G)</f>
        <v>0</v>
      </c>
      <c r="E9" s="31">
        <f>SUMIF(Download!B:B,Q9,Download!H:H)</f>
        <v>0</v>
      </c>
      <c r="F9" s="5">
        <f t="shared" si="0"/>
        <v>0</v>
      </c>
      <c r="G9" s="12"/>
      <c r="H9" s="1">
        <f t="shared" ref="H9:H18" si="2">H8</f>
        <v>40000</v>
      </c>
      <c r="I9" s="5">
        <f>H9*H5</f>
        <v>0</v>
      </c>
      <c r="J9" s="5">
        <f>(H5-E9)*H9</f>
        <v>0</v>
      </c>
      <c r="K9" s="58" t="e">
        <f>(H5/E9)-1</f>
        <v>#DIV/0!</v>
      </c>
      <c r="L9" t="s">
        <v>62</v>
      </c>
      <c r="O9" t="s">
        <v>15</v>
      </c>
      <c r="P9" t="str">
        <f>P7</f>
        <v>175:HK</v>
      </c>
      <c r="Q9" t="str">
        <f t="shared" si="1"/>
        <v>CB3175:HK</v>
      </c>
    </row>
    <row r="10" spans="1:19" x14ac:dyDescent="0.25">
      <c r="B10" s="29"/>
      <c r="C10" s="30" t="s">
        <v>16</v>
      </c>
      <c r="D10" s="1">
        <f>SUMIF(Download!B:B,Q10,Download!G:G)</f>
        <v>0</v>
      </c>
      <c r="E10" s="31">
        <f>SUMIF(Download!B:B,Q10,Download!H:H)</f>
        <v>0</v>
      </c>
      <c r="F10" s="5">
        <f t="shared" si="0"/>
        <v>0</v>
      </c>
      <c r="G10" s="12"/>
      <c r="H10" s="1">
        <f t="shared" si="2"/>
        <v>40000</v>
      </c>
      <c r="I10" s="5">
        <f>H10*H5</f>
        <v>0</v>
      </c>
      <c r="J10" s="5">
        <f>(H5-E10)*H10</f>
        <v>0</v>
      </c>
      <c r="K10" s="58" t="e">
        <f>(H5/E10)-1</f>
        <v>#DIV/0!</v>
      </c>
      <c r="O10" t="s">
        <v>17</v>
      </c>
      <c r="P10" t="str">
        <f t="shared" ref="P10:P18" si="3">P9</f>
        <v>175:HK</v>
      </c>
      <c r="Q10" t="str">
        <f t="shared" si="1"/>
        <v>CBBH175:HK</v>
      </c>
    </row>
    <row r="11" spans="1:19" x14ac:dyDescent="0.25">
      <c r="B11" s="29"/>
      <c r="C11" s="30" t="s">
        <v>18</v>
      </c>
      <c r="D11" s="1">
        <f>SUMIF(Download!B:B,Q11,Download!G:G)</f>
        <v>0</v>
      </c>
      <c r="E11" s="31">
        <f>SUMIF(Download!B:B,Q11,Download!H:H)</f>
        <v>0</v>
      </c>
      <c r="F11" s="5">
        <f t="shared" si="0"/>
        <v>0</v>
      </c>
      <c r="G11" s="12"/>
      <c r="H11" s="1">
        <f t="shared" si="2"/>
        <v>40000</v>
      </c>
      <c r="I11" s="5">
        <f>H11*H5</f>
        <v>0</v>
      </c>
      <c r="J11" s="5">
        <f>(H5-E11)*H11</f>
        <v>0</v>
      </c>
      <c r="K11" s="58" t="e">
        <f>(H5/E11)-1</f>
        <v>#DIV/0!</v>
      </c>
      <c r="L11" s="13" t="s">
        <v>63</v>
      </c>
      <c r="O11" t="s">
        <v>19</v>
      </c>
      <c r="P11" t="str">
        <f t="shared" si="3"/>
        <v>175:HK</v>
      </c>
      <c r="Q11" t="str">
        <f t="shared" si="1"/>
        <v>BOS175:HK</v>
      </c>
    </row>
    <row r="12" spans="1:19" x14ac:dyDescent="0.25">
      <c r="B12" s="29"/>
      <c r="C12" s="30" t="s">
        <v>20</v>
      </c>
      <c r="D12" s="1">
        <f>SUMIF(Download!B:B,Q12,Download!G:G)</f>
        <v>0</v>
      </c>
      <c r="E12" s="31">
        <f>SUMIF(Download!B:B,Q12,Download!H:H)</f>
        <v>0</v>
      </c>
      <c r="F12" s="5">
        <f t="shared" si="0"/>
        <v>0</v>
      </c>
      <c r="G12" s="12"/>
      <c r="H12" s="1">
        <f t="shared" si="2"/>
        <v>40000</v>
      </c>
      <c r="I12" s="5">
        <f>H12*H5</f>
        <v>0</v>
      </c>
      <c r="J12" s="5">
        <f>(H5-E12)*H12</f>
        <v>0</v>
      </c>
      <c r="K12" s="58" t="e">
        <f>(H5/E12)-1</f>
        <v>#DIV/0!</v>
      </c>
      <c r="L12" s="13" t="s">
        <v>64</v>
      </c>
      <c r="O12" t="s">
        <v>21</v>
      </c>
      <c r="P12" t="str">
        <f t="shared" si="3"/>
        <v>175:HK</v>
      </c>
      <c r="Q12" t="str">
        <f t="shared" si="1"/>
        <v>DBPe175:HK</v>
      </c>
    </row>
    <row r="13" spans="1:19" x14ac:dyDescent="0.25">
      <c r="B13" s="29"/>
      <c r="C13" s="30" t="s">
        <v>22</v>
      </c>
      <c r="D13" s="1">
        <f>SUMIF(Download!B:B,Q13,Download!G:G)</f>
        <v>0</v>
      </c>
      <c r="E13" s="31">
        <f>SUMIF(Download!B:B,Q13,Download!H:H)</f>
        <v>0</v>
      </c>
      <c r="F13" s="5">
        <f t="shared" si="0"/>
        <v>0</v>
      </c>
      <c r="G13" s="12"/>
      <c r="H13" s="1">
        <f t="shared" si="2"/>
        <v>40000</v>
      </c>
      <c r="I13" s="5">
        <f>H13*H5</f>
        <v>0</v>
      </c>
      <c r="J13" s="5">
        <f>(H5-E13)*H13</f>
        <v>0</v>
      </c>
      <c r="K13" s="58" t="e">
        <f>(H5/E13)-1</f>
        <v>#DIV/0!</v>
      </c>
      <c r="L13" s="13"/>
      <c r="O13" t="s">
        <v>23</v>
      </c>
      <c r="P13" t="str">
        <f t="shared" si="3"/>
        <v>175:HK</v>
      </c>
      <c r="Q13" t="str">
        <f t="shared" si="1"/>
        <v>DBPL175:HK</v>
      </c>
    </row>
    <row r="14" spans="1:19" x14ac:dyDescent="0.25">
      <c r="B14" s="29"/>
      <c r="C14" s="30" t="s">
        <v>24</v>
      </c>
      <c r="D14" s="1">
        <f>SUMIF(Download!B:B,Q14,Download!G:G)</f>
        <v>0</v>
      </c>
      <c r="E14" s="31">
        <f>SUMIF(Download!B:B,Q14,Download!H:H)</f>
        <v>0</v>
      </c>
      <c r="F14" s="5">
        <f t="shared" si="0"/>
        <v>0</v>
      </c>
      <c r="G14" s="12"/>
      <c r="H14" s="1">
        <f t="shared" si="2"/>
        <v>40000</v>
      </c>
      <c r="I14" s="5">
        <f>H14*H5</f>
        <v>0</v>
      </c>
      <c r="J14" s="5">
        <f>(H5-E14)*H14</f>
        <v>0</v>
      </c>
      <c r="K14" s="58" t="e">
        <f>(H5/E14)-1</f>
        <v>#DIV/0!</v>
      </c>
      <c r="L14" s="13"/>
      <c r="O14" t="s">
        <v>25</v>
      </c>
      <c r="P14" t="str">
        <f t="shared" si="3"/>
        <v>175:HK</v>
      </c>
      <c r="Q14" t="str">
        <f t="shared" si="1"/>
        <v>SC175:HK</v>
      </c>
    </row>
    <row r="15" spans="1:19" x14ac:dyDescent="0.25">
      <c r="B15" s="29"/>
      <c r="C15" s="30" t="s">
        <v>26</v>
      </c>
      <c r="D15" s="1">
        <f>SUMIF(Download!B:B,Q15,Download!G:G)</f>
        <v>0</v>
      </c>
      <c r="E15" s="31">
        <f>SUMIF(Download!B:B,Q15,Download!H:H)</f>
        <v>0</v>
      </c>
      <c r="F15" s="5">
        <f t="shared" si="0"/>
        <v>0</v>
      </c>
      <c r="G15" s="12"/>
      <c r="H15" s="1">
        <f t="shared" si="2"/>
        <v>40000</v>
      </c>
      <c r="I15" s="5">
        <f>H15*H5</f>
        <v>0</v>
      </c>
      <c r="J15" s="5">
        <f>(H5-E15)*H15</f>
        <v>0</v>
      </c>
      <c r="K15" s="58" t="e">
        <f>(H5/E15)-1</f>
        <v>#DIV/0!</v>
      </c>
      <c r="L15" s="13"/>
      <c r="O15" t="s">
        <v>27</v>
      </c>
      <c r="P15" t="str">
        <f t="shared" si="3"/>
        <v>175:HK</v>
      </c>
      <c r="Q15" t="str">
        <f t="shared" si="1"/>
        <v>SHK175:HK</v>
      </c>
    </row>
    <row r="16" spans="1:19" x14ac:dyDescent="0.25">
      <c r="B16" s="29"/>
      <c r="C16" s="30" t="s">
        <v>28</v>
      </c>
      <c r="D16" s="1">
        <f>SUMIF(Download!B:B,Q16,Download!G:G)</f>
        <v>0</v>
      </c>
      <c r="E16" s="31">
        <f>SUMIF(Download!B:B,Q16,Download!H:H)</f>
        <v>0</v>
      </c>
      <c r="F16" s="5">
        <f t="shared" si="0"/>
        <v>0</v>
      </c>
      <c r="G16" s="12"/>
      <c r="H16" s="1">
        <f t="shared" si="2"/>
        <v>40000</v>
      </c>
      <c r="I16" s="5">
        <f>H16*H5</f>
        <v>0</v>
      </c>
      <c r="J16" s="5">
        <f>(H5-E16)*H16</f>
        <v>0</v>
      </c>
      <c r="K16" s="58" t="e">
        <f>(H5/E16)-1</f>
        <v>#DIV/0!</v>
      </c>
      <c r="L16" s="13"/>
      <c r="O16" t="s">
        <v>29</v>
      </c>
      <c r="P16" t="str">
        <f t="shared" si="3"/>
        <v>175:HK</v>
      </c>
      <c r="Q16" t="str">
        <f t="shared" si="1"/>
        <v>MST1175:HK</v>
      </c>
    </row>
    <row r="17" spans="1:19" x14ac:dyDescent="0.25">
      <c r="B17" s="29"/>
      <c r="C17" s="30" t="s">
        <v>30</v>
      </c>
      <c r="D17" s="1">
        <f>SUMIF(Download!B:B,Q17,Download!G:G)</f>
        <v>0</v>
      </c>
      <c r="E17" s="31">
        <f>SUMIF(Download!B:B,Q17,Download!H:H)</f>
        <v>0</v>
      </c>
      <c r="F17" s="5">
        <f t="shared" si="0"/>
        <v>0</v>
      </c>
      <c r="G17" s="12"/>
      <c r="H17" s="1">
        <f t="shared" si="2"/>
        <v>40000</v>
      </c>
      <c r="I17" s="5">
        <f>H17*H5</f>
        <v>0</v>
      </c>
      <c r="J17" s="5">
        <f>(H5-E17)*H17</f>
        <v>0</v>
      </c>
      <c r="K17" s="58" t="e">
        <f>(H5/E17)-1</f>
        <v>#DIV/0!</v>
      </c>
      <c r="L17" s="13" t="s">
        <v>65</v>
      </c>
      <c r="O17" t="s">
        <v>32</v>
      </c>
      <c r="P17" t="str">
        <f t="shared" si="3"/>
        <v>175:HK</v>
      </c>
      <c r="Q17" t="str">
        <f t="shared" si="1"/>
        <v>MST2175:HK</v>
      </c>
    </row>
    <row r="18" spans="1:19" x14ac:dyDescent="0.25">
      <c r="B18" s="29"/>
      <c r="C18" s="30" t="s">
        <v>33</v>
      </c>
      <c r="D18" s="1">
        <f>SUMIF(Download!B:B,Q18,Download!G:G)</f>
        <v>0</v>
      </c>
      <c r="E18" s="31">
        <f>SUMIF(Download!B:B,Q18,Download!H:H)</f>
        <v>0</v>
      </c>
      <c r="F18" s="5">
        <f t="shared" si="0"/>
        <v>0</v>
      </c>
      <c r="G18" s="12"/>
      <c r="H18" s="1">
        <f t="shared" si="2"/>
        <v>40000</v>
      </c>
      <c r="I18" s="5">
        <f>H18*H5</f>
        <v>0</v>
      </c>
      <c r="J18" s="5">
        <f>(H5-E18)*H18</f>
        <v>0</v>
      </c>
      <c r="K18" s="58" t="e">
        <f>(H5/E18)-1</f>
        <v>#DIV/0!</v>
      </c>
      <c r="L18" s="13"/>
      <c r="O18" t="s">
        <v>34</v>
      </c>
      <c r="P18" t="str">
        <f t="shared" si="3"/>
        <v>175:HK</v>
      </c>
      <c r="Q18" t="str">
        <f t="shared" si="1"/>
        <v>MSPL175:HK</v>
      </c>
    </row>
    <row r="19" spans="1:19" x14ac:dyDescent="0.25">
      <c r="B19" s="29"/>
      <c r="C19" s="32"/>
      <c r="D19" s="11"/>
      <c r="E19" s="33"/>
      <c r="F19" s="12"/>
      <c r="G19" s="12"/>
      <c r="H19" s="12"/>
      <c r="I19" s="12"/>
      <c r="J19" s="12"/>
      <c r="K19" s="12"/>
      <c r="L19" s="13"/>
    </row>
    <row r="20" spans="1:19" ht="15.75" customHeight="1" thickBot="1" x14ac:dyDescent="0.3">
      <c r="C20" s="34" t="s">
        <v>35</v>
      </c>
      <c r="D20" s="10">
        <f>SUM(D6:D19)</f>
        <v>0</v>
      </c>
      <c r="E20" s="35" t="e">
        <f>F20/D20</f>
        <v>#DIV/0!</v>
      </c>
      <c r="F20" s="4">
        <f>SUM(F6:F19)</f>
        <v>0</v>
      </c>
      <c r="G20" s="14"/>
      <c r="H20" s="14"/>
      <c r="I20" s="14"/>
      <c r="J20" s="14"/>
      <c r="K20" s="14"/>
      <c r="L20" s="51"/>
    </row>
    <row r="21" spans="1:19" ht="18.75" customHeight="1" thickTop="1" x14ac:dyDescent="0.3">
      <c r="A21" s="17"/>
      <c r="L21" s="18" t="s">
        <v>1</v>
      </c>
      <c r="M21" s="19">
        <v>44691</v>
      </c>
      <c r="N21" s="19"/>
    </row>
    <row r="22" spans="1:19" x14ac:dyDescent="0.25">
      <c r="L22" s="18" t="s">
        <v>2</v>
      </c>
      <c r="M22" s="20" t="s">
        <v>66</v>
      </c>
      <c r="N22" s="20"/>
      <c r="R22" s="21"/>
    </row>
    <row r="23" spans="1:19" ht="18.75" customHeight="1" x14ac:dyDescent="0.3">
      <c r="A23" s="22">
        <v>2</v>
      </c>
      <c r="B23" s="17" t="str">
        <f>INDEX(Stocks!A:B,MATCH(P24,Stocks!A:A,),2)&amp;" ("&amp;P24&amp;")"</f>
        <v>Great Wall Motor (2333:HK)</v>
      </c>
      <c r="C23" s="17"/>
      <c r="G23" s="16" t="s">
        <v>162</v>
      </c>
      <c r="H23" s="57"/>
      <c r="L23" s="18" t="s">
        <v>4</v>
      </c>
      <c r="M23" s="19">
        <v>44733</v>
      </c>
      <c r="N23" s="19"/>
      <c r="R23" s="23"/>
      <c r="S23" s="37"/>
    </row>
    <row r="24" spans="1:19" x14ac:dyDescent="0.25">
      <c r="A24" s="25"/>
      <c r="C24" s="26" t="s">
        <v>5</v>
      </c>
      <c r="D24" s="26" t="s">
        <v>6</v>
      </c>
      <c r="E24" s="26" t="s">
        <v>7</v>
      </c>
      <c r="F24" s="27" t="s">
        <v>8</v>
      </c>
      <c r="G24" s="24"/>
      <c r="H24" s="26" t="s">
        <v>163</v>
      </c>
      <c r="I24" s="27" t="s">
        <v>164</v>
      </c>
      <c r="J24" s="26" t="str">
        <f>IF(COUNTIF(J25:J36,"&gt;0")&lt;&gt;0,IF(COUNTIF(J25:J36,"&lt;0")&lt;&gt;0,"Gain / Loss", "Gain"),"Loss")</f>
        <v>Loss</v>
      </c>
      <c r="K24" s="26" t="str">
        <f>"% "&amp;IF(COUNTIF(K25:K36,"&gt;=0")&lt;&gt;0,IF(COUNTIF(K25:K36,"&lt;0")&lt;&gt;0,"Gain / Loss", "Gain"),"Loss")</f>
        <v>% Loss</v>
      </c>
      <c r="O24" s="28"/>
      <c r="P24" t="s">
        <v>67</v>
      </c>
    </row>
    <row r="25" spans="1:19" x14ac:dyDescent="0.25">
      <c r="B25" s="29"/>
      <c r="C25" s="30" t="s">
        <v>166</v>
      </c>
      <c r="D25" s="1">
        <f>SUMIF(Download!B:B,Q25,Download!G:G)</f>
        <v>0</v>
      </c>
      <c r="E25" s="31">
        <f>SUMIF(Download!B:B,Q25,Download!H:H)</f>
        <v>0</v>
      </c>
      <c r="F25" s="5">
        <f t="shared" ref="F25:F36" si="4">D25*E25</f>
        <v>0</v>
      </c>
      <c r="G25" s="12"/>
      <c r="H25" s="1">
        <v>20000</v>
      </c>
      <c r="I25" s="5">
        <f>H25*H23</f>
        <v>0</v>
      </c>
      <c r="J25" s="5">
        <f>(H23-E25)*H25</f>
        <v>0</v>
      </c>
      <c r="K25" s="58" t="e">
        <f>(H23/E25)-1</f>
        <v>#DIV/0!</v>
      </c>
      <c r="L25" s="13"/>
      <c r="O25" t="s">
        <v>167</v>
      </c>
      <c r="P25" t="str">
        <f>P24</f>
        <v>2333:HK</v>
      </c>
      <c r="Q25" t="str">
        <f t="shared" ref="Q25:Q36" si="5">O25&amp;P25</f>
        <v>CBSG2333:HK</v>
      </c>
    </row>
    <row r="26" spans="1:19" x14ac:dyDescent="0.25">
      <c r="B26" s="29"/>
      <c r="C26" s="30" t="s">
        <v>12</v>
      </c>
      <c r="D26" s="1">
        <f>SUMIF(Download!B:B,Q26,Download!G:G)</f>
        <v>0</v>
      </c>
      <c r="E26" s="31">
        <f>SUMIF(Download!B:B,Q26,Download!H:H)</f>
        <v>0</v>
      </c>
      <c r="F26" s="5">
        <f t="shared" si="4"/>
        <v>0</v>
      </c>
      <c r="G26" s="12"/>
      <c r="H26" s="1">
        <f>H25</f>
        <v>20000</v>
      </c>
      <c r="I26" s="5">
        <f>H26*H23</f>
        <v>0</v>
      </c>
      <c r="J26" s="5">
        <f>(H23-E26)*H26</f>
        <v>0</v>
      </c>
      <c r="K26" s="58" t="e">
        <f>(H23/E26)-1</f>
        <v>#DIV/0!</v>
      </c>
      <c r="L26" s="13"/>
      <c r="O26" t="s">
        <v>13</v>
      </c>
      <c r="P26" t="str">
        <f>P24</f>
        <v>2333:HK</v>
      </c>
      <c r="Q26" t="str">
        <f t="shared" si="5"/>
        <v>CB22333:HK</v>
      </c>
    </row>
    <row r="27" spans="1:19" x14ac:dyDescent="0.25">
      <c r="B27" s="29"/>
      <c r="C27" s="30" t="s">
        <v>14</v>
      </c>
      <c r="D27" s="1">
        <f>SUMIF(Download!B:B,Q27,Download!G:G)</f>
        <v>0</v>
      </c>
      <c r="E27" s="31">
        <f>SUMIF(Download!B:B,Q27,Download!H:H)</f>
        <v>0</v>
      </c>
      <c r="F27" s="5">
        <f t="shared" si="4"/>
        <v>0</v>
      </c>
      <c r="G27" s="12"/>
      <c r="H27" s="1">
        <f t="shared" ref="H27:H36" si="6">H26</f>
        <v>20000</v>
      </c>
      <c r="I27" s="5">
        <f>H27*H23</f>
        <v>0</v>
      </c>
      <c r="J27" s="5">
        <f>(H23-E27)*H27</f>
        <v>0</v>
      </c>
      <c r="K27" s="58" t="e">
        <f>(H23/E27)-1</f>
        <v>#DIV/0!</v>
      </c>
      <c r="L27" s="13"/>
      <c r="O27" t="s">
        <v>15</v>
      </c>
      <c r="P27" t="str">
        <f>P25</f>
        <v>2333:HK</v>
      </c>
      <c r="Q27" t="str">
        <f t="shared" si="5"/>
        <v>CB32333:HK</v>
      </c>
    </row>
    <row r="28" spans="1:19" x14ac:dyDescent="0.25">
      <c r="B28" s="29"/>
      <c r="C28" s="30" t="s">
        <v>16</v>
      </c>
      <c r="D28" s="1">
        <f>SUMIF(Download!B:B,Q28,Download!G:G)</f>
        <v>0</v>
      </c>
      <c r="E28" s="31">
        <f>SUMIF(Download!B:B,Q28,Download!H:H)</f>
        <v>0</v>
      </c>
      <c r="F28" s="5">
        <f t="shared" si="4"/>
        <v>0</v>
      </c>
      <c r="G28" s="12"/>
      <c r="H28" s="1">
        <f t="shared" si="6"/>
        <v>20000</v>
      </c>
      <c r="I28" s="5">
        <f>H28*H23</f>
        <v>0</v>
      </c>
      <c r="J28" s="5">
        <f>(H23-E28)*H28</f>
        <v>0</v>
      </c>
      <c r="K28" s="58" t="e">
        <f>(H23/E28)-1</f>
        <v>#DIV/0!</v>
      </c>
      <c r="L28" s="13"/>
      <c r="O28" t="s">
        <v>17</v>
      </c>
      <c r="P28" t="str">
        <f t="shared" ref="P28:P36" si="7">P27</f>
        <v>2333:HK</v>
      </c>
      <c r="Q28" t="str">
        <f t="shared" si="5"/>
        <v>CBBH2333:HK</v>
      </c>
    </row>
    <row r="29" spans="1:19" x14ac:dyDescent="0.25">
      <c r="B29" s="29"/>
      <c r="C29" s="30" t="s">
        <v>18</v>
      </c>
      <c r="D29" s="1">
        <f>SUMIF(Download!B:B,Q29,Download!G:G)</f>
        <v>0</v>
      </c>
      <c r="E29" s="31">
        <f>SUMIF(Download!B:B,Q29,Download!H:H)</f>
        <v>0</v>
      </c>
      <c r="F29" s="5">
        <f t="shared" si="4"/>
        <v>0</v>
      </c>
      <c r="G29" s="12"/>
      <c r="H29" s="1">
        <f t="shared" si="6"/>
        <v>20000</v>
      </c>
      <c r="I29" s="5">
        <f>H29*H23</f>
        <v>0</v>
      </c>
      <c r="J29" s="5">
        <f>(H23-E29)*H29</f>
        <v>0</v>
      </c>
      <c r="K29" s="58" t="e">
        <f>(H23/E29)-1</f>
        <v>#DIV/0!</v>
      </c>
      <c r="L29" s="13"/>
      <c r="O29" t="s">
        <v>19</v>
      </c>
      <c r="P29" t="str">
        <f t="shared" si="7"/>
        <v>2333:HK</v>
      </c>
      <c r="Q29" t="str">
        <f t="shared" si="5"/>
        <v>BOS2333:HK</v>
      </c>
    </row>
    <row r="30" spans="1:19" x14ac:dyDescent="0.25">
      <c r="B30" s="29"/>
      <c r="C30" s="30" t="s">
        <v>20</v>
      </c>
      <c r="D30" s="1">
        <f>SUMIF(Download!B:B,Q30,Download!G:G)</f>
        <v>0</v>
      </c>
      <c r="E30" s="31">
        <f>SUMIF(Download!B:B,Q30,Download!H:H)</f>
        <v>0</v>
      </c>
      <c r="F30" s="5">
        <f t="shared" si="4"/>
        <v>0</v>
      </c>
      <c r="G30" s="12"/>
      <c r="H30" s="1">
        <f t="shared" si="6"/>
        <v>20000</v>
      </c>
      <c r="I30" s="5">
        <f>H30*H23</f>
        <v>0</v>
      </c>
      <c r="J30" s="5">
        <f>(H23-E30)*H30</f>
        <v>0</v>
      </c>
      <c r="K30" s="58" t="e">
        <f>(H23/E30)-1</f>
        <v>#DIV/0!</v>
      </c>
      <c r="L30" s="13"/>
      <c r="O30" t="s">
        <v>21</v>
      </c>
      <c r="P30" t="str">
        <f t="shared" si="7"/>
        <v>2333:HK</v>
      </c>
      <c r="Q30" t="str">
        <f t="shared" si="5"/>
        <v>DBPe2333:HK</v>
      </c>
    </row>
    <row r="31" spans="1:19" x14ac:dyDescent="0.25">
      <c r="B31" s="29"/>
      <c r="C31" s="30" t="s">
        <v>22</v>
      </c>
      <c r="D31" s="1">
        <f>SUMIF(Download!B:B,Q31,Download!G:G)</f>
        <v>0</v>
      </c>
      <c r="E31" s="31">
        <f>SUMIF(Download!B:B,Q31,Download!H:H)</f>
        <v>0</v>
      </c>
      <c r="F31" s="5">
        <f t="shared" si="4"/>
        <v>0</v>
      </c>
      <c r="G31" s="12"/>
      <c r="H31" s="1">
        <f t="shared" si="6"/>
        <v>20000</v>
      </c>
      <c r="I31" s="5">
        <f>H31*H23</f>
        <v>0</v>
      </c>
      <c r="J31" s="5">
        <f>(H23-E31)*H31</f>
        <v>0</v>
      </c>
      <c r="K31" s="58" t="e">
        <f>(H23/E31)-1</f>
        <v>#DIV/0!</v>
      </c>
      <c r="L31" s="13"/>
      <c r="O31" t="s">
        <v>23</v>
      </c>
      <c r="P31" t="str">
        <f t="shared" si="7"/>
        <v>2333:HK</v>
      </c>
      <c r="Q31" t="str">
        <f t="shared" si="5"/>
        <v>DBPL2333:HK</v>
      </c>
    </row>
    <row r="32" spans="1:19" x14ac:dyDescent="0.25">
      <c r="B32" s="29"/>
      <c r="C32" s="30" t="s">
        <v>24</v>
      </c>
      <c r="D32" s="1">
        <f>SUMIF(Download!B:B,Q32,Download!G:G)</f>
        <v>0</v>
      </c>
      <c r="E32" s="31">
        <f>SUMIF(Download!B:B,Q32,Download!H:H)</f>
        <v>0</v>
      </c>
      <c r="F32" s="5">
        <f t="shared" si="4"/>
        <v>0</v>
      </c>
      <c r="G32" s="12"/>
      <c r="H32" s="1">
        <f t="shared" si="6"/>
        <v>20000</v>
      </c>
      <c r="I32" s="5">
        <f>H32*H23</f>
        <v>0</v>
      </c>
      <c r="J32" s="5">
        <f>(H23-E32)*H32</f>
        <v>0</v>
      </c>
      <c r="K32" s="58" t="e">
        <f>(H23/E32)-1</f>
        <v>#DIV/0!</v>
      </c>
      <c r="L32" s="13"/>
      <c r="O32" t="s">
        <v>25</v>
      </c>
      <c r="P32" t="str">
        <f t="shared" si="7"/>
        <v>2333:HK</v>
      </c>
      <c r="Q32" t="str">
        <f t="shared" si="5"/>
        <v>SC2333:HK</v>
      </c>
    </row>
    <row r="33" spans="1:19" x14ac:dyDescent="0.25">
      <c r="B33" s="29"/>
      <c r="C33" s="30" t="s">
        <v>26</v>
      </c>
      <c r="D33" s="1">
        <f>SUMIF(Download!B:B,Q33,Download!G:G)</f>
        <v>0</v>
      </c>
      <c r="E33" s="31">
        <f>SUMIF(Download!B:B,Q33,Download!H:H)</f>
        <v>0</v>
      </c>
      <c r="F33" s="5">
        <f t="shared" si="4"/>
        <v>0</v>
      </c>
      <c r="G33" s="12"/>
      <c r="H33" s="1">
        <f t="shared" si="6"/>
        <v>20000</v>
      </c>
      <c r="I33" s="5">
        <f>H33*H23</f>
        <v>0</v>
      </c>
      <c r="J33" s="5">
        <f>(H23-E33)*H33</f>
        <v>0</v>
      </c>
      <c r="K33" s="58" t="e">
        <f>(H23/E33)-1</f>
        <v>#DIV/0!</v>
      </c>
      <c r="L33" s="13" t="s">
        <v>68</v>
      </c>
      <c r="O33" t="s">
        <v>27</v>
      </c>
      <c r="P33" t="str">
        <f t="shared" si="7"/>
        <v>2333:HK</v>
      </c>
      <c r="Q33" t="str">
        <f t="shared" si="5"/>
        <v>SHK2333:HK</v>
      </c>
    </row>
    <row r="34" spans="1:19" x14ac:dyDescent="0.25">
      <c r="B34" s="29"/>
      <c r="C34" s="30" t="s">
        <v>28</v>
      </c>
      <c r="D34" s="1">
        <f>SUMIF(Download!B:B,Q34,Download!G:G)</f>
        <v>0</v>
      </c>
      <c r="E34" s="31">
        <f>SUMIF(Download!B:B,Q34,Download!H:H)</f>
        <v>0</v>
      </c>
      <c r="F34" s="5">
        <f t="shared" si="4"/>
        <v>0</v>
      </c>
      <c r="G34" s="12"/>
      <c r="H34" s="1">
        <f t="shared" si="6"/>
        <v>20000</v>
      </c>
      <c r="I34" s="5">
        <f>H34*H23</f>
        <v>0</v>
      </c>
      <c r="J34" s="5">
        <f>(H23-E34)*H34</f>
        <v>0</v>
      </c>
      <c r="K34" s="58" t="e">
        <f>(H23/E34)-1</f>
        <v>#DIV/0!</v>
      </c>
      <c r="L34" s="13" t="s">
        <v>69</v>
      </c>
      <c r="O34" t="s">
        <v>29</v>
      </c>
      <c r="P34" t="str">
        <f t="shared" si="7"/>
        <v>2333:HK</v>
      </c>
      <c r="Q34" t="str">
        <f t="shared" si="5"/>
        <v>MST12333:HK</v>
      </c>
    </row>
    <row r="35" spans="1:19" x14ac:dyDescent="0.25">
      <c r="B35" s="29"/>
      <c r="C35" s="30" t="s">
        <v>30</v>
      </c>
      <c r="D35" s="1">
        <f>SUMIF(Download!B:B,Q35,Download!G:G)</f>
        <v>0</v>
      </c>
      <c r="E35" s="31">
        <f>SUMIF(Download!B:B,Q35,Download!H:H)</f>
        <v>0</v>
      </c>
      <c r="F35" s="5">
        <f t="shared" si="4"/>
        <v>0</v>
      </c>
      <c r="G35" s="12"/>
      <c r="H35" s="1">
        <f t="shared" si="6"/>
        <v>20000</v>
      </c>
      <c r="I35" s="5">
        <f>H35*H23</f>
        <v>0</v>
      </c>
      <c r="J35" s="5">
        <f>(H23-E35)*H35</f>
        <v>0</v>
      </c>
      <c r="K35" s="58" t="e">
        <f>(H23/E35)-1</f>
        <v>#DIV/0!</v>
      </c>
      <c r="L35" s="13"/>
      <c r="O35" t="s">
        <v>32</v>
      </c>
      <c r="P35" t="str">
        <f t="shared" si="7"/>
        <v>2333:HK</v>
      </c>
      <c r="Q35" t="str">
        <f t="shared" si="5"/>
        <v>MST22333:HK</v>
      </c>
    </row>
    <row r="36" spans="1:19" x14ac:dyDescent="0.25">
      <c r="B36" s="29"/>
      <c r="C36" s="30" t="s">
        <v>33</v>
      </c>
      <c r="D36" s="1">
        <f>SUMIF(Download!B:B,Q36,Download!G:G)</f>
        <v>0</v>
      </c>
      <c r="E36" s="31">
        <f>SUMIF(Download!B:B,Q36,Download!H:H)</f>
        <v>0</v>
      </c>
      <c r="F36" s="5">
        <f t="shared" si="4"/>
        <v>0</v>
      </c>
      <c r="G36" s="12"/>
      <c r="H36" s="1">
        <f t="shared" si="6"/>
        <v>20000</v>
      </c>
      <c r="I36" s="5">
        <f>H36*H23</f>
        <v>0</v>
      </c>
      <c r="J36" s="5">
        <f>(H23-E36)*H36</f>
        <v>0</v>
      </c>
      <c r="K36" s="58" t="e">
        <f>(H23/E36)-1</f>
        <v>#DIV/0!</v>
      </c>
      <c r="L36" s="13" t="s">
        <v>70</v>
      </c>
      <c r="O36" t="s">
        <v>34</v>
      </c>
      <c r="P36" t="str">
        <f t="shared" si="7"/>
        <v>2333:HK</v>
      </c>
      <c r="Q36" t="str">
        <f t="shared" si="5"/>
        <v>MSPL2333:HK</v>
      </c>
    </row>
    <row r="37" spans="1:19" x14ac:dyDescent="0.25">
      <c r="B37" s="29"/>
      <c r="C37" s="32"/>
      <c r="D37" s="11"/>
      <c r="E37" s="33"/>
      <c r="F37" s="12"/>
      <c r="G37" s="12"/>
      <c r="H37" s="12"/>
      <c r="I37" s="12"/>
      <c r="J37" s="12"/>
      <c r="K37" s="12"/>
      <c r="L37" s="13"/>
    </row>
    <row r="38" spans="1:19" ht="15.75" customHeight="1" thickBot="1" x14ac:dyDescent="0.3">
      <c r="C38" s="34" t="s">
        <v>35</v>
      </c>
      <c r="D38" s="10">
        <f>SUM(D24:D37)</f>
        <v>0</v>
      </c>
      <c r="E38" s="35" t="e">
        <f>F38/D38</f>
        <v>#DIV/0!</v>
      </c>
      <c r="F38" s="4">
        <f>SUM(F24:F37)</f>
        <v>0</v>
      </c>
      <c r="G38" s="14"/>
      <c r="H38" s="14"/>
      <c r="I38" s="14"/>
      <c r="J38" s="14"/>
      <c r="K38" s="14"/>
      <c r="L38" s="51"/>
    </row>
    <row r="39" spans="1:19" ht="18.75" customHeight="1" thickTop="1" x14ac:dyDescent="0.3">
      <c r="A39" s="17"/>
      <c r="L39" s="18" t="s">
        <v>1</v>
      </c>
      <c r="M39" s="19">
        <v>44741</v>
      </c>
    </row>
    <row r="40" spans="1:19" x14ac:dyDescent="0.25">
      <c r="L40" s="18" t="s">
        <v>2</v>
      </c>
      <c r="M40" s="20" t="s">
        <v>71</v>
      </c>
      <c r="N40" s="20"/>
      <c r="R40" s="21"/>
    </row>
    <row r="41" spans="1:19" ht="18.75" customHeight="1" x14ac:dyDescent="0.3">
      <c r="A41" s="22">
        <v>3</v>
      </c>
      <c r="B41" s="17" t="str">
        <f>INDEX(Stocks!A:B,MATCH(P42,Stocks!A:A,),2)&amp;" ("&amp;P42&amp;")"</f>
        <v>China Molybdenum (3993:HK)</v>
      </c>
      <c r="C41" s="17"/>
      <c r="G41" s="16" t="s">
        <v>162</v>
      </c>
      <c r="H41" s="57"/>
      <c r="L41" s="18" t="s">
        <v>4</v>
      </c>
      <c r="M41" s="19">
        <v>44769</v>
      </c>
      <c r="N41" s="19"/>
      <c r="R41" s="23"/>
      <c r="S41" s="37"/>
    </row>
    <row r="42" spans="1:19" x14ac:dyDescent="0.25">
      <c r="A42" s="25"/>
      <c r="C42" s="26" t="s">
        <v>5</v>
      </c>
      <c r="D42" s="26" t="s">
        <v>6</v>
      </c>
      <c r="E42" s="26" t="s">
        <v>7</v>
      </c>
      <c r="F42" s="27" t="s">
        <v>8</v>
      </c>
      <c r="G42" s="24"/>
      <c r="H42" s="26" t="s">
        <v>163</v>
      </c>
      <c r="I42" s="27" t="s">
        <v>164</v>
      </c>
      <c r="J42" s="26" t="str">
        <f>IF(COUNTIF(J43:J54,"&gt;0")&lt;&gt;0,IF(COUNTIF(J43:J54,"&lt;0")&lt;&gt;0,"Gain / Loss", "Gain"),"Loss")</f>
        <v>Loss</v>
      </c>
      <c r="K42" s="26" t="str">
        <f>"% "&amp;IF(COUNTIF(K43:K54,"&gt;=0")&lt;&gt;0,IF(COUNTIF(K43:K54,"&lt;0")&lt;&gt;0,"Gain / Loss", "Gain"),"Loss")</f>
        <v>% Loss</v>
      </c>
      <c r="O42" s="28"/>
      <c r="P42" t="s">
        <v>72</v>
      </c>
    </row>
    <row r="43" spans="1:19" x14ac:dyDescent="0.25">
      <c r="B43" s="29"/>
      <c r="C43" s="30" t="s">
        <v>166</v>
      </c>
      <c r="D43" s="1">
        <f>SUMIF(Download!B:B,Q43,Download!G:G)</f>
        <v>0</v>
      </c>
      <c r="E43" s="31">
        <f>SUMIF(Download!B:B,Q43,Download!H:H)</f>
        <v>0</v>
      </c>
      <c r="F43" s="5">
        <f t="shared" ref="F43:F54" si="8">D43*E43</f>
        <v>0</v>
      </c>
      <c r="G43" s="12"/>
      <c r="H43" s="1">
        <v>150000</v>
      </c>
      <c r="I43" s="5">
        <f>H43*H41</f>
        <v>0</v>
      </c>
      <c r="J43" s="5">
        <f>(H41-E43)*H43</f>
        <v>0</v>
      </c>
      <c r="K43" s="58" t="e">
        <f>(H41/E43)-1</f>
        <v>#DIV/0!</v>
      </c>
      <c r="L43" s="13" t="s">
        <v>73</v>
      </c>
      <c r="O43" t="s">
        <v>167</v>
      </c>
      <c r="P43" t="str">
        <f>P42</f>
        <v>3993:HK</v>
      </c>
      <c r="Q43" t="str">
        <f t="shared" ref="Q43:Q54" si="9">O43&amp;P43</f>
        <v>CBSG3993:HK</v>
      </c>
    </row>
    <row r="44" spans="1:19" x14ac:dyDescent="0.25">
      <c r="B44" s="29"/>
      <c r="C44" s="30" t="s">
        <v>12</v>
      </c>
      <c r="D44" s="1">
        <f>SUMIF(Download!B:B,Q44,Download!G:G)</f>
        <v>0</v>
      </c>
      <c r="E44" s="31">
        <f>SUMIF(Download!B:B,Q44,Download!H:H)</f>
        <v>0</v>
      </c>
      <c r="F44" s="5">
        <f t="shared" si="8"/>
        <v>0</v>
      </c>
      <c r="G44" s="12"/>
      <c r="H44" s="1">
        <f>H43</f>
        <v>150000</v>
      </c>
      <c r="I44" s="5">
        <f>H44*H41</f>
        <v>0</v>
      </c>
      <c r="J44" s="5">
        <f>(H41-E44)*H44</f>
        <v>0</v>
      </c>
      <c r="K44" s="58" t="e">
        <f>(H41/E44)-1</f>
        <v>#DIV/0!</v>
      </c>
      <c r="L44" s="13"/>
      <c r="O44" t="s">
        <v>13</v>
      </c>
      <c r="P44" t="str">
        <f>P42</f>
        <v>3993:HK</v>
      </c>
      <c r="Q44" t="str">
        <f t="shared" si="9"/>
        <v>CB23993:HK</v>
      </c>
    </row>
    <row r="45" spans="1:19" x14ac:dyDescent="0.25">
      <c r="B45" s="29"/>
      <c r="C45" s="30" t="s">
        <v>14</v>
      </c>
      <c r="D45" s="1">
        <f>SUMIF(Download!B:B,Q45,Download!G:G)</f>
        <v>0</v>
      </c>
      <c r="E45" s="31">
        <f>SUMIF(Download!B:B,Q45,Download!H:H)</f>
        <v>0</v>
      </c>
      <c r="F45" s="5">
        <f t="shared" si="8"/>
        <v>0</v>
      </c>
      <c r="G45" s="12"/>
      <c r="H45" s="1">
        <f t="shared" ref="H45:H54" si="10">H44</f>
        <v>150000</v>
      </c>
      <c r="I45" s="5">
        <f>H45*H41</f>
        <v>0</v>
      </c>
      <c r="J45" s="5">
        <f>(H41-E45)*H45</f>
        <v>0</v>
      </c>
      <c r="K45" s="58" t="e">
        <f>(H41/E45)-1</f>
        <v>#DIV/0!</v>
      </c>
      <c r="L45" s="13"/>
      <c r="O45" t="s">
        <v>15</v>
      </c>
      <c r="P45" t="str">
        <f>P43</f>
        <v>3993:HK</v>
      </c>
      <c r="Q45" t="str">
        <f t="shared" si="9"/>
        <v>CB33993:HK</v>
      </c>
    </row>
    <row r="46" spans="1:19" x14ac:dyDescent="0.25">
      <c r="B46" s="29"/>
      <c r="C46" s="30" t="s">
        <v>16</v>
      </c>
      <c r="D46" s="1">
        <f>SUMIF(Download!B:B,Q46,Download!G:G)</f>
        <v>0</v>
      </c>
      <c r="E46" s="31">
        <f>SUMIF(Download!B:B,Q46,Download!H:H)</f>
        <v>0</v>
      </c>
      <c r="F46" s="5">
        <f t="shared" si="8"/>
        <v>0</v>
      </c>
      <c r="G46" s="12"/>
      <c r="H46" s="1">
        <f t="shared" si="10"/>
        <v>150000</v>
      </c>
      <c r="I46" s="5">
        <f>H46*H41</f>
        <v>0</v>
      </c>
      <c r="J46" s="5">
        <f>(H41-E46)*H46</f>
        <v>0</v>
      </c>
      <c r="K46" s="58" t="e">
        <f>(H41/E46)-1</f>
        <v>#DIV/0!</v>
      </c>
      <c r="L46" s="13"/>
      <c r="O46" t="s">
        <v>17</v>
      </c>
      <c r="P46" t="str">
        <f t="shared" ref="P46:P54" si="11">P45</f>
        <v>3993:HK</v>
      </c>
      <c r="Q46" t="str">
        <f t="shared" si="9"/>
        <v>CBBH3993:HK</v>
      </c>
    </row>
    <row r="47" spans="1:19" x14ac:dyDescent="0.25">
      <c r="B47" s="29"/>
      <c r="C47" s="30" t="s">
        <v>18</v>
      </c>
      <c r="D47" s="1">
        <f>SUMIF(Download!B:B,Q47,Download!G:G)</f>
        <v>0</v>
      </c>
      <c r="E47" s="31">
        <f>SUMIF(Download!B:B,Q47,Download!H:H)</f>
        <v>0</v>
      </c>
      <c r="F47" s="5">
        <f t="shared" si="8"/>
        <v>0</v>
      </c>
      <c r="G47" s="12"/>
      <c r="H47" s="1">
        <f t="shared" si="10"/>
        <v>150000</v>
      </c>
      <c r="I47" s="5">
        <f>H47*H41</f>
        <v>0</v>
      </c>
      <c r="J47" s="5">
        <f>(H41-E47)*H47</f>
        <v>0</v>
      </c>
      <c r="K47" s="58" t="e">
        <f>(H41/E47)-1</f>
        <v>#DIV/0!</v>
      </c>
      <c r="L47" s="13"/>
      <c r="O47" t="s">
        <v>19</v>
      </c>
      <c r="P47" t="str">
        <f t="shared" si="11"/>
        <v>3993:HK</v>
      </c>
      <c r="Q47" t="str">
        <f t="shared" si="9"/>
        <v>BOS3993:HK</v>
      </c>
    </row>
    <row r="48" spans="1:19" x14ac:dyDescent="0.25">
      <c r="B48" s="29"/>
      <c r="C48" s="30" t="s">
        <v>20</v>
      </c>
      <c r="D48" s="1">
        <f>SUMIF(Download!B:B,Q48,Download!G:G)</f>
        <v>0</v>
      </c>
      <c r="E48" s="31">
        <f>SUMIF(Download!B:B,Q48,Download!H:H)</f>
        <v>0</v>
      </c>
      <c r="F48" s="5">
        <f t="shared" si="8"/>
        <v>0</v>
      </c>
      <c r="G48" s="12"/>
      <c r="H48" s="1">
        <f t="shared" si="10"/>
        <v>150000</v>
      </c>
      <c r="I48" s="5">
        <f>H48*H41</f>
        <v>0</v>
      </c>
      <c r="J48" s="5">
        <f>(H41-E48)*H48</f>
        <v>0</v>
      </c>
      <c r="K48" s="58" t="e">
        <f>(H41/E48)-1</f>
        <v>#DIV/0!</v>
      </c>
      <c r="L48" s="13" t="s">
        <v>74</v>
      </c>
      <c r="O48" t="s">
        <v>21</v>
      </c>
      <c r="P48" t="str">
        <f t="shared" si="11"/>
        <v>3993:HK</v>
      </c>
      <c r="Q48" t="str">
        <f t="shared" si="9"/>
        <v>DBPe3993:HK</v>
      </c>
    </row>
    <row r="49" spans="1:19" x14ac:dyDescent="0.25">
      <c r="B49" s="29"/>
      <c r="C49" s="30" t="s">
        <v>22</v>
      </c>
      <c r="D49" s="1">
        <f>SUMIF(Download!B:B,Q49,Download!G:G)</f>
        <v>0</v>
      </c>
      <c r="E49" s="31">
        <f>SUMIF(Download!B:B,Q49,Download!H:H)</f>
        <v>0</v>
      </c>
      <c r="F49" s="5">
        <f t="shared" si="8"/>
        <v>0</v>
      </c>
      <c r="G49" s="12"/>
      <c r="H49" s="1">
        <f t="shared" si="10"/>
        <v>150000</v>
      </c>
      <c r="I49" s="5">
        <f>H49*H41</f>
        <v>0</v>
      </c>
      <c r="J49" s="5">
        <f>(H41-E49)*H49</f>
        <v>0</v>
      </c>
      <c r="K49" s="58" t="e">
        <f>(H41/E49)-1</f>
        <v>#DIV/0!</v>
      </c>
      <c r="L49" s="13"/>
      <c r="O49" t="s">
        <v>23</v>
      </c>
      <c r="P49" t="str">
        <f t="shared" si="11"/>
        <v>3993:HK</v>
      </c>
      <c r="Q49" t="str">
        <f t="shared" si="9"/>
        <v>DBPL3993:HK</v>
      </c>
    </row>
    <row r="50" spans="1:19" x14ac:dyDescent="0.25">
      <c r="B50" s="29"/>
      <c r="C50" s="30" t="s">
        <v>24</v>
      </c>
      <c r="D50" s="1">
        <f>SUMIF(Download!B:B,Q50,Download!G:G)</f>
        <v>0</v>
      </c>
      <c r="E50" s="31">
        <f>SUMIF(Download!B:B,Q50,Download!H:H)</f>
        <v>0</v>
      </c>
      <c r="F50" s="5">
        <f t="shared" si="8"/>
        <v>0</v>
      </c>
      <c r="G50" s="12"/>
      <c r="H50" s="1">
        <f t="shared" si="10"/>
        <v>150000</v>
      </c>
      <c r="I50" s="5">
        <f>H50*H41</f>
        <v>0</v>
      </c>
      <c r="J50" s="5">
        <f>(H41-E50)*H50</f>
        <v>0</v>
      </c>
      <c r="K50" s="58" t="e">
        <f>(H41/E50)-1</f>
        <v>#DIV/0!</v>
      </c>
      <c r="L50" s="13"/>
      <c r="O50" t="s">
        <v>25</v>
      </c>
      <c r="P50" t="str">
        <f t="shared" si="11"/>
        <v>3993:HK</v>
      </c>
      <c r="Q50" t="str">
        <f t="shared" si="9"/>
        <v>SC3993:HK</v>
      </c>
    </row>
    <row r="51" spans="1:19" x14ac:dyDescent="0.25">
      <c r="B51" s="29"/>
      <c r="C51" s="30" t="s">
        <v>26</v>
      </c>
      <c r="D51" s="1">
        <f>SUMIF(Download!B:B,Q51,Download!G:G)</f>
        <v>0</v>
      </c>
      <c r="E51" s="31">
        <f>SUMIF(Download!B:B,Q51,Download!H:H)</f>
        <v>0</v>
      </c>
      <c r="F51" s="5">
        <f t="shared" si="8"/>
        <v>0</v>
      </c>
      <c r="G51" s="12"/>
      <c r="H51" s="1">
        <f t="shared" si="10"/>
        <v>150000</v>
      </c>
      <c r="I51" s="5">
        <f>H51*H41</f>
        <v>0</v>
      </c>
      <c r="J51" s="5">
        <f>(H41-E51)*H51</f>
        <v>0</v>
      </c>
      <c r="K51" s="58" t="e">
        <f>(H41/E51)-1</f>
        <v>#DIV/0!</v>
      </c>
      <c r="L51" s="13" t="s">
        <v>75</v>
      </c>
      <c r="O51" t="s">
        <v>27</v>
      </c>
      <c r="P51" t="str">
        <f t="shared" si="11"/>
        <v>3993:HK</v>
      </c>
      <c r="Q51" t="str">
        <f t="shared" si="9"/>
        <v>SHK3993:HK</v>
      </c>
    </row>
    <row r="52" spans="1:19" x14ac:dyDescent="0.25">
      <c r="B52" s="29"/>
      <c r="C52" s="30" t="s">
        <v>28</v>
      </c>
      <c r="D52" s="1">
        <f>SUMIF(Download!B:B,Q52,Download!G:G)</f>
        <v>0</v>
      </c>
      <c r="E52" s="31">
        <f>SUMIF(Download!B:B,Q52,Download!H:H)</f>
        <v>0</v>
      </c>
      <c r="F52" s="5">
        <f t="shared" si="8"/>
        <v>0</v>
      </c>
      <c r="G52" s="12"/>
      <c r="H52" s="1">
        <f t="shared" si="10"/>
        <v>150000</v>
      </c>
      <c r="I52" s="5">
        <f>H52*H41</f>
        <v>0</v>
      </c>
      <c r="J52" s="5">
        <f>(H41-E52)*H52</f>
        <v>0</v>
      </c>
      <c r="K52" s="58" t="e">
        <f>(H41/E52)-1</f>
        <v>#DIV/0!</v>
      </c>
      <c r="L52" s="13" t="s">
        <v>76</v>
      </c>
      <c r="O52" t="s">
        <v>29</v>
      </c>
      <c r="P52" t="str">
        <f t="shared" si="11"/>
        <v>3993:HK</v>
      </c>
      <c r="Q52" t="str">
        <f t="shared" si="9"/>
        <v>MST13993:HK</v>
      </c>
    </row>
    <row r="53" spans="1:19" x14ac:dyDescent="0.25">
      <c r="B53" s="29"/>
      <c r="C53" s="30" t="s">
        <v>30</v>
      </c>
      <c r="D53" s="1">
        <f>SUMIF(Download!B:B,Q53,Download!G:G)</f>
        <v>0</v>
      </c>
      <c r="E53" s="31">
        <f>SUMIF(Download!B:B,Q53,Download!H:H)</f>
        <v>0</v>
      </c>
      <c r="F53" s="5">
        <f t="shared" si="8"/>
        <v>0</v>
      </c>
      <c r="G53" s="12"/>
      <c r="H53" s="1">
        <f t="shared" si="10"/>
        <v>150000</v>
      </c>
      <c r="I53" s="5">
        <f>H53*H41</f>
        <v>0</v>
      </c>
      <c r="J53" s="5">
        <f>(H41-E53)*H53</f>
        <v>0</v>
      </c>
      <c r="K53" s="58" t="e">
        <f>(H41/E53)-1</f>
        <v>#DIV/0!</v>
      </c>
      <c r="L53" s="13" t="s">
        <v>77</v>
      </c>
      <c r="O53" t="s">
        <v>32</v>
      </c>
      <c r="P53" t="str">
        <f t="shared" si="11"/>
        <v>3993:HK</v>
      </c>
      <c r="Q53" t="str">
        <f t="shared" si="9"/>
        <v>MST23993:HK</v>
      </c>
    </row>
    <row r="54" spans="1:19" x14ac:dyDescent="0.25">
      <c r="B54" s="29"/>
      <c r="C54" s="30" t="s">
        <v>33</v>
      </c>
      <c r="D54" s="1">
        <f>SUMIF(Download!B:B,Q54,Download!G:G)</f>
        <v>0</v>
      </c>
      <c r="E54" s="31">
        <f>SUMIF(Download!B:B,Q54,Download!H:H)</f>
        <v>0</v>
      </c>
      <c r="F54" s="5">
        <f t="shared" si="8"/>
        <v>0</v>
      </c>
      <c r="G54" s="12"/>
      <c r="H54" s="1">
        <f t="shared" si="10"/>
        <v>150000</v>
      </c>
      <c r="I54" s="5">
        <f>H54*H41</f>
        <v>0</v>
      </c>
      <c r="J54" s="5">
        <f>(H41-E54)*H54</f>
        <v>0</v>
      </c>
      <c r="K54" s="58" t="e">
        <f>(H41/E54)-1</f>
        <v>#DIV/0!</v>
      </c>
      <c r="L54" s="13" t="s">
        <v>78</v>
      </c>
      <c r="O54" t="s">
        <v>34</v>
      </c>
      <c r="P54" t="str">
        <f t="shared" si="11"/>
        <v>3993:HK</v>
      </c>
      <c r="Q54" t="str">
        <f t="shared" si="9"/>
        <v>MSPL3993:HK</v>
      </c>
    </row>
    <row r="55" spans="1:19" x14ac:dyDescent="0.25">
      <c r="B55" s="29"/>
      <c r="C55" s="32"/>
      <c r="D55" s="11"/>
      <c r="E55" s="33"/>
      <c r="F55" s="12"/>
      <c r="G55" s="12"/>
      <c r="H55" s="12"/>
      <c r="I55" s="12"/>
      <c r="J55" s="12"/>
      <c r="K55" s="12"/>
      <c r="L55" s="13"/>
    </row>
    <row r="56" spans="1:19" ht="15.75" customHeight="1" thickBot="1" x14ac:dyDescent="0.3">
      <c r="C56" s="34" t="s">
        <v>35</v>
      </c>
      <c r="D56" s="10">
        <f>SUM(D42:D55)</f>
        <v>0</v>
      </c>
      <c r="E56" s="35" t="e">
        <f>F56/D56</f>
        <v>#DIV/0!</v>
      </c>
      <c r="F56" s="4">
        <f>SUM(F42:F55)</f>
        <v>0</v>
      </c>
      <c r="G56" s="14"/>
      <c r="H56" s="14"/>
      <c r="I56" s="14"/>
      <c r="J56" s="14"/>
      <c r="K56" s="14"/>
      <c r="L56" s="51"/>
    </row>
    <row r="57" spans="1:19" ht="15.75" customHeight="1" thickTop="1" x14ac:dyDescent="0.25">
      <c r="D57" s="36"/>
    </row>
    <row r="58" spans="1:19" ht="15.75" customHeight="1" x14ac:dyDescent="0.25">
      <c r="D58" s="36"/>
    </row>
    <row r="59" spans="1:19" ht="15.75" customHeight="1" x14ac:dyDescent="0.25">
      <c r="D59" s="36"/>
    </row>
    <row r="60" spans="1:19" ht="18.75" customHeight="1" x14ac:dyDescent="0.3">
      <c r="A60" s="22">
        <v>4</v>
      </c>
      <c r="B60" s="17" t="str">
        <f>INDEX(Stocks!A:B,MATCH(P61,Stocks!A:A,),2)&amp;" ("&amp;P61&amp;")"</f>
        <v>Baidu Inc A (9888:HK)</v>
      </c>
      <c r="C60" s="17"/>
      <c r="G60" s="16" t="s">
        <v>162</v>
      </c>
      <c r="H60" s="57"/>
      <c r="L60" s="18"/>
      <c r="M60" s="19"/>
      <c r="N60" s="19"/>
      <c r="R60" s="23"/>
      <c r="S60" s="37"/>
    </row>
    <row r="61" spans="1:19" x14ac:dyDescent="0.25">
      <c r="A61" s="25"/>
      <c r="C61" s="26" t="s">
        <v>5</v>
      </c>
      <c r="D61" s="26" t="s">
        <v>6</v>
      </c>
      <c r="E61" s="26" t="s">
        <v>7</v>
      </c>
      <c r="F61" s="27" t="s">
        <v>8</v>
      </c>
      <c r="G61" s="24"/>
      <c r="H61" s="26" t="s">
        <v>163</v>
      </c>
      <c r="I61" s="27" t="s">
        <v>164</v>
      </c>
      <c r="J61" s="26" t="str">
        <f>IF(COUNTIF(J62:J73,"&gt;0")&lt;&gt;0,IF(COUNTIF(J62:J73,"&lt;0")&lt;&gt;0,"Gain / Loss", "Gain"),"Loss")</f>
        <v>Loss</v>
      </c>
      <c r="K61" s="26" t="str">
        <f>"% "&amp;IF(COUNTIF(K62:K73,"&gt;=0")&lt;&gt;0,IF(COUNTIF(K62:K73,"&lt;0")&lt;&gt;0,"Gain / Loss", "Gain"),"Loss")</f>
        <v>% Loss</v>
      </c>
      <c r="O61" s="28"/>
      <c r="P61" t="s">
        <v>79</v>
      </c>
    </row>
    <row r="62" spans="1:19" x14ac:dyDescent="0.25">
      <c r="B62" s="29"/>
      <c r="C62" s="30" t="s">
        <v>166</v>
      </c>
      <c r="D62" s="1">
        <f>SUMIF(Download!B:B,Q62,Download!G:G)</f>
        <v>0</v>
      </c>
      <c r="E62" s="31">
        <f>SUMIF(Download!B:B,Q62,Download!H:H)</f>
        <v>0</v>
      </c>
      <c r="F62" s="5">
        <f t="shared" ref="F62:F73" si="12">D62*E62</f>
        <v>0</v>
      </c>
      <c r="G62" s="12"/>
      <c r="H62" s="1">
        <v>1000</v>
      </c>
      <c r="I62" s="5">
        <f>H62*H60</f>
        <v>0</v>
      </c>
      <c r="J62" s="5">
        <f>(H60-E62)*H62</f>
        <v>0</v>
      </c>
      <c r="K62" s="58" t="e">
        <f>(H60/E62)-1</f>
        <v>#DIV/0!</v>
      </c>
      <c r="L62" s="13"/>
      <c r="O62" t="s">
        <v>167</v>
      </c>
      <c r="P62" t="str">
        <f>P61</f>
        <v>9888:HK</v>
      </c>
      <c r="Q62" t="str">
        <f t="shared" ref="Q62:Q73" si="13">O62&amp;P62</f>
        <v>CBSG9888:HK</v>
      </c>
    </row>
    <row r="63" spans="1:19" x14ac:dyDescent="0.25">
      <c r="B63" s="29"/>
      <c r="C63" s="30" t="s">
        <v>12</v>
      </c>
      <c r="D63" s="1">
        <f>SUMIF(Download!B:B,Q63,Download!G:G)</f>
        <v>0</v>
      </c>
      <c r="E63" s="31">
        <f>SUMIF(Download!B:B,Q63,Download!H:H)</f>
        <v>0</v>
      </c>
      <c r="F63" s="5">
        <f t="shared" si="12"/>
        <v>0</v>
      </c>
      <c r="G63" s="12"/>
      <c r="H63" s="1">
        <f>H62</f>
        <v>1000</v>
      </c>
      <c r="I63" s="5">
        <f>H63*H60</f>
        <v>0</v>
      </c>
      <c r="J63" s="5">
        <f>(H60-E63)*H63</f>
        <v>0</v>
      </c>
      <c r="K63" s="58" t="e">
        <f>(H60/E63)-1</f>
        <v>#DIV/0!</v>
      </c>
      <c r="L63" s="13" t="s">
        <v>80</v>
      </c>
      <c r="O63" t="s">
        <v>13</v>
      </c>
      <c r="P63" t="str">
        <f>P61</f>
        <v>9888:HK</v>
      </c>
      <c r="Q63" t="str">
        <f t="shared" si="13"/>
        <v>CB29888:HK</v>
      </c>
    </row>
    <row r="64" spans="1:19" x14ac:dyDescent="0.25">
      <c r="B64" s="29"/>
      <c r="C64" s="30" t="s">
        <v>14</v>
      </c>
      <c r="D64" s="1">
        <f>SUMIF(Download!B:B,Q64,Download!G:G)</f>
        <v>0</v>
      </c>
      <c r="E64" s="31">
        <f>SUMIF(Download!B:B,Q64,Download!H:H)</f>
        <v>0</v>
      </c>
      <c r="F64" s="5">
        <f t="shared" si="12"/>
        <v>0</v>
      </c>
      <c r="G64" s="12"/>
      <c r="H64" s="1">
        <f t="shared" ref="H64:H73" si="14">H63</f>
        <v>1000</v>
      </c>
      <c r="I64" s="5">
        <f>H64*H60</f>
        <v>0</v>
      </c>
      <c r="J64" s="5">
        <f>(H60-E64)*H64</f>
        <v>0</v>
      </c>
      <c r="K64" s="58" t="e">
        <f>(H60/E64)-1</f>
        <v>#DIV/0!</v>
      </c>
      <c r="L64" s="13"/>
      <c r="O64" t="s">
        <v>15</v>
      </c>
      <c r="P64" t="str">
        <f>P62</f>
        <v>9888:HK</v>
      </c>
      <c r="Q64" t="str">
        <f t="shared" si="13"/>
        <v>CB39888:HK</v>
      </c>
    </row>
    <row r="65" spans="1:19" x14ac:dyDescent="0.25">
      <c r="B65" s="29"/>
      <c r="C65" s="30" t="s">
        <v>16</v>
      </c>
      <c r="D65" s="1">
        <f>SUMIF(Download!B:B,Q65,Download!G:G)</f>
        <v>0</v>
      </c>
      <c r="E65" s="31">
        <f>SUMIF(Download!B:B,Q65,Download!H:H)</f>
        <v>0</v>
      </c>
      <c r="F65" s="5">
        <f t="shared" si="12"/>
        <v>0</v>
      </c>
      <c r="G65" s="12"/>
      <c r="H65" s="1">
        <f t="shared" si="14"/>
        <v>1000</v>
      </c>
      <c r="I65" s="5">
        <f>H65*H60</f>
        <v>0</v>
      </c>
      <c r="J65" s="5">
        <f>(H60-E65)*H65</f>
        <v>0</v>
      </c>
      <c r="K65" s="58" t="e">
        <f>(H60/E65)-1</f>
        <v>#DIV/0!</v>
      </c>
      <c r="L65" s="13"/>
      <c r="O65" t="s">
        <v>17</v>
      </c>
      <c r="P65" t="str">
        <f t="shared" ref="P65:P73" si="15">P64</f>
        <v>9888:HK</v>
      </c>
      <c r="Q65" t="str">
        <f t="shared" si="13"/>
        <v>CBBH9888:HK</v>
      </c>
    </row>
    <row r="66" spans="1:19" x14ac:dyDescent="0.25">
      <c r="B66" s="29"/>
      <c r="C66" s="30" t="s">
        <v>18</v>
      </c>
      <c r="D66" s="1">
        <f>SUMIF(Download!B:B,Q66,Download!G:G)</f>
        <v>0</v>
      </c>
      <c r="E66" s="31">
        <f>SUMIF(Download!B:B,Q66,Download!H:H)</f>
        <v>0</v>
      </c>
      <c r="F66" s="5">
        <f t="shared" si="12"/>
        <v>0</v>
      </c>
      <c r="G66" s="12"/>
      <c r="H66" s="1">
        <f t="shared" si="14"/>
        <v>1000</v>
      </c>
      <c r="I66" s="5">
        <f>H66*H60</f>
        <v>0</v>
      </c>
      <c r="J66" s="5">
        <f>(H60-E66)*H66</f>
        <v>0</v>
      </c>
      <c r="K66" s="58" t="e">
        <f>(H60/E66)-1</f>
        <v>#DIV/0!</v>
      </c>
      <c r="L66" s="13"/>
      <c r="O66" t="s">
        <v>19</v>
      </c>
      <c r="P66" t="str">
        <f t="shared" si="15"/>
        <v>9888:HK</v>
      </c>
      <c r="Q66" t="str">
        <f t="shared" si="13"/>
        <v>BOS9888:HK</v>
      </c>
    </row>
    <row r="67" spans="1:19" x14ac:dyDescent="0.25">
      <c r="B67" s="29"/>
      <c r="C67" s="30" t="s">
        <v>20</v>
      </c>
      <c r="D67" s="1">
        <f>SUMIF(Download!B:B,Q67,Download!G:G)</f>
        <v>0</v>
      </c>
      <c r="E67" s="31">
        <f>SUMIF(Download!B:B,Q67,Download!H:H)</f>
        <v>0</v>
      </c>
      <c r="F67" s="5">
        <f t="shared" si="12"/>
        <v>0</v>
      </c>
      <c r="G67" s="12"/>
      <c r="H67" s="1">
        <f t="shared" si="14"/>
        <v>1000</v>
      </c>
      <c r="I67" s="5">
        <f>H67*H60</f>
        <v>0</v>
      </c>
      <c r="J67" s="5">
        <f>(H60-E67)*H67</f>
        <v>0</v>
      </c>
      <c r="K67" s="58" t="e">
        <f>(H60/E67)-1</f>
        <v>#DIV/0!</v>
      </c>
      <c r="L67" s="13" t="s">
        <v>81</v>
      </c>
      <c r="O67" t="s">
        <v>21</v>
      </c>
      <c r="P67" t="str">
        <f t="shared" si="15"/>
        <v>9888:HK</v>
      </c>
      <c r="Q67" t="str">
        <f t="shared" si="13"/>
        <v>DBPe9888:HK</v>
      </c>
    </row>
    <row r="68" spans="1:19" x14ac:dyDescent="0.25">
      <c r="B68" s="29"/>
      <c r="C68" s="30" t="s">
        <v>22</v>
      </c>
      <c r="D68" s="1">
        <f>SUMIF(Download!B:B,Q68,Download!G:G)</f>
        <v>0</v>
      </c>
      <c r="E68" s="31">
        <f>SUMIF(Download!B:B,Q68,Download!H:H)</f>
        <v>0</v>
      </c>
      <c r="F68" s="5">
        <f t="shared" si="12"/>
        <v>0</v>
      </c>
      <c r="G68" s="12"/>
      <c r="H68" s="1">
        <f t="shared" si="14"/>
        <v>1000</v>
      </c>
      <c r="I68" s="5">
        <f>H68*H60</f>
        <v>0</v>
      </c>
      <c r="J68" s="5">
        <f>(H60-E68)*H68</f>
        <v>0</v>
      </c>
      <c r="K68" s="58" t="e">
        <f>(H60/E68)-1</f>
        <v>#DIV/0!</v>
      </c>
      <c r="L68" s="13"/>
      <c r="O68" t="s">
        <v>23</v>
      </c>
      <c r="P68" t="str">
        <f t="shared" si="15"/>
        <v>9888:HK</v>
      </c>
      <c r="Q68" t="str">
        <f t="shared" si="13"/>
        <v>DBPL9888:HK</v>
      </c>
    </row>
    <row r="69" spans="1:19" x14ac:dyDescent="0.25">
      <c r="B69" s="29"/>
      <c r="C69" s="30" t="s">
        <v>24</v>
      </c>
      <c r="D69" s="1">
        <f>SUMIF(Download!B:B,Q69,Download!G:G)</f>
        <v>0</v>
      </c>
      <c r="E69" s="31">
        <f>SUMIF(Download!B:B,Q69,Download!H:H)</f>
        <v>0</v>
      </c>
      <c r="F69" s="5">
        <f t="shared" si="12"/>
        <v>0</v>
      </c>
      <c r="G69" s="12"/>
      <c r="H69" s="1">
        <f t="shared" si="14"/>
        <v>1000</v>
      </c>
      <c r="I69" s="5">
        <f>H69*H60</f>
        <v>0</v>
      </c>
      <c r="J69" s="5">
        <f>(H60-E69)*H69</f>
        <v>0</v>
      </c>
      <c r="K69" s="58" t="e">
        <f>(H60/E69)-1</f>
        <v>#DIV/0!</v>
      </c>
      <c r="L69" s="13"/>
      <c r="O69" t="s">
        <v>25</v>
      </c>
      <c r="P69" t="str">
        <f t="shared" si="15"/>
        <v>9888:HK</v>
      </c>
      <c r="Q69" t="str">
        <f t="shared" si="13"/>
        <v>SC9888:HK</v>
      </c>
    </row>
    <row r="70" spans="1:19" x14ac:dyDescent="0.25">
      <c r="B70" s="29"/>
      <c r="C70" s="30" t="s">
        <v>26</v>
      </c>
      <c r="D70" s="1">
        <f>SUMIF(Download!B:B,Q70,Download!G:G)</f>
        <v>0</v>
      </c>
      <c r="E70" s="31">
        <f>SUMIF(Download!B:B,Q70,Download!H:H)</f>
        <v>0</v>
      </c>
      <c r="F70" s="5">
        <f t="shared" si="12"/>
        <v>0</v>
      </c>
      <c r="G70" s="12"/>
      <c r="H70" s="1">
        <f t="shared" si="14"/>
        <v>1000</v>
      </c>
      <c r="I70" s="5">
        <f>H70*H60</f>
        <v>0</v>
      </c>
      <c r="J70" s="5">
        <f>(H60-E70)*H70</f>
        <v>0</v>
      </c>
      <c r="K70" s="58" t="e">
        <f>(H60/E70)-1</f>
        <v>#DIV/0!</v>
      </c>
      <c r="L70" s="13"/>
      <c r="O70" t="s">
        <v>27</v>
      </c>
      <c r="P70" t="str">
        <f t="shared" si="15"/>
        <v>9888:HK</v>
      </c>
      <c r="Q70" t="str">
        <f t="shared" si="13"/>
        <v>SHK9888:HK</v>
      </c>
    </row>
    <row r="71" spans="1:19" x14ac:dyDescent="0.25">
      <c r="B71" s="29"/>
      <c r="C71" s="30" t="s">
        <v>28</v>
      </c>
      <c r="D71" s="1">
        <f>SUMIF(Download!B:B,Q71,Download!G:G)</f>
        <v>0</v>
      </c>
      <c r="E71" s="31">
        <f>SUMIF(Download!B:B,Q71,Download!H:H)</f>
        <v>0</v>
      </c>
      <c r="F71" s="5">
        <f t="shared" si="12"/>
        <v>0</v>
      </c>
      <c r="G71" s="12"/>
      <c r="H71" s="1">
        <f t="shared" si="14"/>
        <v>1000</v>
      </c>
      <c r="I71" s="5">
        <f>H71*H60</f>
        <v>0</v>
      </c>
      <c r="J71" s="5">
        <f>(H60-E71)*H71</f>
        <v>0</v>
      </c>
      <c r="K71" s="58" t="e">
        <f>(H60/E71)-1</f>
        <v>#DIV/0!</v>
      </c>
      <c r="L71" s="13"/>
      <c r="O71" t="s">
        <v>29</v>
      </c>
      <c r="P71" t="str">
        <f t="shared" si="15"/>
        <v>9888:HK</v>
      </c>
      <c r="Q71" t="str">
        <f t="shared" si="13"/>
        <v>MST19888:HK</v>
      </c>
    </row>
    <row r="72" spans="1:19" x14ac:dyDescent="0.25">
      <c r="B72" s="29"/>
      <c r="C72" s="30" t="s">
        <v>30</v>
      </c>
      <c r="D72" s="1">
        <f>SUMIF(Download!B:B,Q72,Download!G:G)</f>
        <v>0</v>
      </c>
      <c r="E72" s="31">
        <f>SUMIF(Download!B:B,Q72,Download!H:H)</f>
        <v>0</v>
      </c>
      <c r="F72" s="5">
        <f t="shared" si="12"/>
        <v>0</v>
      </c>
      <c r="G72" s="12"/>
      <c r="H72" s="1">
        <f t="shared" si="14"/>
        <v>1000</v>
      </c>
      <c r="I72" s="5">
        <f>H72*H60</f>
        <v>0</v>
      </c>
      <c r="J72" s="5">
        <f>(H60-E72)*H72</f>
        <v>0</v>
      </c>
      <c r="K72" s="58" t="e">
        <f>(H60/E72)-1</f>
        <v>#DIV/0!</v>
      </c>
      <c r="L72" s="13"/>
      <c r="O72" t="s">
        <v>32</v>
      </c>
      <c r="P72" t="str">
        <f t="shared" si="15"/>
        <v>9888:HK</v>
      </c>
      <c r="Q72" t="str">
        <f t="shared" si="13"/>
        <v>MST29888:HK</v>
      </c>
    </row>
    <row r="73" spans="1:19" x14ac:dyDescent="0.25">
      <c r="B73" s="29"/>
      <c r="C73" s="30" t="s">
        <v>33</v>
      </c>
      <c r="D73" s="1">
        <f>SUMIF(Download!B:B,Q73,Download!G:G)</f>
        <v>0</v>
      </c>
      <c r="E73" s="31">
        <f>SUMIF(Download!B:B,Q73,Download!H:H)</f>
        <v>0</v>
      </c>
      <c r="F73" s="5">
        <f t="shared" si="12"/>
        <v>0</v>
      </c>
      <c r="G73" s="12"/>
      <c r="H73" s="1">
        <f t="shared" si="14"/>
        <v>1000</v>
      </c>
      <c r="I73" s="5">
        <f>H73*H60</f>
        <v>0</v>
      </c>
      <c r="J73" s="5">
        <f>(H60-E73)*H73</f>
        <v>0</v>
      </c>
      <c r="K73" s="58" t="e">
        <f>(H60/E73)-1</f>
        <v>#DIV/0!</v>
      </c>
      <c r="L73" s="13"/>
      <c r="O73" t="s">
        <v>34</v>
      </c>
      <c r="P73" t="str">
        <f t="shared" si="15"/>
        <v>9888:HK</v>
      </c>
      <c r="Q73" t="str">
        <f t="shared" si="13"/>
        <v>MSPL9888:HK</v>
      </c>
    </row>
    <row r="74" spans="1:19" x14ac:dyDescent="0.25">
      <c r="B74" s="29"/>
      <c r="C74" s="32"/>
      <c r="D74" s="11"/>
      <c r="E74" s="33"/>
      <c r="F74" s="12"/>
      <c r="G74" s="12"/>
      <c r="H74" s="12"/>
      <c r="I74" s="12"/>
      <c r="J74" s="12"/>
      <c r="K74" s="12"/>
      <c r="L74" s="13"/>
    </row>
    <row r="75" spans="1:19" ht="15.75" customHeight="1" thickBot="1" x14ac:dyDescent="0.3">
      <c r="C75" s="34" t="s">
        <v>35</v>
      </c>
      <c r="D75" s="10">
        <f>SUM(D61:D74)</f>
        <v>0</v>
      </c>
      <c r="E75" s="35" t="e">
        <f>F75/D75</f>
        <v>#DIV/0!</v>
      </c>
      <c r="F75" s="4">
        <f>SUM(F61:F74)</f>
        <v>0</v>
      </c>
      <c r="G75" s="14"/>
      <c r="H75" s="14"/>
      <c r="I75" s="14"/>
      <c r="J75" s="14"/>
      <c r="K75" s="14"/>
      <c r="L75" s="51"/>
    </row>
    <row r="76" spans="1:19" ht="15.75" customHeight="1" thickTop="1" x14ac:dyDescent="0.25">
      <c r="D76" s="36"/>
    </row>
    <row r="77" spans="1:19" x14ac:dyDescent="0.25">
      <c r="D77" s="36"/>
      <c r="L77" s="18"/>
      <c r="M77" s="19"/>
      <c r="N77" s="19"/>
    </row>
    <row r="78" spans="1:19" x14ac:dyDescent="0.25">
      <c r="D78" s="36"/>
      <c r="L78" s="18"/>
      <c r="M78" s="20"/>
      <c r="N78" s="20"/>
    </row>
    <row r="79" spans="1:19" ht="18.75" customHeight="1" x14ac:dyDescent="0.3">
      <c r="A79" s="22">
        <v>5</v>
      </c>
      <c r="B79" s="17" t="str">
        <f>INDEX(Stocks!A:B,MATCH(P80,Stocks!A:A,),2)&amp;" ("&amp;P80&amp;")"</f>
        <v>Semiconductor Mfg (981:HK)</v>
      </c>
      <c r="C79" s="17"/>
      <c r="G79" s="16" t="s">
        <v>162</v>
      </c>
      <c r="H79" s="57"/>
      <c r="L79" s="18"/>
      <c r="M79" s="19"/>
      <c r="N79" s="19"/>
      <c r="R79" s="23"/>
      <c r="S79" s="37"/>
    </row>
    <row r="80" spans="1:19" x14ac:dyDescent="0.25">
      <c r="A80" s="25"/>
      <c r="C80" s="26" t="s">
        <v>5</v>
      </c>
      <c r="D80" s="26" t="s">
        <v>6</v>
      </c>
      <c r="E80" s="26" t="s">
        <v>7</v>
      </c>
      <c r="F80" s="27" t="s">
        <v>8</v>
      </c>
      <c r="G80" s="24"/>
      <c r="H80" s="26" t="s">
        <v>163</v>
      </c>
      <c r="I80" s="27" t="s">
        <v>164</v>
      </c>
      <c r="J80" s="26" t="str">
        <f>IF(COUNTIF(J81:J92,"&gt;0")&lt;&gt;0,IF(COUNTIF(J81:J92,"&lt;0")&lt;&gt;0,"Gain / Loss", "Gain"),"Loss")</f>
        <v>Loss</v>
      </c>
      <c r="K80" s="26" t="str">
        <f>"% "&amp;IF(COUNTIF(K81:K92,"&gt;=0")&lt;&gt;0,IF(COUNTIF(K81:K92,"&lt;0")&lt;&gt;0,"Gain / Loss", "Gain"),"Loss")</f>
        <v>% Loss</v>
      </c>
      <c r="O80" s="28"/>
      <c r="P80" t="s">
        <v>82</v>
      </c>
    </row>
    <row r="81" spans="1:17" x14ac:dyDescent="0.25">
      <c r="B81" s="29"/>
      <c r="C81" s="30" t="s">
        <v>166</v>
      </c>
      <c r="D81" s="1">
        <f>SUMIF(Download!B:B,Q81,Download!G:G)</f>
        <v>0</v>
      </c>
      <c r="E81" s="31">
        <f>SUMIF(Download!B:B,Q81,Download!H:H)</f>
        <v>0</v>
      </c>
      <c r="F81" s="5">
        <f t="shared" ref="F81:F92" si="16">D81*E81</f>
        <v>0</v>
      </c>
      <c r="G81" s="12"/>
      <c r="H81" s="1"/>
      <c r="I81" s="5">
        <f>H81*H79</f>
        <v>0</v>
      </c>
      <c r="J81" s="5">
        <f>(H79-E81)*H81</f>
        <v>0</v>
      </c>
      <c r="K81" s="58" t="e">
        <f>(H79/E81)-1</f>
        <v>#DIV/0!</v>
      </c>
      <c r="L81" s="13"/>
      <c r="O81" t="s">
        <v>167</v>
      </c>
      <c r="P81" t="str">
        <f>P80</f>
        <v>981:HK</v>
      </c>
      <c r="Q81" t="str">
        <f t="shared" ref="Q81:Q92" si="17">O81&amp;P81</f>
        <v>CBSG981:HK</v>
      </c>
    </row>
    <row r="82" spans="1:17" x14ac:dyDescent="0.25">
      <c r="B82" s="29"/>
      <c r="C82" s="30" t="s">
        <v>12</v>
      </c>
      <c r="D82" s="1">
        <f>SUMIF(Download!B:B,Q82,Download!G:G)</f>
        <v>0</v>
      </c>
      <c r="E82" s="31">
        <f>SUMIF(Download!B:B,Q82,Download!H:H)</f>
        <v>0</v>
      </c>
      <c r="F82" s="5">
        <f t="shared" si="16"/>
        <v>0</v>
      </c>
      <c r="G82" s="12"/>
      <c r="H82" s="1"/>
      <c r="I82" s="5">
        <f>H82*H79</f>
        <v>0</v>
      </c>
      <c r="J82" s="5">
        <f>(H79-E82)*H82</f>
        <v>0</v>
      </c>
      <c r="K82" s="58" t="e">
        <f>(H79/E82)-1</f>
        <v>#DIV/0!</v>
      </c>
      <c r="L82" s="13"/>
      <c r="O82" t="s">
        <v>13</v>
      </c>
      <c r="P82" t="str">
        <f>P80</f>
        <v>981:HK</v>
      </c>
      <c r="Q82" t="str">
        <f t="shared" si="17"/>
        <v>CB2981:HK</v>
      </c>
    </row>
    <row r="83" spans="1:17" x14ac:dyDescent="0.25">
      <c r="B83" s="29"/>
      <c r="C83" s="30" t="s">
        <v>14</v>
      </c>
      <c r="D83" s="1">
        <f>SUMIF(Download!B:B,Q83,Download!G:G)</f>
        <v>0</v>
      </c>
      <c r="E83" s="31">
        <f>SUMIF(Download!B:B,Q83,Download!H:H)</f>
        <v>0</v>
      </c>
      <c r="F83" s="5">
        <f t="shared" si="16"/>
        <v>0</v>
      </c>
      <c r="G83" s="12"/>
      <c r="H83" s="1"/>
      <c r="I83" s="5">
        <f>H83*H79</f>
        <v>0</v>
      </c>
      <c r="J83" s="5">
        <f>(H79-E83)*H83</f>
        <v>0</v>
      </c>
      <c r="K83" s="58" t="e">
        <f>(H79/E83)-1</f>
        <v>#DIV/0!</v>
      </c>
      <c r="L83" s="13"/>
      <c r="O83" t="s">
        <v>15</v>
      </c>
      <c r="P83" t="str">
        <f>P81</f>
        <v>981:HK</v>
      </c>
      <c r="Q83" t="str">
        <f t="shared" si="17"/>
        <v>CB3981:HK</v>
      </c>
    </row>
    <row r="84" spans="1:17" x14ac:dyDescent="0.25">
      <c r="B84" s="29"/>
      <c r="C84" s="30" t="s">
        <v>16</v>
      </c>
      <c r="D84" s="1">
        <f>SUMIF(Download!B:B,Q84,Download!G:G)</f>
        <v>0</v>
      </c>
      <c r="E84" s="31">
        <f>SUMIF(Download!B:B,Q84,Download!H:H)</f>
        <v>0</v>
      </c>
      <c r="F84" s="5">
        <f t="shared" si="16"/>
        <v>0</v>
      </c>
      <c r="G84" s="12"/>
      <c r="H84" s="1"/>
      <c r="I84" s="5">
        <f>H84*H79</f>
        <v>0</v>
      </c>
      <c r="J84" s="5">
        <f>(H79-E84)*H84</f>
        <v>0</v>
      </c>
      <c r="K84" s="58" t="e">
        <f>(H79/E84)-1</f>
        <v>#DIV/0!</v>
      </c>
      <c r="L84" s="13"/>
      <c r="O84" t="s">
        <v>17</v>
      </c>
      <c r="P84" t="str">
        <f t="shared" ref="P84:P92" si="18">P83</f>
        <v>981:HK</v>
      </c>
      <c r="Q84" t="str">
        <f t="shared" si="17"/>
        <v>CBBH981:HK</v>
      </c>
    </row>
    <row r="85" spans="1:17" x14ac:dyDescent="0.25">
      <c r="B85" s="29"/>
      <c r="C85" s="30" t="s">
        <v>18</v>
      </c>
      <c r="D85" s="1">
        <f>SUMIF(Download!B:B,Q85,Download!G:G)</f>
        <v>0</v>
      </c>
      <c r="E85" s="31">
        <f>SUMIF(Download!B:B,Q85,Download!H:H)</f>
        <v>0</v>
      </c>
      <c r="F85" s="5">
        <f t="shared" si="16"/>
        <v>0</v>
      </c>
      <c r="G85" s="12"/>
      <c r="H85" s="1"/>
      <c r="I85" s="5">
        <f>H85*H79</f>
        <v>0</v>
      </c>
      <c r="J85" s="5">
        <f>(H79-E85)*H85</f>
        <v>0</v>
      </c>
      <c r="K85" s="58" t="e">
        <f>(H79/E85)-1</f>
        <v>#DIV/0!</v>
      </c>
      <c r="L85" s="13"/>
      <c r="O85" t="s">
        <v>19</v>
      </c>
      <c r="P85" t="str">
        <f t="shared" si="18"/>
        <v>981:HK</v>
      </c>
      <c r="Q85" t="str">
        <f t="shared" si="17"/>
        <v>BOS981:HK</v>
      </c>
    </row>
    <row r="86" spans="1:17" x14ac:dyDescent="0.25">
      <c r="B86" s="29"/>
      <c r="C86" s="30" t="s">
        <v>20</v>
      </c>
      <c r="D86" s="1">
        <f>SUMIF(Download!B:B,Q86,Download!G:G)</f>
        <v>0</v>
      </c>
      <c r="E86" s="31">
        <f>SUMIF(Download!B:B,Q86,Download!H:H)</f>
        <v>0</v>
      </c>
      <c r="F86" s="5">
        <f t="shared" si="16"/>
        <v>0</v>
      </c>
      <c r="G86" s="12"/>
      <c r="H86" s="1"/>
      <c r="I86" s="5">
        <f>H86*H79</f>
        <v>0</v>
      </c>
      <c r="J86" s="5">
        <f>(H79-E86)*H86</f>
        <v>0</v>
      </c>
      <c r="K86" s="58" t="e">
        <f>(H79/E86)-1</f>
        <v>#DIV/0!</v>
      </c>
      <c r="L86" s="13"/>
      <c r="O86" t="s">
        <v>21</v>
      </c>
      <c r="P86" t="str">
        <f t="shared" si="18"/>
        <v>981:HK</v>
      </c>
      <c r="Q86" t="str">
        <f t="shared" si="17"/>
        <v>DBPe981:HK</v>
      </c>
    </row>
    <row r="87" spans="1:17" x14ac:dyDescent="0.25">
      <c r="B87" s="29"/>
      <c r="C87" s="30" t="s">
        <v>22</v>
      </c>
      <c r="D87" s="1">
        <f>SUMIF(Download!B:B,Q87,Download!G:G)</f>
        <v>0</v>
      </c>
      <c r="E87" s="31">
        <f>SUMIF(Download!B:B,Q87,Download!H:H)</f>
        <v>0</v>
      </c>
      <c r="F87" s="5">
        <f t="shared" si="16"/>
        <v>0</v>
      </c>
      <c r="G87" s="12"/>
      <c r="H87" s="1"/>
      <c r="I87" s="5">
        <f>H87*H79</f>
        <v>0</v>
      </c>
      <c r="J87" s="5">
        <f>(H79-E87)*H87</f>
        <v>0</v>
      </c>
      <c r="K87" s="58" t="e">
        <f>(H79/E87)-1</f>
        <v>#DIV/0!</v>
      </c>
      <c r="L87" s="13"/>
      <c r="O87" t="s">
        <v>23</v>
      </c>
      <c r="P87" t="str">
        <f t="shared" si="18"/>
        <v>981:HK</v>
      </c>
      <c r="Q87" t="str">
        <f t="shared" si="17"/>
        <v>DBPL981:HK</v>
      </c>
    </row>
    <row r="88" spans="1:17" x14ac:dyDescent="0.25">
      <c r="B88" s="29"/>
      <c r="C88" s="30" t="s">
        <v>24</v>
      </c>
      <c r="D88" s="1">
        <f>SUMIF(Download!B:B,Q88,Download!G:G)</f>
        <v>0</v>
      </c>
      <c r="E88" s="31">
        <f>SUMIF(Download!B:B,Q88,Download!H:H)</f>
        <v>0</v>
      </c>
      <c r="F88" s="5">
        <f t="shared" si="16"/>
        <v>0</v>
      </c>
      <c r="G88" s="12"/>
      <c r="H88" s="1"/>
      <c r="I88" s="5">
        <f>H88*H79</f>
        <v>0</v>
      </c>
      <c r="J88" s="5">
        <f>(H79-E88)*H88</f>
        <v>0</v>
      </c>
      <c r="K88" s="58" t="e">
        <f>(H79/E88)-1</f>
        <v>#DIV/0!</v>
      </c>
      <c r="L88" s="13"/>
      <c r="O88" t="s">
        <v>25</v>
      </c>
      <c r="P88" t="str">
        <f t="shared" si="18"/>
        <v>981:HK</v>
      </c>
      <c r="Q88" t="str">
        <f t="shared" si="17"/>
        <v>SC981:HK</v>
      </c>
    </row>
    <row r="89" spans="1:17" x14ac:dyDescent="0.25">
      <c r="B89" s="29"/>
      <c r="C89" s="30" t="s">
        <v>26</v>
      </c>
      <c r="D89" s="1">
        <f>SUMIF(Download!B:B,Q89,Download!G:G)</f>
        <v>0</v>
      </c>
      <c r="E89" s="31">
        <f>SUMIF(Download!B:B,Q89,Download!H:H)</f>
        <v>0</v>
      </c>
      <c r="F89" s="5">
        <f t="shared" si="16"/>
        <v>0</v>
      </c>
      <c r="G89" s="12"/>
      <c r="H89" s="1"/>
      <c r="I89" s="5">
        <f>H89*H79</f>
        <v>0</v>
      </c>
      <c r="J89" s="5">
        <f>(H79-E89)*H89</f>
        <v>0</v>
      </c>
      <c r="K89" s="58" t="e">
        <f>(H79/E89)-1</f>
        <v>#DIV/0!</v>
      </c>
      <c r="L89" s="13"/>
      <c r="O89" t="s">
        <v>27</v>
      </c>
      <c r="P89" t="str">
        <f t="shared" si="18"/>
        <v>981:HK</v>
      </c>
      <c r="Q89" t="str">
        <f t="shared" si="17"/>
        <v>SHK981:HK</v>
      </c>
    </row>
    <row r="90" spans="1:17" x14ac:dyDescent="0.25">
      <c r="B90" s="29"/>
      <c r="C90" s="30" t="s">
        <v>28</v>
      </c>
      <c r="D90" s="1">
        <f>SUMIF(Download!B:B,Q90,Download!G:G)</f>
        <v>0</v>
      </c>
      <c r="E90" s="31">
        <f>SUMIF(Download!B:B,Q90,Download!H:H)</f>
        <v>0</v>
      </c>
      <c r="F90" s="5">
        <f t="shared" si="16"/>
        <v>0</v>
      </c>
      <c r="G90" s="12"/>
      <c r="H90" s="1"/>
      <c r="I90" s="5">
        <f>H90*H79</f>
        <v>0</v>
      </c>
      <c r="J90" s="5">
        <f>(H79-E90)*H90</f>
        <v>0</v>
      </c>
      <c r="K90" s="58" t="e">
        <f>(H79/E90)-1</f>
        <v>#DIV/0!</v>
      </c>
      <c r="L90" s="13"/>
      <c r="O90" t="s">
        <v>29</v>
      </c>
      <c r="P90" t="str">
        <f t="shared" si="18"/>
        <v>981:HK</v>
      </c>
      <c r="Q90" t="str">
        <f t="shared" si="17"/>
        <v>MST1981:HK</v>
      </c>
    </row>
    <row r="91" spans="1:17" x14ac:dyDescent="0.25">
      <c r="B91" s="29"/>
      <c r="C91" s="30" t="s">
        <v>30</v>
      </c>
      <c r="D91" s="1">
        <f>SUMIF(Download!B:B,Q91,Download!G:G)</f>
        <v>0</v>
      </c>
      <c r="E91" s="31">
        <f>SUMIF(Download!B:B,Q91,Download!H:H)</f>
        <v>0</v>
      </c>
      <c r="F91" s="5">
        <f t="shared" si="16"/>
        <v>0</v>
      </c>
      <c r="G91" s="12"/>
      <c r="H91" s="1"/>
      <c r="I91" s="5">
        <f>H91*H79</f>
        <v>0</v>
      </c>
      <c r="J91" s="5">
        <f>(H79-E91)*H91</f>
        <v>0</v>
      </c>
      <c r="K91" s="58" t="e">
        <f>(H79/E91)-1</f>
        <v>#DIV/0!</v>
      </c>
      <c r="L91" s="13"/>
      <c r="O91" t="s">
        <v>32</v>
      </c>
      <c r="P91" t="str">
        <f t="shared" si="18"/>
        <v>981:HK</v>
      </c>
      <c r="Q91" t="str">
        <f t="shared" si="17"/>
        <v>MST2981:HK</v>
      </c>
    </row>
    <row r="92" spans="1:17" x14ac:dyDescent="0.25">
      <c r="B92" s="29"/>
      <c r="C92" s="30" t="s">
        <v>33</v>
      </c>
      <c r="D92" s="1">
        <f>SUMIF(Download!B:B,Q92,Download!G:G)</f>
        <v>0</v>
      </c>
      <c r="E92" s="31">
        <f>SUMIF(Download!B:B,Q92,Download!H:H)</f>
        <v>0</v>
      </c>
      <c r="F92" s="5">
        <f t="shared" si="16"/>
        <v>0</v>
      </c>
      <c r="G92" s="12"/>
      <c r="H92" s="1"/>
      <c r="I92" s="5">
        <f>H92*H79</f>
        <v>0</v>
      </c>
      <c r="J92" s="5">
        <f>(H79-E92)*H92</f>
        <v>0</v>
      </c>
      <c r="K92" s="58" t="e">
        <f>(H79/E92)-1</f>
        <v>#DIV/0!</v>
      </c>
      <c r="L92" s="13"/>
      <c r="O92" t="s">
        <v>34</v>
      </c>
      <c r="P92" t="str">
        <f t="shared" si="18"/>
        <v>981:HK</v>
      </c>
      <c r="Q92" t="str">
        <f t="shared" si="17"/>
        <v>MSPL981:HK</v>
      </c>
    </row>
    <row r="93" spans="1:17" x14ac:dyDescent="0.25">
      <c r="B93" s="29"/>
      <c r="C93" s="32"/>
      <c r="D93" s="11"/>
      <c r="E93" s="33"/>
      <c r="F93" s="12"/>
      <c r="G93" s="12"/>
      <c r="H93" s="12"/>
      <c r="I93" s="12"/>
      <c r="J93" s="12"/>
      <c r="K93" s="12"/>
      <c r="L93" s="13"/>
    </row>
    <row r="94" spans="1:17" ht="15.75" customHeight="1" thickBot="1" x14ac:dyDescent="0.3">
      <c r="C94" s="34" t="s">
        <v>35</v>
      </c>
      <c r="D94" s="10">
        <f>SUM(D80:D93)</f>
        <v>0</v>
      </c>
      <c r="E94" s="35" t="e">
        <f>F94/D94</f>
        <v>#DIV/0!</v>
      </c>
      <c r="F94" s="4">
        <f>SUM(F80:F93)</f>
        <v>0</v>
      </c>
      <c r="G94" s="14"/>
      <c r="H94" s="14"/>
      <c r="I94" s="14"/>
      <c r="J94" s="14"/>
      <c r="K94" s="14"/>
      <c r="L94" s="51"/>
    </row>
    <row r="95" spans="1:17" ht="15.75" customHeight="1" thickTop="1" x14ac:dyDescent="0.25">
      <c r="D95" s="36"/>
      <c r="L95" s="18"/>
      <c r="M95" s="20"/>
      <c r="N95" s="20"/>
    </row>
    <row r="96" spans="1:17" ht="18.75" customHeight="1" x14ac:dyDescent="0.3">
      <c r="A96" s="17"/>
      <c r="L96" s="18" t="s">
        <v>1</v>
      </c>
      <c r="M96" s="19">
        <v>44742</v>
      </c>
      <c r="N96" s="19"/>
    </row>
    <row r="97" spans="1:19" x14ac:dyDescent="0.25">
      <c r="L97" s="18" t="s">
        <v>2</v>
      </c>
      <c r="M97" s="20" t="s">
        <v>83</v>
      </c>
      <c r="N97" s="20"/>
      <c r="R97" s="21"/>
    </row>
    <row r="98" spans="1:19" ht="18.75" customHeight="1" x14ac:dyDescent="0.3">
      <c r="A98" s="22">
        <v>5</v>
      </c>
      <c r="B98" s="17" t="str">
        <f>INDEX(Stocks!A:B,MATCH(P99,Stocks!A:A,),2)&amp;" ("&amp;P99&amp;")"</f>
        <v>Citic Securities (6030:HK)</v>
      </c>
      <c r="C98" s="17"/>
      <c r="G98" s="16" t="s">
        <v>162</v>
      </c>
      <c r="H98" s="57"/>
      <c r="L98" s="18" t="s">
        <v>4</v>
      </c>
      <c r="M98" s="19">
        <v>44799</v>
      </c>
      <c r="N98" s="19"/>
      <c r="R98" s="23"/>
      <c r="S98" s="37"/>
    </row>
    <row r="99" spans="1:19" x14ac:dyDescent="0.25">
      <c r="A99" s="25"/>
      <c r="C99" s="26" t="s">
        <v>5</v>
      </c>
      <c r="D99" s="26" t="s">
        <v>6</v>
      </c>
      <c r="E99" s="26" t="s">
        <v>7</v>
      </c>
      <c r="F99" s="27" t="s">
        <v>8</v>
      </c>
      <c r="G99" s="24"/>
      <c r="H99" s="26" t="s">
        <v>163</v>
      </c>
      <c r="I99" s="27" t="s">
        <v>164</v>
      </c>
      <c r="J99" s="26" t="str">
        <f>IF(COUNTIF(J100:J111,"&gt;0")&lt;&gt;0,IF(COUNTIF(J100:J111,"&lt;0")&lt;&gt;0,"Gain / Loss", "Gain"),"Loss")</f>
        <v>Loss</v>
      </c>
      <c r="K99" s="26" t="str">
        <f>"% "&amp;IF(COUNTIF(K100:K111,"&gt;=0")&lt;&gt;0,IF(COUNTIF(K100:K111,"&lt;0")&lt;&gt;0,"Gain / Loss", "Gain"),"Loss")</f>
        <v>% Loss</v>
      </c>
      <c r="O99" s="28"/>
      <c r="P99" t="s">
        <v>84</v>
      </c>
    </row>
    <row r="100" spans="1:19" x14ac:dyDescent="0.25">
      <c r="B100" s="29"/>
      <c r="C100" s="30" t="s">
        <v>166</v>
      </c>
      <c r="D100" s="1">
        <f>SUMIF(Download!B:B,Q100,Download!G:G)</f>
        <v>0</v>
      </c>
      <c r="E100" s="31">
        <f>SUMIF(Download!B:B,Q100,Download!H:H)</f>
        <v>0</v>
      </c>
      <c r="F100" s="5">
        <f t="shared" ref="F100:F111" si="19">D100*E100</f>
        <v>0</v>
      </c>
      <c r="G100" s="12"/>
      <c r="H100" s="1">
        <v>20000</v>
      </c>
      <c r="I100" s="5">
        <f>H100*H98</f>
        <v>0</v>
      </c>
      <c r="J100" s="5">
        <f>(H98-E100)*H100</f>
        <v>0</v>
      </c>
      <c r="K100" s="58" t="e">
        <f>(H98/E100)-1</f>
        <v>#DIV/0!</v>
      </c>
      <c r="L100" s="13"/>
      <c r="O100" t="s">
        <v>167</v>
      </c>
      <c r="P100" t="str">
        <f>P99</f>
        <v>6030:HK</v>
      </c>
      <c r="Q100" t="str">
        <f t="shared" ref="Q100:Q111" si="20">O100&amp;P100</f>
        <v>CBSG6030:HK</v>
      </c>
    </row>
    <row r="101" spans="1:19" x14ac:dyDescent="0.25">
      <c r="B101" s="29"/>
      <c r="C101" s="30" t="s">
        <v>12</v>
      </c>
      <c r="D101" s="1">
        <f>SUMIF(Download!B:B,Q101,Download!G:G)</f>
        <v>0</v>
      </c>
      <c r="E101" s="31">
        <f>SUMIF(Download!B:B,Q101,Download!H:H)</f>
        <v>0</v>
      </c>
      <c r="F101" s="5">
        <f t="shared" si="19"/>
        <v>0</v>
      </c>
      <c r="G101" s="12"/>
      <c r="H101" s="1">
        <f>H100</f>
        <v>20000</v>
      </c>
      <c r="I101" s="5">
        <f>H101*H98</f>
        <v>0</v>
      </c>
      <c r="J101" s="5">
        <f>(H98-E101)*H101</f>
        <v>0</v>
      </c>
      <c r="K101" s="58" t="e">
        <f>(H98/E101)-1</f>
        <v>#DIV/0!</v>
      </c>
      <c r="L101" s="13"/>
      <c r="O101" t="s">
        <v>13</v>
      </c>
      <c r="P101" t="str">
        <f>P99</f>
        <v>6030:HK</v>
      </c>
      <c r="Q101" t="str">
        <f t="shared" si="20"/>
        <v>CB26030:HK</v>
      </c>
    </row>
    <row r="102" spans="1:19" x14ac:dyDescent="0.25">
      <c r="B102" s="29"/>
      <c r="C102" s="30" t="s">
        <v>14</v>
      </c>
      <c r="D102" s="1">
        <f>SUMIF(Download!B:B,Q102,Download!G:G)</f>
        <v>0</v>
      </c>
      <c r="E102" s="31">
        <f>SUMIF(Download!B:B,Q102,Download!H:H)</f>
        <v>0</v>
      </c>
      <c r="F102" s="5">
        <f t="shared" si="19"/>
        <v>0</v>
      </c>
      <c r="G102" s="12"/>
      <c r="H102" s="1">
        <f t="shared" ref="H102:H111" si="21">H101</f>
        <v>20000</v>
      </c>
      <c r="I102" s="5">
        <f>H102*H98</f>
        <v>0</v>
      </c>
      <c r="J102" s="5">
        <f>(H98-E102)*H102</f>
        <v>0</v>
      </c>
      <c r="K102" s="58" t="e">
        <f>(H98/E102)-1</f>
        <v>#DIV/0!</v>
      </c>
      <c r="L102" s="13"/>
      <c r="O102" t="s">
        <v>15</v>
      </c>
      <c r="P102" t="str">
        <f>P100</f>
        <v>6030:HK</v>
      </c>
      <c r="Q102" t="str">
        <f t="shared" si="20"/>
        <v>CB36030:HK</v>
      </c>
    </row>
    <row r="103" spans="1:19" x14ac:dyDescent="0.25">
      <c r="B103" s="29"/>
      <c r="C103" s="30" t="s">
        <v>16</v>
      </c>
      <c r="D103" s="1">
        <f>SUMIF(Download!B:B,Q103,Download!G:G)</f>
        <v>0</v>
      </c>
      <c r="E103" s="31">
        <f>SUMIF(Download!B:B,Q103,Download!H:H)</f>
        <v>0</v>
      </c>
      <c r="F103" s="5">
        <f t="shared" si="19"/>
        <v>0</v>
      </c>
      <c r="G103" s="12"/>
      <c r="H103" s="1">
        <f t="shared" si="21"/>
        <v>20000</v>
      </c>
      <c r="I103" s="5">
        <f>H103*H98</f>
        <v>0</v>
      </c>
      <c r="J103" s="5">
        <f>(H98-E103)*H103</f>
        <v>0</v>
      </c>
      <c r="K103" s="58" t="e">
        <f>(H98/E103)-1</f>
        <v>#DIV/0!</v>
      </c>
      <c r="L103" s="13"/>
      <c r="O103" t="s">
        <v>17</v>
      </c>
      <c r="P103" t="str">
        <f t="shared" ref="P103:P111" si="22">P102</f>
        <v>6030:HK</v>
      </c>
      <c r="Q103" t="str">
        <f t="shared" si="20"/>
        <v>CBBH6030:HK</v>
      </c>
    </row>
    <row r="104" spans="1:19" x14ac:dyDescent="0.25">
      <c r="B104" s="29"/>
      <c r="C104" s="30" t="s">
        <v>18</v>
      </c>
      <c r="D104" s="1">
        <f>SUMIF(Download!B:B,Q104,Download!G:G)</f>
        <v>0</v>
      </c>
      <c r="E104" s="31">
        <f>SUMIF(Download!B:B,Q104,Download!H:H)</f>
        <v>0</v>
      </c>
      <c r="F104" s="5">
        <f t="shared" si="19"/>
        <v>0</v>
      </c>
      <c r="G104" s="12"/>
      <c r="H104" s="1">
        <f t="shared" si="21"/>
        <v>20000</v>
      </c>
      <c r="I104" s="5">
        <f>H104*H98</f>
        <v>0</v>
      </c>
      <c r="J104" s="5">
        <f>(H98-E104)*H104</f>
        <v>0</v>
      </c>
      <c r="K104" s="58" t="e">
        <f>(H98/E104)-1</f>
        <v>#DIV/0!</v>
      </c>
      <c r="L104" s="13"/>
      <c r="O104" t="s">
        <v>19</v>
      </c>
      <c r="P104" t="str">
        <f t="shared" si="22"/>
        <v>6030:HK</v>
      </c>
      <c r="Q104" t="str">
        <f t="shared" si="20"/>
        <v>BOS6030:HK</v>
      </c>
    </row>
    <row r="105" spans="1:19" x14ac:dyDescent="0.25">
      <c r="B105" s="29"/>
      <c r="C105" s="30" t="s">
        <v>20</v>
      </c>
      <c r="D105" s="1">
        <f>SUMIF(Download!B:B,Q105,Download!G:G)</f>
        <v>0</v>
      </c>
      <c r="E105" s="31">
        <f>SUMIF(Download!B:B,Q105,Download!H:H)</f>
        <v>0</v>
      </c>
      <c r="F105" s="5">
        <f t="shared" si="19"/>
        <v>0</v>
      </c>
      <c r="G105" s="12"/>
      <c r="H105" s="1">
        <f t="shared" si="21"/>
        <v>20000</v>
      </c>
      <c r="I105" s="5">
        <f>H105*H98</f>
        <v>0</v>
      </c>
      <c r="J105" s="5">
        <f>(H98-E105)*H105</f>
        <v>0</v>
      </c>
      <c r="K105" s="58" t="e">
        <f>(H98/E105)-1</f>
        <v>#DIV/0!</v>
      </c>
      <c r="L105" s="13"/>
      <c r="O105" t="s">
        <v>21</v>
      </c>
      <c r="P105" t="str">
        <f t="shared" si="22"/>
        <v>6030:HK</v>
      </c>
      <c r="Q105" t="str">
        <f t="shared" si="20"/>
        <v>DBPe6030:HK</v>
      </c>
    </row>
    <row r="106" spans="1:19" x14ac:dyDescent="0.25">
      <c r="B106" s="29"/>
      <c r="C106" s="30" t="s">
        <v>22</v>
      </c>
      <c r="D106" s="1">
        <f>SUMIF(Download!B:B,Q106,Download!G:G)</f>
        <v>0</v>
      </c>
      <c r="E106" s="31">
        <f>SUMIF(Download!B:B,Q106,Download!H:H)</f>
        <v>0</v>
      </c>
      <c r="F106" s="5">
        <f t="shared" si="19"/>
        <v>0</v>
      </c>
      <c r="G106" s="12"/>
      <c r="H106" s="1">
        <f t="shared" si="21"/>
        <v>20000</v>
      </c>
      <c r="I106" s="5">
        <f>H106*H98</f>
        <v>0</v>
      </c>
      <c r="J106" s="5">
        <f>(H98-E106)*H106</f>
        <v>0</v>
      </c>
      <c r="K106" s="58" t="e">
        <f>(H98/E106)-1</f>
        <v>#DIV/0!</v>
      </c>
      <c r="L106" s="13"/>
      <c r="O106" t="s">
        <v>23</v>
      </c>
      <c r="P106" t="str">
        <f t="shared" si="22"/>
        <v>6030:HK</v>
      </c>
      <c r="Q106" t="str">
        <f t="shared" si="20"/>
        <v>DBPL6030:HK</v>
      </c>
    </row>
    <row r="107" spans="1:19" x14ac:dyDescent="0.25">
      <c r="B107" s="29"/>
      <c r="C107" s="30" t="s">
        <v>24</v>
      </c>
      <c r="D107" s="1">
        <f>SUMIF(Download!B:B,Q107,Download!G:G)</f>
        <v>0</v>
      </c>
      <c r="E107" s="31">
        <f>SUMIF(Download!B:B,Q107,Download!H:H)</f>
        <v>0</v>
      </c>
      <c r="F107" s="5">
        <f t="shared" si="19"/>
        <v>0</v>
      </c>
      <c r="G107" s="12"/>
      <c r="H107" s="1">
        <f t="shared" si="21"/>
        <v>20000</v>
      </c>
      <c r="I107" s="5">
        <f>H107*H98</f>
        <v>0</v>
      </c>
      <c r="J107" s="5">
        <f>(H98-E107)*H107</f>
        <v>0</v>
      </c>
      <c r="K107" s="58" t="e">
        <f>(H98/E107)-1</f>
        <v>#DIV/0!</v>
      </c>
      <c r="L107" s="13"/>
      <c r="O107" t="s">
        <v>25</v>
      </c>
      <c r="P107" t="str">
        <f t="shared" si="22"/>
        <v>6030:HK</v>
      </c>
      <c r="Q107" t="str">
        <f t="shared" si="20"/>
        <v>SC6030:HK</v>
      </c>
    </row>
    <row r="108" spans="1:19" x14ac:dyDescent="0.25">
      <c r="B108" s="29"/>
      <c r="C108" s="30" t="s">
        <v>26</v>
      </c>
      <c r="D108" s="1">
        <f>SUMIF(Download!B:B,Q108,Download!G:G)</f>
        <v>0</v>
      </c>
      <c r="E108" s="31">
        <f>SUMIF(Download!B:B,Q108,Download!H:H)</f>
        <v>0</v>
      </c>
      <c r="F108" s="5">
        <f t="shared" si="19"/>
        <v>0</v>
      </c>
      <c r="G108" s="12"/>
      <c r="H108" s="1">
        <f t="shared" si="21"/>
        <v>20000</v>
      </c>
      <c r="I108" s="5">
        <f>H108*H98</f>
        <v>0</v>
      </c>
      <c r="J108" s="5">
        <f>(H98-E108)*H108</f>
        <v>0</v>
      </c>
      <c r="K108" s="58" t="e">
        <f>(H98/E108)-1</f>
        <v>#DIV/0!</v>
      </c>
      <c r="L108" s="13"/>
      <c r="O108" t="s">
        <v>27</v>
      </c>
      <c r="P108" t="str">
        <f t="shared" si="22"/>
        <v>6030:HK</v>
      </c>
      <c r="Q108" t="str">
        <f t="shared" si="20"/>
        <v>SHK6030:HK</v>
      </c>
    </row>
    <row r="109" spans="1:19" x14ac:dyDescent="0.25">
      <c r="B109" s="29"/>
      <c r="C109" s="30" t="s">
        <v>28</v>
      </c>
      <c r="D109" s="1">
        <f>SUMIF(Download!B:B,Q109,Download!G:G)</f>
        <v>0</v>
      </c>
      <c r="E109" s="31">
        <f>SUMIF(Download!B:B,Q109,Download!H:H)</f>
        <v>0</v>
      </c>
      <c r="F109" s="5">
        <f t="shared" si="19"/>
        <v>0</v>
      </c>
      <c r="G109" s="12"/>
      <c r="H109" s="1">
        <f t="shared" si="21"/>
        <v>20000</v>
      </c>
      <c r="I109" s="5">
        <f>H109*H98</f>
        <v>0</v>
      </c>
      <c r="J109" s="5">
        <f>(H98-E109)*H109</f>
        <v>0</v>
      </c>
      <c r="K109" s="58" t="e">
        <f>(H98/E109)-1</f>
        <v>#DIV/0!</v>
      </c>
      <c r="L109" s="13"/>
      <c r="O109" t="s">
        <v>29</v>
      </c>
      <c r="P109" t="str">
        <f t="shared" si="22"/>
        <v>6030:HK</v>
      </c>
      <c r="Q109" t="str">
        <f t="shared" si="20"/>
        <v>MST16030:HK</v>
      </c>
    </row>
    <row r="110" spans="1:19" x14ac:dyDescent="0.25">
      <c r="B110" s="29"/>
      <c r="C110" s="30" t="s">
        <v>30</v>
      </c>
      <c r="D110" s="1">
        <f>SUMIF(Download!B:B,Q110,Download!G:G)</f>
        <v>0</v>
      </c>
      <c r="E110" s="31">
        <f>SUMIF(Download!B:B,Q110,Download!H:H)</f>
        <v>0</v>
      </c>
      <c r="F110" s="5">
        <f t="shared" si="19"/>
        <v>0</v>
      </c>
      <c r="G110" s="12"/>
      <c r="H110" s="1">
        <f t="shared" si="21"/>
        <v>20000</v>
      </c>
      <c r="I110" s="5">
        <f>H110*H98</f>
        <v>0</v>
      </c>
      <c r="J110" s="5">
        <f>(H98-E110)*H110</f>
        <v>0</v>
      </c>
      <c r="K110" s="58" t="e">
        <f>(H98/E110)-1</f>
        <v>#DIV/0!</v>
      </c>
      <c r="L110" s="13"/>
      <c r="O110" t="s">
        <v>32</v>
      </c>
      <c r="P110" t="str">
        <f t="shared" si="22"/>
        <v>6030:HK</v>
      </c>
      <c r="Q110" t="str">
        <f t="shared" si="20"/>
        <v>MST26030:HK</v>
      </c>
    </row>
    <row r="111" spans="1:19" x14ac:dyDescent="0.25">
      <c r="B111" s="29"/>
      <c r="C111" s="30" t="s">
        <v>33</v>
      </c>
      <c r="D111" s="1">
        <f>SUMIF(Download!B:B,Q111,Download!G:G)</f>
        <v>0</v>
      </c>
      <c r="E111" s="31">
        <f>SUMIF(Download!B:B,Q111,Download!H:H)</f>
        <v>0</v>
      </c>
      <c r="F111" s="5">
        <f t="shared" si="19"/>
        <v>0</v>
      </c>
      <c r="G111" s="12"/>
      <c r="H111" s="1">
        <f t="shared" si="21"/>
        <v>20000</v>
      </c>
      <c r="I111" s="5">
        <f>H111*H98</f>
        <v>0</v>
      </c>
      <c r="J111" s="5">
        <f>(H98-E111)*H111</f>
        <v>0</v>
      </c>
      <c r="K111" s="58" t="e">
        <f>(H98/E111)-1</f>
        <v>#DIV/0!</v>
      </c>
      <c r="L111" s="13"/>
      <c r="O111" t="s">
        <v>34</v>
      </c>
      <c r="P111" t="str">
        <f t="shared" si="22"/>
        <v>6030:HK</v>
      </c>
      <c r="Q111" t="str">
        <f t="shared" si="20"/>
        <v>MSPL6030:HK</v>
      </c>
    </row>
    <row r="112" spans="1:19" x14ac:dyDescent="0.25">
      <c r="B112" s="29"/>
      <c r="C112" s="32"/>
      <c r="D112" s="11"/>
      <c r="E112" s="33"/>
      <c r="F112" s="12"/>
      <c r="G112" s="12"/>
      <c r="H112" s="12"/>
      <c r="I112" s="12"/>
      <c r="J112" s="12"/>
      <c r="K112" s="12"/>
      <c r="L112" s="13"/>
    </row>
    <row r="113" spans="1:19" ht="15.75" customHeight="1" thickBot="1" x14ac:dyDescent="0.3">
      <c r="C113" s="34" t="s">
        <v>35</v>
      </c>
      <c r="D113" s="10">
        <f>SUM(D99:D112)</f>
        <v>0</v>
      </c>
      <c r="E113" s="35" t="e">
        <f>F113/D113</f>
        <v>#DIV/0!</v>
      </c>
      <c r="F113" s="4">
        <f>SUM(F99:F112)</f>
        <v>0</v>
      </c>
      <c r="G113" s="14"/>
      <c r="H113" s="14"/>
      <c r="I113" s="14"/>
      <c r="J113" s="14"/>
      <c r="K113" s="14"/>
      <c r="L113" s="51"/>
    </row>
    <row r="114" spans="1:19" ht="15.75" customHeight="1" thickTop="1" x14ac:dyDescent="0.25">
      <c r="D114" s="36"/>
      <c r="L114" s="18"/>
      <c r="M114" s="20"/>
      <c r="N114" s="20"/>
    </row>
    <row r="115" spans="1:19" ht="18.75" customHeight="1" x14ac:dyDescent="0.3">
      <c r="A115" s="17"/>
      <c r="K115" s="55">
        <v>1</v>
      </c>
      <c r="L115" s="18" t="s">
        <v>1</v>
      </c>
      <c r="M115" s="19">
        <v>44705</v>
      </c>
      <c r="N115" s="19"/>
    </row>
    <row r="116" spans="1:19" x14ac:dyDescent="0.25">
      <c r="L116" s="18" t="s">
        <v>2</v>
      </c>
      <c r="M116" s="20" t="s">
        <v>85</v>
      </c>
      <c r="N116" s="20"/>
      <c r="R116" s="21"/>
    </row>
    <row r="117" spans="1:19" ht="18.75" customHeight="1" x14ac:dyDescent="0.3">
      <c r="A117" s="22"/>
      <c r="B117" s="17"/>
      <c r="C117" s="17"/>
      <c r="L117" s="53" t="s">
        <v>4</v>
      </c>
      <c r="M117" s="54">
        <v>44722</v>
      </c>
      <c r="N117" s="19"/>
      <c r="R117" s="23"/>
      <c r="S117" s="37"/>
    </row>
    <row r="118" spans="1:19" ht="18.75" customHeight="1" x14ac:dyDescent="0.3">
      <c r="A118" s="17"/>
      <c r="K118" s="55">
        <v>2</v>
      </c>
      <c r="L118" s="18" t="s">
        <v>1</v>
      </c>
      <c r="M118" s="19">
        <v>44813</v>
      </c>
      <c r="N118" s="19"/>
    </row>
    <row r="119" spans="1:19" x14ac:dyDescent="0.25">
      <c r="L119" s="18" t="s">
        <v>2</v>
      </c>
      <c r="M119" s="20" t="s">
        <v>160</v>
      </c>
      <c r="N119" s="20"/>
      <c r="R119" s="21"/>
    </row>
    <row r="120" spans="1:19" ht="18.75" customHeight="1" x14ac:dyDescent="0.3">
      <c r="A120" s="22">
        <v>6</v>
      </c>
      <c r="B120" s="17" t="str">
        <f>INDEX(Stocks!A:B,MATCH(P121,Stocks!A:A,),2)&amp;" ("&amp;P121&amp;")"</f>
        <v>AIA Group (1299:HK)</v>
      </c>
      <c r="C120" s="17"/>
      <c r="G120" s="16" t="s">
        <v>162</v>
      </c>
      <c r="H120" s="57"/>
      <c r="L120" s="18" t="s">
        <v>4</v>
      </c>
      <c r="M120" s="19">
        <v>44833</v>
      </c>
      <c r="N120" s="19"/>
      <c r="R120" s="23"/>
      <c r="S120" s="37"/>
    </row>
    <row r="121" spans="1:19" x14ac:dyDescent="0.25">
      <c r="A121" s="25"/>
      <c r="C121" s="26" t="s">
        <v>5</v>
      </c>
      <c r="D121" s="26" t="s">
        <v>6</v>
      </c>
      <c r="E121" s="26" t="s">
        <v>7</v>
      </c>
      <c r="F121" s="27" t="s">
        <v>8</v>
      </c>
      <c r="G121" s="24"/>
      <c r="H121" s="26" t="s">
        <v>163</v>
      </c>
      <c r="I121" s="27" t="s">
        <v>164</v>
      </c>
      <c r="J121" s="26" t="str">
        <f>IF(COUNTIF(J122:J133,"&gt;0")&lt;&gt;0,IF(COUNTIF(J122:J133,"&lt;0")&lt;&gt;0,"Gain / Loss", "Gain"),"Loss")</f>
        <v>Loss</v>
      </c>
      <c r="K121" s="26" t="str">
        <f>"% "&amp;IF(COUNTIF(K122:K133,"&gt;=0")&lt;&gt;0,IF(COUNTIF(K122:K133,"&lt;0")&lt;&gt;0,"Gain / Loss", "Gain"),"Loss")</f>
        <v>% Loss</v>
      </c>
      <c r="O121" s="28"/>
      <c r="P121" t="s">
        <v>86</v>
      </c>
    </row>
    <row r="122" spans="1:19" x14ac:dyDescent="0.25">
      <c r="B122" s="29"/>
      <c r="C122" s="30" t="s">
        <v>166</v>
      </c>
      <c r="D122" s="1">
        <f>SUMIF(Download!B:B,Q122,Download!G:G)</f>
        <v>0</v>
      </c>
      <c r="E122" s="31">
        <f>SUMIF(Download!B:B,Q122,Download!H:H)</f>
        <v>0</v>
      </c>
      <c r="F122" s="5">
        <f t="shared" ref="F122:F133" si="23">D122*E122</f>
        <v>0</v>
      </c>
      <c r="G122" s="12"/>
      <c r="H122" s="1"/>
      <c r="I122" s="5">
        <f>H122*H120</f>
        <v>0</v>
      </c>
      <c r="J122" s="5">
        <f>(H120-E122)*H122</f>
        <v>0</v>
      </c>
      <c r="K122" s="58" t="e">
        <f>(H120/E122)-1</f>
        <v>#DIV/0!</v>
      </c>
      <c r="L122" s="13"/>
      <c r="O122" t="s">
        <v>167</v>
      </c>
      <c r="P122" t="str">
        <f>P121</f>
        <v>1299:HK</v>
      </c>
      <c r="Q122" t="str">
        <f t="shared" ref="Q122:Q133" si="24">O122&amp;P122</f>
        <v>CBSG1299:HK</v>
      </c>
    </row>
    <row r="123" spans="1:19" x14ac:dyDescent="0.25">
      <c r="B123" s="29"/>
      <c r="C123" s="30" t="s">
        <v>12</v>
      </c>
      <c r="D123" s="1">
        <f>SUMIF(Download!B:B,Q123,Download!G:G)</f>
        <v>0</v>
      </c>
      <c r="E123" s="31">
        <f>SUMIF(Download!B:B,Q123,Download!H:H)</f>
        <v>0</v>
      </c>
      <c r="F123" s="5">
        <f t="shared" si="23"/>
        <v>0</v>
      </c>
      <c r="G123" s="12"/>
      <c r="H123" s="1"/>
      <c r="I123" s="5">
        <f>H123*H120</f>
        <v>0</v>
      </c>
      <c r="J123" s="5">
        <f>(H120-E123)*H123</f>
        <v>0</v>
      </c>
      <c r="K123" s="58" t="e">
        <f>(H120/E123)-1</f>
        <v>#DIV/0!</v>
      </c>
      <c r="L123" s="13"/>
      <c r="O123" t="s">
        <v>13</v>
      </c>
      <c r="P123" t="str">
        <f>P121</f>
        <v>1299:HK</v>
      </c>
      <c r="Q123" t="str">
        <f t="shared" si="24"/>
        <v>CB21299:HK</v>
      </c>
    </row>
    <row r="124" spans="1:19" x14ac:dyDescent="0.25">
      <c r="B124" s="29"/>
      <c r="C124" s="30" t="s">
        <v>14</v>
      </c>
      <c r="D124" s="1">
        <f>SUMIF(Download!B:B,Q124,Download!G:G)</f>
        <v>0</v>
      </c>
      <c r="E124" s="31">
        <f>SUMIF(Download!B:B,Q124,Download!H:H)</f>
        <v>0</v>
      </c>
      <c r="F124" s="5">
        <f t="shared" si="23"/>
        <v>0</v>
      </c>
      <c r="G124" s="12"/>
      <c r="H124" s="1"/>
      <c r="I124" s="5">
        <f>H124*H120</f>
        <v>0</v>
      </c>
      <c r="J124" s="5">
        <f>(H120-E124)*H124</f>
        <v>0</v>
      </c>
      <c r="K124" s="58" t="e">
        <f>(H120/E124)-1</f>
        <v>#DIV/0!</v>
      </c>
      <c r="L124" s="13"/>
      <c r="O124" t="s">
        <v>15</v>
      </c>
      <c r="P124" t="str">
        <f>P122</f>
        <v>1299:HK</v>
      </c>
      <c r="Q124" t="str">
        <f t="shared" si="24"/>
        <v>CB31299:HK</v>
      </c>
    </row>
    <row r="125" spans="1:19" x14ac:dyDescent="0.25">
      <c r="B125" s="29"/>
      <c r="C125" s="30" t="s">
        <v>16</v>
      </c>
      <c r="D125" s="1">
        <f>SUMIF(Download!B:B,Q125,Download!G:G)</f>
        <v>0</v>
      </c>
      <c r="E125" s="31">
        <f>SUMIF(Download!B:B,Q125,Download!H:H)</f>
        <v>0</v>
      </c>
      <c r="F125" s="5">
        <f t="shared" si="23"/>
        <v>0</v>
      </c>
      <c r="G125" s="12"/>
      <c r="H125" s="1"/>
      <c r="I125" s="5">
        <f>H125*H120</f>
        <v>0</v>
      </c>
      <c r="J125" s="5">
        <f>(H120-E125)*H125</f>
        <v>0</v>
      </c>
      <c r="K125" s="58" t="e">
        <f>(H120/E125)-1</f>
        <v>#DIV/0!</v>
      </c>
      <c r="L125" s="13"/>
      <c r="O125" t="s">
        <v>17</v>
      </c>
      <c r="P125" t="str">
        <f t="shared" ref="P125:P133" si="25">P124</f>
        <v>1299:HK</v>
      </c>
      <c r="Q125" t="str">
        <f t="shared" si="24"/>
        <v>CBBH1299:HK</v>
      </c>
    </row>
    <row r="126" spans="1:19" x14ac:dyDescent="0.25">
      <c r="B126" s="29"/>
      <c r="C126" s="30" t="s">
        <v>18</v>
      </c>
      <c r="D126" s="1">
        <f>SUMIF(Download!B:B,Q126,Download!G:G)</f>
        <v>0</v>
      </c>
      <c r="E126" s="31">
        <f>SUMIF(Download!B:B,Q126,Download!H:H)</f>
        <v>0</v>
      </c>
      <c r="F126" s="5">
        <f t="shared" si="23"/>
        <v>0</v>
      </c>
      <c r="G126" s="12"/>
      <c r="H126" s="1"/>
      <c r="I126" s="5">
        <f>H126*H120</f>
        <v>0</v>
      </c>
      <c r="J126" s="5">
        <f>(H120-E126)*H126</f>
        <v>0</v>
      </c>
      <c r="K126" s="58" t="e">
        <f>(H120/E126)-1</f>
        <v>#DIV/0!</v>
      </c>
      <c r="L126" s="13"/>
      <c r="O126" t="s">
        <v>19</v>
      </c>
      <c r="P126" t="str">
        <f t="shared" si="25"/>
        <v>1299:HK</v>
      </c>
      <c r="Q126" t="str">
        <f t="shared" si="24"/>
        <v>BOS1299:HK</v>
      </c>
    </row>
    <row r="127" spans="1:19" x14ac:dyDescent="0.25">
      <c r="B127" s="29"/>
      <c r="C127" s="30" t="s">
        <v>20</v>
      </c>
      <c r="D127" s="1">
        <f>SUMIF(Download!B:B,Q127,Download!G:G)</f>
        <v>0</v>
      </c>
      <c r="E127" s="31">
        <f>SUMIF(Download!B:B,Q127,Download!H:H)</f>
        <v>0</v>
      </c>
      <c r="F127" s="5">
        <f t="shared" si="23"/>
        <v>0</v>
      </c>
      <c r="G127" s="12"/>
      <c r="H127" s="1"/>
      <c r="I127" s="5">
        <f>H127*H120</f>
        <v>0</v>
      </c>
      <c r="J127" s="5">
        <f>(H120-E127)*H127</f>
        <v>0</v>
      </c>
      <c r="K127" s="58" t="e">
        <f>(H120/E127)-1</f>
        <v>#DIV/0!</v>
      </c>
      <c r="L127" s="13"/>
      <c r="O127" t="s">
        <v>21</v>
      </c>
      <c r="P127" t="str">
        <f t="shared" si="25"/>
        <v>1299:HK</v>
      </c>
      <c r="Q127" t="str">
        <f t="shared" si="24"/>
        <v>DBPe1299:HK</v>
      </c>
    </row>
    <row r="128" spans="1:19" x14ac:dyDescent="0.25">
      <c r="B128" s="29"/>
      <c r="C128" s="30" t="s">
        <v>22</v>
      </c>
      <c r="D128" s="1">
        <f>SUMIF(Download!B:B,Q128,Download!G:G)</f>
        <v>0</v>
      </c>
      <c r="E128" s="31">
        <f>SUMIF(Download!B:B,Q128,Download!H:H)</f>
        <v>0</v>
      </c>
      <c r="F128" s="5">
        <f t="shared" si="23"/>
        <v>0</v>
      </c>
      <c r="G128" s="12"/>
      <c r="H128" s="1"/>
      <c r="I128" s="5">
        <f>H128*H120</f>
        <v>0</v>
      </c>
      <c r="J128" s="5">
        <f>(H120-E128)*H128</f>
        <v>0</v>
      </c>
      <c r="K128" s="58" t="e">
        <f>(H120/E128)-1</f>
        <v>#DIV/0!</v>
      </c>
      <c r="L128" s="13"/>
      <c r="O128" t="s">
        <v>23</v>
      </c>
      <c r="P128" t="str">
        <f t="shared" si="25"/>
        <v>1299:HK</v>
      </c>
      <c r="Q128" t="str">
        <f t="shared" si="24"/>
        <v>DBPL1299:HK</v>
      </c>
    </row>
    <row r="129" spans="1:18" x14ac:dyDescent="0.25">
      <c r="B129" s="29"/>
      <c r="C129" s="30" t="s">
        <v>24</v>
      </c>
      <c r="D129" s="1">
        <f>SUMIF(Download!B:B,Q129,Download!G:G)</f>
        <v>0</v>
      </c>
      <c r="E129" s="31">
        <f>SUMIF(Download!B:B,Q129,Download!H:H)</f>
        <v>0</v>
      </c>
      <c r="F129" s="5">
        <f t="shared" si="23"/>
        <v>0</v>
      </c>
      <c r="G129" s="12"/>
      <c r="H129" s="1"/>
      <c r="I129" s="5">
        <f>H129*H120</f>
        <v>0</v>
      </c>
      <c r="J129" s="5">
        <f>(H120-E129)*H129</f>
        <v>0</v>
      </c>
      <c r="K129" s="58" t="e">
        <f>(H120/E129)-1</f>
        <v>#DIV/0!</v>
      </c>
      <c r="L129" s="13"/>
      <c r="O129" t="s">
        <v>25</v>
      </c>
      <c r="P129" t="str">
        <f t="shared" si="25"/>
        <v>1299:HK</v>
      </c>
      <c r="Q129" t="str">
        <f t="shared" si="24"/>
        <v>SC1299:HK</v>
      </c>
    </row>
    <row r="130" spans="1:18" x14ac:dyDescent="0.25">
      <c r="B130" s="29"/>
      <c r="C130" s="30" t="s">
        <v>26</v>
      </c>
      <c r="D130" s="1">
        <f>SUMIF(Download!B:B,Q130,Download!G:G)</f>
        <v>0</v>
      </c>
      <c r="E130" s="31">
        <f>SUMIF(Download!B:B,Q130,Download!H:H)</f>
        <v>0</v>
      </c>
      <c r="F130" s="5">
        <f t="shared" si="23"/>
        <v>0</v>
      </c>
      <c r="G130" s="12"/>
      <c r="H130" s="1"/>
      <c r="I130" s="5">
        <f>H130*H120</f>
        <v>0</v>
      </c>
      <c r="J130" s="5">
        <f>(H120-E130)*H130</f>
        <v>0</v>
      </c>
      <c r="K130" s="58" t="e">
        <f>(H120/E130)-1</f>
        <v>#DIV/0!</v>
      </c>
      <c r="L130" s="13"/>
      <c r="O130" t="s">
        <v>27</v>
      </c>
      <c r="P130" t="str">
        <f t="shared" si="25"/>
        <v>1299:HK</v>
      </c>
      <c r="Q130" t="str">
        <f t="shared" si="24"/>
        <v>SHK1299:HK</v>
      </c>
    </row>
    <row r="131" spans="1:18" x14ac:dyDescent="0.25">
      <c r="B131" s="29"/>
      <c r="C131" s="30" t="s">
        <v>28</v>
      </c>
      <c r="D131" s="1">
        <f>SUMIF(Download!B:B,Q131,Download!G:G)</f>
        <v>0</v>
      </c>
      <c r="E131" s="31">
        <f>SUMIF(Download!B:B,Q131,Download!H:H)</f>
        <v>0</v>
      </c>
      <c r="F131" s="5">
        <f t="shared" si="23"/>
        <v>0</v>
      </c>
      <c r="G131" s="12"/>
      <c r="H131" s="1"/>
      <c r="I131" s="5">
        <f>H131*H120</f>
        <v>0</v>
      </c>
      <c r="J131" s="5">
        <f>(H120-E131)*H131</f>
        <v>0</v>
      </c>
      <c r="K131" s="58" t="e">
        <f>(H120/E131)-1</f>
        <v>#DIV/0!</v>
      </c>
      <c r="L131" s="13"/>
      <c r="O131" t="s">
        <v>29</v>
      </c>
      <c r="P131" t="str">
        <f t="shared" si="25"/>
        <v>1299:HK</v>
      </c>
      <c r="Q131" t="str">
        <f t="shared" si="24"/>
        <v>MST11299:HK</v>
      </c>
    </row>
    <row r="132" spans="1:18" x14ac:dyDescent="0.25">
      <c r="B132" s="29"/>
      <c r="C132" s="30" t="s">
        <v>30</v>
      </c>
      <c r="D132" s="1">
        <f>SUMIF(Download!B:B,Q132,Download!G:G)</f>
        <v>0</v>
      </c>
      <c r="E132" s="31">
        <f>SUMIF(Download!B:B,Q132,Download!H:H)</f>
        <v>0</v>
      </c>
      <c r="F132" s="5">
        <f t="shared" si="23"/>
        <v>0</v>
      </c>
      <c r="G132" s="12"/>
      <c r="H132" s="1"/>
      <c r="I132" s="5">
        <f>H132*H120</f>
        <v>0</v>
      </c>
      <c r="J132" s="5">
        <f>(H120-E132)*H132</f>
        <v>0</v>
      </c>
      <c r="K132" s="58" t="e">
        <f>(H120/E132)-1</f>
        <v>#DIV/0!</v>
      </c>
      <c r="L132" s="13"/>
      <c r="O132" t="s">
        <v>32</v>
      </c>
      <c r="P132" t="str">
        <f t="shared" si="25"/>
        <v>1299:HK</v>
      </c>
      <c r="Q132" t="str">
        <f t="shared" si="24"/>
        <v>MST21299:HK</v>
      </c>
    </row>
    <row r="133" spans="1:18" x14ac:dyDescent="0.25">
      <c r="B133" s="29"/>
      <c r="C133" s="30" t="s">
        <v>33</v>
      </c>
      <c r="D133" s="1">
        <f>SUMIF(Download!B:B,Q133,Download!G:G)</f>
        <v>0</v>
      </c>
      <c r="E133" s="31">
        <f>SUMIF(Download!B:B,Q133,Download!H:H)</f>
        <v>0</v>
      </c>
      <c r="F133" s="5">
        <f t="shared" si="23"/>
        <v>0</v>
      </c>
      <c r="G133" s="12"/>
      <c r="H133" s="1"/>
      <c r="I133" s="5">
        <f>H133*H120</f>
        <v>0</v>
      </c>
      <c r="J133" s="5">
        <f>(H120-E133)*H133</f>
        <v>0</v>
      </c>
      <c r="K133" s="58" t="e">
        <f>(H120/E133)-1</f>
        <v>#DIV/0!</v>
      </c>
      <c r="L133" s="13"/>
      <c r="O133" t="s">
        <v>34</v>
      </c>
      <c r="P133" t="str">
        <f t="shared" si="25"/>
        <v>1299:HK</v>
      </c>
      <c r="Q133" t="str">
        <f t="shared" si="24"/>
        <v>MSPL1299:HK</v>
      </c>
    </row>
    <row r="134" spans="1:18" x14ac:dyDescent="0.25">
      <c r="B134" s="29"/>
      <c r="C134" s="32"/>
      <c r="D134" s="11"/>
      <c r="E134" s="33"/>
      <c r="F134" s="12"/>
      <c r="G134" s="12"/>
      <c r="H134" s="12"/>
      <c r="I134" s="12"/>
      <c r="J134" s="12"/>
      <c r="K134" s="12"/>
      <c r="L134" s="13"/>
    </row>
    <row r="135" spans="1:18" ht="15.75" customHeight="1" thickBot="1" x14ac:dyDescent="0.3">
      <c r="C135" s="34" t="s">
        <v>35</v>
      </c>
      <c r="D135" s="10">
        <f>SUM(D121:D134)</f>
        <v>0</v>
      </c>
      <c r="E135" s="35" t="e">
        <f>F135/D135</f>
        <v>#DIV/0!</v>
      </c>
      <c r="F135" s="4">
        <f>SUM(F121:F134)</f>
        <v>0</v>
      </c>
      <c r="G135" s="14"/>
      <c r="H135" s="14"/>
      <c r="I135" s="14"/>
      <c r="J135" s="14"/>
      <c r="K135" s="14"/>
      <c r="L135" s="51"/>
    </row>
    <row r="136" spans="1:18" ht="18.75" customHeight="1" thickTop="1" x14ac:dyDescent="0.3">
      <c r="A136" s="17"/>
      <c r="L136" s="18"/>
      <c r="M136" s="19"/>
      <c r="N136" s="19"/>
    </row>
    <row r="137" spans="1:18" x14ac:dyDescent="0.25">
      <c r="L137" s="18"/>
      <c r="M137" s="20"/>
      <c r="N137" s="20"/>
      <c r="R137" s="21"/>
    </row>
    <row r="138" spans="1:18" ht="15.75" customHeight="1" x14ac:dyDescent="0.25"/>
  </sheetData>
  <pageMargins left="0.19685039370078741" right="0.19685039370078741" top="0.23622047244094491" bottom="0.15748031496062992" header="0.31496062992125984" footer="0.31496062992125984"/>
  <pageSetup paperSize="10001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S104"/>
  <sheetViews>
    <sheetView view="pageBreakPreview" zoomScaleNormal="100" zoomScaleSheetLayoutView="100" workbookViewId="0">
      <selection activeCell="J5" sqref="J5"/>
    </sheetView>
  </sheetViews>
  <sheetFormatPr defaultColWidth="9.140625" defaultRowHeight="15" x14ac:dyDescent="0.25"/>
  <cols>
    <col min="1" max="2" width="3.5703125" style="16" customWidth="1"/>
    <col min="3" max="3" width="28.28515625" style="16" bestFit="1" customWidth="1"/>
    <col min="4" max="4" width="10.140625" style="16" bestFit="1" customWidth="1"/>
    <col min="5" max="5" width="9.28515625" style="16" bestFit="1" customWidth="1"/>
    <col min="6" max="6" width="12.7109375" style="16" hidden="1" customWidth="1"/>
    <col min="7" max="11" width="12.7109375" style="16" customWidth="1"/>
    <col min="12" max="12" width="12.7109375" style="20" customWidth="1"/>
    <col min="13" max="13" width="18.28515625" style="16" customWidth="1"/>
    <col min="14" max="14" width="17.28515625" style="16" customWidth="1"/>
    <col min="15" max="15" width="7" style="16" bestFit="1" customWidth="1"/>
    <col min="16" max="17" width="9.140625" style="16" customWidth="1"/>
    <col min="18" max="18" width="10.42578125" style="16" bestFit="1" customWidth="1"/>
    <col min="19" max="19" width="9.140625" style="16" customWidth="1"/>
  </cols>
  <sheetData>
    <row r="1" spans="1:19" ht="18.75" customHeight="1" x14ac:dyDescent="0.3">
      <c r="A1" s="47" t="s">
        <v>0</v>
      </c>
      <c r="L1" s="61" t="s">
        <v>87</v>
      </c>
      <c r="M1" s="60"/>
    </row>
    <row r="2" spans="1:19" ht="18.75" customHeight="1" x14ac:dyDescent="0.3">
      <c r="A2" s="47" t="str">
        <f>ALL!A1</f>
        <v>As of September 20, 2022</v>
      </c>
      <c r="L2" s="62"/>
      <c r="M2" s="60"/>
    </row>
    <row r="3" spans="1:19" ht="18.75" customHeight="1" x14ac:dyDescent="0.3">
      <c r="A3" s="17"/>
      <c r="K3" s="55">
        <v>1</v>
      </c>
      <c r="L3" s="18" t="s">
        <v>1</v>
      </c>
      <c r="M3" s="19">
        <v>44725</v>
      </c>
    </row>
    <row r="4" spans="1:19" x14ac:dyDescent="0.25">
      <c r="L4" s="18" t="s">
        <v>2</v>
      </c>
      <c r="M4" s="20" t="s">
        <v>88</v>
      </c>
      <c r="N4" s="20"/>
      <c r="R4" s="21"/>
    </row>
    <row r="5" spans="1:19" ht="18.75" customHeight="1" x14ac:dyDescent="0.3">
      <c r="A5" s="22"/>
      <c r="B5" s="17"/>
      <c r="C5" s="17"/>
      <c r="L5" s="53" t="s">
        <v>4</v>
      </c>
      <c r="M5" s="54">
        <v>44742</v>
      </c>
      <c r="N5" s="19"/>
      <c r="R5" s="23"/>
      <c r="S5" s="37"/>
    </row>
    <row r="6" spans="1:19" ht="18.75" customHeight="1" x14ac:dyDescent="0.3">
      <c r="A6" s="17"/>
      <c r="K6" s="55">
        <v>2</v>
      </c>
      <c r="L6" s="18" t="s">
        <v>1</v>
      </c>
      <c r="M6" s="19">
        <v>44832</v>
      </c>
    </row>
    <row r="7" spans="1:19" x14ac:dyDescent="0.25">
      <c r="L7" s="18" t="s">
        <v>2</v>
      </c>
      <c r="M7" s="20" t="s">
        <v>161</v>
      </c>
      <c r="N7" s="20"/>
      <c r="R7" s="21"/>
    </row>
    <row r="8" spans="1:19" ht="18.75" customHeight="1" x14ac:dyDescent="0.3">
      <c r="A8" s="22">
        <v>1</v>
      </c>
      <c r="B8" s="17" t="str">
        <f>INDEX(Stocks!A:B,MATCH(P9,Stocks!A:A,),2)&amp;" ("&amp;P9&amp;")"</f>
        <v>Beijing Water (371:HK)</v>
      </c>
      <c r="C8" s="17"/>
      <c r="G8" s="16" t="s">
        <v>162</v>
      </c>
      <c r="H8" s="57"/>
      <c r="L8" s="18" t="s">
        <v>4</v>
      </c>
      <c r="M8" s="19">
        <v>44854</v>
      </c>
      <c r="N8" s="19"/>
      <c r="R8" s="23"/>
      <c r="S8" s="37"/>
    </row>
    <row r="9" spans="1:19" x14ac:dyDescent="0.25">
      <c r="A9" s="25"/>
      <c r="C9" s="26" t="s">
        <v>5</v>
      </c>
      <c r="D9" s="26" t="s">
        <v>6</v>
      </c>
      <c r="E9" s="26" t="s">
        <v>7</v>
      </c>
      <c r="F9" s="27" t="s">
        <v>8</v>
      </c>
      <c r="G9" s="24"/>
      <c r="H9" s="26" t="s">
        <v>163</v>
      </c>
      <c r="I9" s="27" t="s">
        <v>164</v>
      </c>
      <c r="J9" s="26" t="str">
        <f>IF(COUNTIF(J10:J21,"&gt;0")&lt;&gt;0,IF(COUNTIF(J10:J21,"&lt;0")&lt;&gt;0,"Gain / Loss", "Gain"),"Loss")</f>
        <v>Loss</v>
      </c>
      <c r="K9" s="26" t="str">
        <f>"% "&amp;IF(COUNTIF(K10:K21,"&gt;=0")&lt;&gt;0,IF(COUNTIF(K10:K21,"&lt;0")&lt;&gt;0,"Gain / Loss", "Gain"),"Loss")</f>
        <v>% Loss</v>
      </c>
      <c r="O9" s="28"/>
      <c r="P9" t="s">
        <v>89</v>
      </c>
    </row>
    <row r="10" spans="1:19" x14ac:dyDescent="0.25">
      <c r="B10" s="29"/>
      <c r="C10" s="30" t="s">
        <v>166</v>
      </c>
      <c r="D10" s="1">
        <f>SUMIF(Download!B:B,Q10,Download!G:G)</f>
        <v>0</v>
      </c>
      <c r="E10" s="31">
        <f>SUMIF(Download!B:B,Q10,Download!H:H)</f>
        <v>0</v>
      </c>
      <c r="F10" s="5">
        <f t="shared" ref="F10:F21" si="0">D10*E10</f>
        <v>0</v>
      </c>
      <c r="G10" s="12"/>
      <c r="H10" s="1">
        <v>200000</v>
      </c>
      <c r="I10" s="5">
        <f>H10*H8</f>
        <v>0</v>
      </c>
      <c r="J10" s="5">
        <f>(H8-E10)*H10</f>
        <v>0</v>
      </c>
      <c r="K10" s="58" t="e">
        <f>(H8/E10)-1</f>
        <v>#DIV/0!</v>
      </c>
      <c r="L10" s="13"/>
      <c r="O10" t="s">
        <v>167</v>
      </c>
      <c r="P10" t="str">
        <f>P9</f>
        <v>371:HK</v>
      </c>
      <c r="Q10" t="str">
        <f t="shared" ref="Q10:Q21" si="1">O10&amp;P10</f>
        <v>CBSG371:HK</v>
      </c>
    </row>
    <row r="11" spans="1:19" x14ac:dyDescent="0.25">
      <c r="B11" s="29"/>
      <c r="C11" s="30" t="s">
        <v>12</v>
      </c>
      <c r="D11" s="1">
        <f>SUMIF(Download!B:B,Q11,Download!G:G)</f>
        <v>0</v>
      </c>
      <c r="E11" s="31">
        <f>SUMIF(Download!B:B,Q11,Download!H:H)</f>
        <v>0</v>
      </c>
      <c r="F11" s="5">
        <f t="shared" si="0"/>
        <v>0</v>
      </c>
      <c r="G11" s="12"/>
      <c r="H11" s="1">
        <f>H10</f>
        <v>200000</v>
      </c>
      <c r="I11" s="5">
        <f>H11*H8</f>
        <v>0</v>
      </c>
      <c r="J11" s="5">
        <f>(H8-E11)*H11</f>
        <v>0</v>
      </c>
      <c r="K11" s="58" t="e">
        <f>(H8/E11)-1</f>
        <v>#DIV/0!</v>
      </c>
      <c r="L11" s="13"/>
      <c r="O11" t="s">
        <v>13</v>
      </c>
      <c r="P11" t="str">
        <f>P9</f>
        <v>371:HK</v>
      </c>
      <c r="Q11" t="str">
        <f t="shared" si="1"/>
        <v>CB2371:HK</v>
      </c>
    </row>
    <row r="12" spans="1:19" x14ac:dyDescent="0.25">
      <c r="B12" s="29"/>
      <c r="C12" s="30" t="s">
        <v>14</v>
      </c>
      <c r="D12" s="1">
        <f>SUMIF(Download!B:B,Q12,Download!G:G)</f>
        <v>0</v>
      </c>
      <c r="E12" s="31">
        <f>SUMIF(Download!B:B,Q12,Download!H:H)</f>
        <v>0</v>
      </c>
      <c r="F12" s="5">
        <f t="shared" si="0"/>
        <v>0</v>
      </c>
      <c r="G12" s="12"/>
      <c r="H12" s="1">
        <f t="shared" ref="H12:H21" si="2">H11</f>
        <v>200000</v>
      </c>
      <c r="I12" s="5">
        <f>H12*H8</f>
        <v>0</v>
      </c>
      <c r="J12" s="5">
        <f>(H8-E12)*H12</f>
        <v>0</v>
      </c>
      <c r="K12" s="58" t="e">
        <f>(H8/E12)-1</f>
        <v>#DIV/0!</v>
      </c>
      <c r="L12" s="13"/>
      <c r="O12" t="s">
        <v>15</v>
      </c>
      <c r="P12" t="str">
        <f>P10</f>
        <v>371:HK</v>
      </c>
      <c r="Q12" t="str">
        <f t="shared" si="1"/>
        <v>CB3371:HK</v>
      </c>
    </row>
    <row r="13" spans="1:19" x14ac:dyDescent="0.25">
      <c r="B13" s="29"/>
      <c r="C13" s="30" t="s">
        <v>16</v>
      </c>
      <c r="D13" s="1">
        <f>SUMIF(Download!B:B,Q13,Download!G:G)</f>
        <v>0</v>
      </c>
      <c r="E13" s="31">
        <f>SUMIF(Download!B:B,Q13,Download!H:H)</f>
        <v>0</v>
      </c>
      <c r="F13" s="5">
        <f t="shared" si="0"/>
        <v>0</v>
      </c>
      <c r="G13" s="12"/>
      <c r="H13" s="1">
        <f t="shared" si="2"/>
        <v>200000</v>
      </c>
      <c r="I13" s="5">
        <f>H13*H8</f>
        <v>0</v>
      </c>
      <c r="J13" s="5">
        <f>(H8-E13)*H13</f>
        <v>0</v>
      </c>
      <c r="K13" s="58" t="e">
        <f>(H8/E13)-1</f>
        <v>#DIV/0!</v>
      </c>
      <c r="L13" s="13"/>
      <c r="O13" t="s">
        <v>17</v>
      </c>
      <c r="P13" t="str">
        <f t="shared" ref="P13:P21" si="3">P12</f>
        <v>371:HK</v>
      </c>
      <c r="Q13" t="str">
        <f t="shared" si="1"/>
        <v>CBBH371:HK</v>
      </c>
    </row>
    <row r="14" spans="1:19" x14ac:dyDescent="0.25">
      <c r="B14" s="29"/>
      <c r="C14" s="30" t="s">
        <v>18</v>
      </c>
      <c r="D14" s="1">
        <f>SUMIF(Download!B:B,Q14,Download!G:G)</f>
        <v>0</v>
      </c>
      <c r="E14" s="31">
        <f>SUMIF(Download!B:B,Q14,Download!H:H)</f>
        <v>0</v>
      </c>
      <c r="F14" s="5">
        <f t="shared" si="0"/>
        <v>0</v>
      </c>
      <c r="G14" s="12"/>
      <c r="H14" s="1">
        <f t="shared" si="2"/>
        <v>200000</v>
      </c>
      <c r="I14" s="5">
        <f>H14*H8</f>
        <v>0</v>
      </c>
      <c r="J14" s="5">
        <f>(H8-E14)*H14</f>
        <v>0</v>
      </c>
      <c r="K14" s="58" t="e">
        <f>(H8/E14)-1</f>
        <v>#DIV/0!</v>
      </c>
      <c r="L14" s="13"/>
      <c r="O14" t="s">
        <v>19</v>
      </c>
      <c r="P14" t="str">
        <f t="shared" si="3"/>
        <v>371:HK</v>
      </c>
      <c r="Q14" t="str">
        <f t="shared" si="1"/>
        <v>BOS371:HK</v>
      </c>
    </row>
    <row r="15" spans="1:19" x14ac:dyDescent="0.25">
      <c r="B15" s="29"/>
      <c r="C15" s="30" t="s">
        <v>20</v>
      </c>
      <c r="D15" s="1">
        <f>SUMIF(Download!B:B,Q15,Download!G:G)</f>
        <v>0</v>
      </c>
      <c r="E15" s="31">
        <f>SUMIF(Download!B:B,Q15,Download!H:H)</f>
        <v>0</v>
      </c>
      <c r="F15" s="5">
        <f t="shared" si="0"/>
        <v>0</v>
      </c>
      <c r="G15" s="12"/>
      <c r="H15" s="1">
        <f t="shared" si="2"/>
        <v>200000</v>
      </c>
      <c r="I15" s="5">
        <f>H15*H8</f>
        <v>0</v>
      </c>
      <c r="J15" s="5">
        <f>(H8-E15)*H15</f>
        <v>0</v>
      </c>
      <c r="K15" s="58" t="e">
        <f>(H8/E15)-1</f>
        <v>#DIV/0!</v>
      </c>
      <c r="L15" s="13"/>
      <c r="O15" t="s">
        <v>21</v>
      </c>
      <c r="P15" t="str">
        <f t="shared" si="3"/>
        <v>371:HK</v>
      </c>
      <c r="Q15" t="str">
        <f t="shared" si="1"/>
        <v>DBPe371:HK</v>
      </c>
    </row>
    <row r="16" spans="1:19" x14ac:dyDescent="0.25">
      <c r="B16" s="29"/>
      <c r="C16" s="30" t="s">
        <v>22</v>
      </c>
      <c r="D16" s="1">
        <f>SUMIF(Download!B:B,Q16,Download!G:G)</f>
        <v>0</v>
      </c>
      <c r="E16" s="31">
        <f>SUMIF(Download!B:B,Q16,Download!H:H)</f>
        <v>0</v>
      </c>
      <c r="F16" s="5">
        <f t="shared" si="0"/>
        <v>0</v>
      </c>
      <c r="G16" s="12"/>
      <c r="H16" s="1">
        <f t="shared" si="2"/>
        <v>200000</v>
      </c>
      <c r="I16" s="5">
        <f>H16*H8</f>
        <v>0</v>
      </c>
      <c r="J16" s="5">
        <f>(H8-E16)*H16</f>
        <v>0</v>
      </c>
      <c r="K16" s="58" t="e">
        <f>(H8/E16)-1</f>
        <v>#DIV/0!</v>
      </c>
      <c r="L16" s="13"/>
      <c r="O16" t="s">
        <v>23</v>
      </c>
      <c r="P16" t="str">
        <f t="shared" si="3"/>
        <v>371:HK</v>
      </c>
      <c r="Q16" t="str">
        <f t="shared" si="1"/>
        <v>DBPL371:HK</v>
      </c>
    </row>
    <row r="17" spans="1:19" x14ac:dyDescent="0.25">
      <c r="B17" s="29"/>
      <c r="C17" s="30" t="s">
        <v>24</v>
      </c>
      <c r="D17" s="1">
        <f>SUMIF(Download!B:B,Q17,Download!G:G)</f>
        <v>0</v>
      </c>
      <c r="E17" s="31">
        <f>SUMIF(Download!B:B,Q17,Download!H:H)</f>
        <v>0</v>
      </c>
      <c r="F17" s="5">
        <f t="shared" si="0"/>
        <v>0</v>
      </c>
      <c r="G17" s="12"/>
      <c r="H17" s="1">
        <f t="shared" si="2"/>
        <v>200000</v>
      </c>
      <c r="I17" s="5">
        <f>H17*H8</f>
        <v>0</v>
      </c>
      <c r="J17" s="5">
        <f>(H8-E17)*H17</f>
        <v>0</v>
      </c>
      <c r="K17" s="58" t="e">
        <f>(H8/E17)-1</f>
        <v>#DIV/0!</v>
      </c>
      <c r="L17" s="13"/>
      <c r="O17" t="s">
        <v>25</v>
      </c>
      <c r="P17" t="str">
        <f t="shared" si="3"/>
        <v>371:HK</v>
      </c>
      <c r="Q17" t="str">
        <f t="shared" si="1"/>
        <v>SC371:HK</v>
      </c>
    </row>
    <row r="18" spans="1:19" x14ac:dyDescent="0.25">
      <c r="B18" s="29"/>
      <c r="C18" s="30" t="s">
        <v>26</v>
      </c>
      <c r="D18" s="1">
        <f>SUMIF(Download!B:B,Q18,Download!G:G)</f>
        <v>0</v>
      </c>
      <c r="E18" s="31">
        <f>SUMIF(Download!B:B,Q18,Download!H:H)</f>
        <v>0</v>
      </c>
      <c r="F18" s="5">
        <f t="shared" si="0"/>
        <v>0</v>
      </c>
      <c r="G18" s="12"/>
      <c r="H18" s="1">
        <f t="shared" si="2"/>
        <v>200000</v>
      </c>
      <c r="I18" s="5">
        <f>H18*H8</f>
        <v>0</v>
      </c>
      <c r="J18" s="5">
        <f>(H8-E18)*H18</f>
        <v>0</v>
      </c>
      <c r="K18" s="58" t="e">
        <f>(H8/E18)-1</f>
        <v>#DIV/0!</v>
      </c>
      <c r="L18" s="13"/>
      <c r="O18" t="s">
        <v>27</v>
      </c>
      <c r="P18" t="str">
        <f t="shared" si="3"/>
        <v>371:HK</v>
      </c>
      <c r="Q18" t="str">
        <f t="shared" si="1"/>
        <v>SHK371:HK</v>
      </c>
    </row>
    <row r="19" spans="1:19" x14ac:dyDescent="0.25">
      <c r="B19" s="29"/>
      <c r="C19" s="30" t="s">
        <v>28</v>
      </c>
      <c r="D19" s="1">
        <f>SUMIF(Download!B:B,Q19,Download!G:G)</f>
        <v>0</v>
      </c>
      <c r="E19" s="31">
        <f>SUMIF(Download!B:B,Q19,Download!H:H)</f>
        <v>0</v>
      </c>
      <c r="F19" s="5">
        <f t="shared" si="0"/>
        <v>0</v>
      </c>
      <c r="G19" s="12"/>
      <c r="H19" s="1">
        <f t="shared" si="2"/>
        <v>200000</v>
      </c>
      <c r="I19" s="5">
        <f>H19*H8</f>
        <v>0</v>
      </c>
      <c r="J19" s="5">
        <f>(H8-E19)*H19</f>
        <v>0</v>
      </c>
      <c r="K19" s="58" t="e">
        <f>(H8/E19)-1</f>
        <v>#DIV/0!</v>
      </c>
      <c r="L19" s="13"/>
      <c r="O19" t="s">
        <v>29</v>
      </c>
      <c r="P19" t="str">
        <f t="shared" si="3"/>
        <v>371:HK</v>
      </c>
      <c r="Q19" t="str">
        <f t="shared" si="1"/>
        <v>MST1371:HK</v>
      </c>
    </row>
    <row r="20" spans="1:19" x14ac:dyDescent="0.25">
      <c r="B20" s="29"/>
      <c r="C20" s="30" t="s">
        <v>30</v>
      </c>
      <c r="D20" s="1">
        <f>SUMIF(Download!B:B,Q20,Download!G:G)</f>
        <v>0</v>
      </c>
      <c r="E20" s="31">
        <f>SUMIF(Download!B:B,Q20,Download!H:H)</f>
        <v>0</v>
      </c>
      <c r="F20" s="5">
        <f t="shared" si="0"/>
        <v>0</v>
      </c>
      <c r="G20" s="12"/>
      <c r="H20" s="1">
        <f t="shared" si="2"/>
        <v>200000</v>
      </c>
      <c r="I20" s="5">
        <f>H20*H8</f>
        <v>0</v>
      </c>
      <c r="J20" s="5">
        <f>(H8-E20)*H20</f>
        <v>0</v>
      </c>
      <c r="K20" s="58" t="e">
        <f>(H8/E20)-1</f>
        <v>#DIV/0!</v>
      </c>
      <c r="L20" s="13"/>
      <c r="O20" t="s">
        <v>32</v>
      </c>
      <c r="P20" t="str">
        <f t="shared" si="3"/>
        <v>371:HK</v>
      </c>
      <c r="Q20" t="str">
        <f t="shared" si="1"/>
        <v>MST2371:HK</v>
      </c>
    </row>
    <row r="21" spans="1:19" x14ac:dyDescent="0.25">
      <c r="B21" s="29"/>
      <c r="C21" s="30" t="s">
        <v>33</v>
      </c>
      <c r="D21" s="1">
        <f>SUMIF(Download!B:B,Q21,Download!G:G)</f>
        <v>0</v>
      </c>
      <c r="E21" s="31">
        <f>SUMIF(Download!B:B,Q21,Download!H:H)</f>
        <v>0</v>
      </c>
      <c r="F21" s="5">
        <f t="shared" si="0"/>
        <v>0</v>
      </c>
      <c r="G21" s="12"/>
      <c r="H21" s="1">
        <f t="shared" si="2"/>
        <v>200000</v>
      </c>
      <c r="I21" s="5">
        <f>H21*H8</f>
        <v>0</v>
      </c>
      <c r="J21" s="5">
        <f>(H8-E21)*H21</f>
        <v>0</v>
      </c>
      <c r="K21" s="58" t="e">
        <f>(H8/E21)-1</f>
        <v>#DIV/0!</v>
      </c>
      <c r="L21" s="13"/>
      <c r="O21" t="s">
        <v>34</v>
      </c>
      <c r="P21" t="str">
        <f t="shared" si="3"/>
        <v>371:HK</v>
      </c>
      <c r="Q21" t="str">
        <f t="shared" si="1"/>
        <v>MSPL371:HK</v>
      </c>
    </row>
    <row r="22" spans="1:19" x14ac:dyDescent="0.25">
      <c r="B22" s="29"/>
      <c r="C22" s="32"/>
      <c r="D22" s="11"/>
      <c r="E22" s="33"/>
      <c r="F22" s="12"/>
      <c r="G22" s="12"/>
      <c r="H22" s="12"/>
      <c r="I22" s="12"/>
      <c r="J22" s="12"/>
      <c r="K22" s="12"/>
      <c r="L22" s="13"/>
    </row>
    <row r="23" spans="1:19" ht="15.75" customHeight="1" thickBot="1" x14ac:dyDescent="0.3">
      <c r="C23" s="34" t="s">
        <v>35</v>
      </c>
      <c r="D23" s="10">
        <f>SUM(D9:D22)</f>
        <v>0</v>
      </c>
      <c r="E23" s="35" t="e">
        <f>F23/D23</f>
        <v>#DIV/0!</v>
      </c>
      <c r="F23" s="4">
        <f>SUM(F9:F22)</f>
        <v>0</v>
      </c>
      <c r="G23" s="14"/>
      <c r="H23" s="14"/>
      <c r="I23" s="14"/>
      <c r="J23" s="14"/>
      <c r="K23" s="14"/>
      <c r="L23" s="51"/>
    </row>
    <row r="24" spans="1:19" ht="18.75" customHeight="1" thickTop="1" x14ac:dyDescent="0.3">
      <c r="A24" s="17"/>
      <c r="L24" s="18" t="s">
        <v>1</v>
      </c>
      <c r="M24" s="59">
        <v>44027</v>
      </c>
      <c r="N24" s="60"/>
    </row>
    <row r="25" spans="1:19" x14ac:dyDescent="0.25">
      <c r="L25" s="18" t="s">
        <v>2</v>
      </c>
      <c r="M25" s="20" t="s">
        <v>90</v>
      </c>
      <c r="N25" s="20"/>
      <c r="R25" s="21"/>
    </row>
    <row r="26" spans="1:19" ht="18.75" customHeight="1" x14ac:dyDescent="0.3">
      <c r="A26" s="22">
        <v>2</v>
      </c>
      <c r="B26" s="17" t="str">
        <f>INDEX(Stocks!A:B,MATCH(P27,Stocks!A:A,),2)&amp;" ("&amp;P27&amp;")"</f>
        <v>Cathay Pacific (293:HK)</v>
      </c>
      <c r="C26" s="17"/>
      <c r="G26" s="16" t="s">
        <v>162</v>
      </c>
      <c r="H26" s="57"/>
      <c r="L26" s="18" t="s">
        <v>4</v>
      </c>
      <c r="M26" s="19">
        <v>44048</v>
      </c>
      <c r="N26" s="19"/>
      <c r="R26" s="23"/>
      <c r="S26" s="37"/>
    </row>
    <row r="27" spans="1:19" x14ac:dyDescent="0.25">
      <c r="A27" s="25"/>
      <c r="C27" s="26" t="s">
        <v>5</v>
      </c>
      <c r="D27" s="26" t="s">
        <v>6</v>
      </c>
      <c r="E27" s="26" t="s">
        <v>7</v>
      </c>
      <c r="F27" s="27" t="s">
        <v>8</v>
      </c>
      <c r="G27" s="24"/>
      <c r="H27" s="26" t="s">
        <v>163</v>
      </c>
      <c r="I27" s="27" t="s">
        <v>164</v>
      </c>
      <c r="J27" s="26" t="str">
        <f>IF(COUNTIF(J28:J39,"&gt;0")&lt;&gt;0,IF(COUNTIF(J28:J39,"&lt;0")&lt;&gt;0,"Gain / Loss", "Gain"),"Loss")</f>
        <v>Loss</v>
      </c>
      <c r="K27" s="26" t="str">
        <f>"% "&amp;IF(COUNTIF(K28:K39,"&gt;=0")&lt;&gt;0,IF(COUNTIF(K28:K39,"&lt;0")&lt;&gt;0,"Gain / Loss", "Gain"),"Loss")</f>
        <v>% Loss</v>
      </c>
      <c r="O27" s="28"/>
      <c r="P27" t="s">
        <v>91</v>
      </c>
    </row>
    <row r="28" spans="1:19" x14ac:dyDescent="0.25">
      <c r="B28" s="29"/>
      <c r="C28" s="30" t="s">
        <v>166</v>
      </c>
      <c r="D28" s="1">
        <f>SUMIF(Download!B:B,Q28,Download!G:G)</f>
        <v>0</v>
      </c>
      <c r="E28" s="31">
        <f>SUMIF(Download!B:B,Q28,Download!H:H)</f>
        <v>0</v>
      </c>
      <c r="F28" s="5">
        <f t="shared" ref="F28:F39" si="4">D28*E28</f>
        <v>0</v>
      </c>
      <c r="G28" s="12"/>
      <c r="H28" s="1"/>
      <c r="I28" s="5">
        <f>H28*H26</f>
        <v>0</v>
      </c>
      <c r="J28" s="5">
        <f>(H26-E28)*H28</f>
        <v>0</v>
      </c>
      <c r="K28" s="58" t="e">
        <f>(H26/E28)-1</f>
        <v>#DIV/0!</v>
      </c>
      <c r="L28" s="13"/>
      <c r="O28" t="s">
        <v>167</v>
      </c>
      <c r="P28" t="str">
        <f>P27</f>
        <v>293:HK</v>
      </c>
      <c r="Q28" t="str">
        <f t="shared" ref="Q28:Q39" si="5">O28&amp;P28</f>
        <v>CBSG293:HK</v>
      </c>
    </row>
    <row r="29" spans="1:19" x14ac:dyDescent="0.25">
      <c r="B29" s="29"/>
      <c r="C29" s="30" t="s">
        <v>12</v>
      </c>
      <c r="D29" s="1">
        <f>SUMIF(Download!B:B,Q29,Download!G:G)</f>
        <v>0</v>
      </c>
      <c r="E29" s="31">
        <f>SUMIF(Download!B:B,Q29,Download!H:H)</f>
        <v>0</v>
      </c>
      <c r="F29" s="5">
        <f t="shared" si="4"/>
        <v>0</v>
      </c>
      <c r="G29" s="12"/>
      <c r="H29" s="1"/>
      <c r="I29" s="5">
        <f>H29*H26</f>
        <v>0</v>
      </c>
      <c r="J29" s="5">
        <f>(H26-E29)*H29</f>
        <v>0</v>
      </c>
      <c r="K29" s="58" t="e">
        <f>(H26/E29)-1</f>
        <v>#DIV/0!</v>
      </c>
      <c r="L29" s="13"/>
      <c r="O29" t="s">
        <v>13</v>
      </c>
      <c r="P29" t="str">
        <f>P27</f>
        <v>293:HK</v>
      </c>
      <c r="Q29" t="str">
        <f t="shared" si="5"/>
        <v>CB2293:HK</v>
      </c>
    </row>
    <row r="30" spans="1:19" x14ac:dyDescent="0.25">
      <c r="B30" s="29"/>
      <c r="C30" s="30" t="s">
        <v>14</v>
      </c>
      <c r="D30" s="1">
        <f>SUMIF(Download!B:B,Q30,Download!G:G)</f>
        <v>0</v>
      </c>
      <c r="E30" s="31">
        <f>SUMIF(Download!B:B,Q30,Download!H:H)</f>
        <v>0</v>
      </c>
      <c r="F30" s="5">
        <f t="shared" si="4"/>
        <v>0</v>
      </c>
      <c r="G30" s="12"/>
      <c r="H30" s="1"/>
      <c r="I30" s="5">
        <f>H30*H26</f>
        <v>0</v>
      </c>
      <c r="J30" s="5">
        <f>(H26-E30)*H30</f>
        <v>0</v>
      </c>
      <c r="K30" s="58" t="e">
        <f>(H26/E30)-1</f>
        <v>#DIV/0!</v>
      </c>
      <c r="L30" s="13"/>
      <c r="O30" t="s">
        <v>15</v>
      </c>
      <c r="P30" t="str">
        <f>P28</f>
        <v>293:HK</v>
      </c>
      <c r="Q30" t="str">
        <f t="shared" si="5"/>
        <v>CB3293:HK</v>
      </c>
    </row>
    <row r="31" spans="1:19" x14ac:dyDescent="0.25">
      <c r="B31" s="29"/>
      <c r="C31" s="30" t="s">
        <v>16</v>
      </c>
      <c r="D31" s="1">
        <f>SUMIF(Download!B:B,Q31,Download!G:G)</f>
        <v>0</v>
      </c>
      <c r="E31" s="31">
        <f>SUMIF(Download!B:B,Q31,Download!H:H)</f>
        <v>0</v>
      </c>
      <c r="F31" s="5">
        <f t="shared" si="4"/>
        <v>0</v>
      </c>
      <c r="G31" s="12"/>
      <c r="H31" s="1"/>
      <c r="I31" s="5">
        <f>H31*H26</f>
        <v>0</v>
      </c>
      <c r="J31" s="5">
        <f>(H26-E31)*H31</f>
        <v>0</v>
      </c>
      <c r="K31" s="58" t="e">
        <f>(H26/E31)-1</f>
        <v>#DIV/0!</v>
      </c>
      <c r="L31" s="13"/>
      <c r="O31" t="s">
        <v>17</v>
      </c>
      <c r="P31" t="str">
        <f t="shared" ref="P31:P39" si="6">P30</f>
        <v>293:HK</v>
      </c>
      <c r="Q31" t="str">
        <f t="shared" si="5"/>
        <v>CBBH293:HK</v>
      </c>
    </row>
    <row r="32" spans="1:19" x14ac:dyDescent="0.25">
      <c r="B32" s="29"/>
      <c r="C32" s="30" t="s">
        <v>18</v>
      </c>
      <c r="D32" s="1">
        <f>SUMIF(Download!B:B,Q32,Download!G:G)</f>
        <v>0</v>
      </c>
      <c r="E32" s="31">
        <f>SUMIF(Download!B:B,Q32,Download!H:H)</f>
        <v>0</v>
      </c>
      <c r="F32" s="5">
        <f t="shared" si="4"/>
        <v>0</v>
      </c>
      <c r="G32" s="12"/>
      <c r="H32" s="1"/>
      <c r="I32" s="5">
        <f>H32*H26</f>
        <v>0</v>
      </c>
      <c r="J32" s="5">
        <f>(H26-E32)*H32</f>
        <v>0</v>
      </c>
      <c r="K32" s="58" t="e">
        <f>(H26/E32)-1</f>
        <v>#DIV/0!</v>
      </c>
      <c r="L32" s="13"/>
      <c r="O32" t="s">
        <v>19</v>
      </c>
      <c r="P32" t="str">
        <f t="shared" si="6"/>
        <v>293:HK</v>
      </c>
      <c r="Q32" t="str">
        <f t="shared" si="5"/>
        <v>BOS293:HK</v>
      </c>
    </row>
    <row r="33" spans="1:17" x14ac:dyDescent="0.25">
      <c r="B33" s="29"/>
      <c r="C33" s="30" t="s">
        <v>20</v>
      </c>
      <c r="D33" s="1">
        <f>SUMIF(Download!B:B,Q33,Download!G:G)</f>
        <v>0</v>
      </c>
      <c r="E33" s="31">
        <f>SUMIF(Download!B:B,Q33,Download!H:H)</f>
        <v>0</v>
      </c>
      <c r="F33" s="5">
        <f t="shared" si="4"/>
        <v>0</v>
      </c>
      <c r="G33" s="12"/>
      <c r="H33" s="1"/>
      <c r="I33" s="5">
        <f>H33*H26</f>
        <v>0</v>
      </c>
      <c r="J33" s="5">
        <f>(H26-E33)*H33</f>
        <v>0</v>
      </c>
      <c r="K33" s="58" t="e">
        <f>(H26/E33)-1</f>
        <v>#DIV/0!</v>
      </c>
      <c r="L33" s="13"/>
      <c r="O33" t="s">
        <v>21</v>
      </c>
      <c r="P33" t="str">
        <f t="shared" si="6"/>
        <v>293:HK</v>
      </c>
      <c r="Q33" t="str">
        <f t="shared" si="5"/>
        <v>DBPe293:HK</v>
      </c>
    </row>
    <row r="34" spans="1:17" x14ac:dyDescent="0.25">
      <c r="B34" s="29"/>
      <c r="C34" s="30" t="s">
        <v>22</v>
      </c>
      <c r="D34" s="1">
        <f>SUMIF(Download!B:B,Q34,Download!G:G)</f>
        <v>0</v>
      </c>
      <c r="E34" s="31">
        <f>SUMIF(Download!B:B,Q34,Download!H:H)</f>
        <v>0</v>
      </c>
      <c r="F34" s="5">
        <f t="shared" si="4"/>
        <v>0</v>
      </c>
      <c r="G34" s="12"/>
      <c r="H34" s="1"/>
      <c r="I34" s="5">
        <f>H34*H26</f>
        <v>0</v>
      </c>
      <c r="J34" s="5">
        <f>(H26-E34)*H34</f>
        <v>0</v>
      </c>
      <c r="K34" s="58" t="e">
        <f>(H26/E34)-1</f>
        <v>#DIV/0!</v>
      </c>
      <c r="L34" s="13"/>
      <c r="O34" t="s">
        <v>23</v>
      </c>
      <c r="P34" t="str">
        <f t="shared" si="6"/>
        <v>293:HK</v>
      </c>
      <c r="Q34" t="str">
        <f t="shared" si="5"/>
        <v>DBPL293:HK</v>
      </c>
    </row>
    <row r="35" spans="1:17" x14ac:dyDescent="0.25">
      <c r="B35" s="29"/>
      <c r="C35" s="30" t="s">
        <v>24</v>
      </c>
      <c r="D35" s="1">
        <f>SUMIF(Download!B:B,Q35,Download!G:G)</f>
        <v>0</v>
      </c>
      <c r="E35" s="31">
        <f>SUMIF(Download!B:B,Q35,Download!H:H)</f>
        <v>0</v>
      </c>
      <c r="F35" s="5">
        <f t="shared" si="4"/>
        <v>0</v>
      </c>
      <c r="G35" s="12"/>
      <c r="H35" s="1"/>
      <c r="I35" s="5">
        <f>H35*H26</f>
        <v>0</v>
      </c>
      <c r="J35" s="5">
        <f>(H26-E35)*H35</f>
        <v>0</v>
      </c>
      <c r="K35" s="58" t="e">
        <f>(H26/E35)-1</f>
        <v>#DIV/0!</v>
      </c>
      <c r="L35" s="13"/>
      <c r="O35" t="s">
        <v>25</v>
      </c>
      <c r="P35" t="str">
        <f t="shared" si="6"/>
        <v>293:HK</v>
      </c>
      <c r="Q35" t="str">
        <f t="shared" si="5"/>
        <v>SC293:HK</v>
      </c>
    </row>
    <row r="36" spans="1:17" x14ac:dyDescent="0.25">
      <c r="B36" s="29"/>
      <c r="C36" s="30" t="s">
        <v>26</v>
      </c>
      <c r="D36" s="1">
        <f>SUMIF(Download!B:B,Q36,Download!G:G)</f>
        <v>0</v>
      </c>
      <c r="E36" s="31">
        <f>SUMIF(Download!B:B,Q36,Download!H:H)</f>
        <v>0</v>
      </c>
      <c r="F36" s="5">
        <f t="shared" si="4"/>
        <v>0</v>
      </c>
      <c r="G36" s="12"/>
      <c r="H36" s="1"/>
      <c r="I36" s="5">
        <f>H36*H26</f>
        <v>0</v>
      </c>
      <c r="J36" s="5">
        <f>(H26-E36)*H36</f>
        <v>0</v>
      </c>
      <c r="K36" s="58" t="e">
        <f>(H26/E36)-1</f>
        <v>#DIV/0!</v>
      </c>
      <c r="L36" s="13"/>
      <c r="O36" t="s">
        <v>27</v>
      </c>
      <c r="P36" t="str">
        <f t="shared" si="6"/>
        <v>293:HK</v>
      </c>
      <c r="Q36" t="str">
        <f t="shared" si="5"/>
        <v>SHK293:HK</v>
      </c>
    </row>
    <row r="37" spans="1:17" x14ac:dyDescent="0.25">
      <c r="B37" s="29"/>
      <c r="C37" s="30" t="s">
        <v>28</v>
      </c>
      <c r="D37" s="1">
        <f>SUMIF(Download!B:B,Q37,Download!G:G)</f>
        <v>0</v>
      </c>
      <c r="E37" s="31">
        <f>SUMIF(Download!B:B,Q37,Download!H:H)</f>
        <v>0</v>
      </c>
      <c r="F37" s="5">
        <f t="shared" si="4"/>
        <v>0</v>
      </c>
      <c r="G37" s="12"/>
      <c r="H37" s="1"/>
      <c r="I37" s="5">
        <f>H37*H26</f>
        <v>0</v>
      </c>
      <c r="J37" s="5">
        <f>(H26-E37)*H37</f>
        <v>0</v>
      </c>
      <c r="K37" s="58" t="e">
        <f>(H26/E37)-1</f>
        <v>#DIV/0!</v>
      </c>
      <c r="L37" s="13"/>
      <c r="O37" t="s">
        <v>29</v>
      </c>
      <c r="P37" t="str">
        <f t="shared" si="6"/>
        <v>293:HK</v>
      </c>
      <c r="Q37" t="str">
        <f t="shared" si="5"/>
        <v>MST1293:HK</v>
      </c>
    </row>
    <row r="38" spans="1:17" x14ac:dyDescent="0.25">
      <c r="B38" s="29"/>
      <c r="C38" s="30" t="s">
        <v>30</v>
      </c>
      <c r="D38" s="1">
        <f>SUMIF(Download!B:B,Q38,Download!G:G)</f>
        <v>0</v>
      </c>
      <c r="E38" s="31">
        <f>SUMIF(Download!B:B,Q38,Download!H:H)</f>
        <v>0</v>
      </c>
      <c r="F38" s="5">
        <f t="shared" si="4"/>
        <v>0</v>
      </c>
      <c r="G38" s="12"/>
      <c r="H38" s="1"/>
      <c r="I38" s="5">
        <f>H38*H26</f>
        <v>0</v>
      </c>
      <c r="J38" s="5">
        <f>(H26-E38)*H38</f>
        <v>0</v>
      </c>
      <c r="K38" s="58" t="e">
        <f>(H26/E38)-1</f>
        <v>#DIV/0!</v>
      </c>
      <c r="L38" s="13"/>
      <c r="O38" t="s">
        <v>32</v>
      </c>
      <c r="P38" t="str">
        <f t="shared" si="6"/>
        <v>293:HK</v>
      </c>
      <c r="Q38" t="str">
        <f t="shared" si="5"/>
        <v>MST2293:HK</v>
      </c>
    </row>
    <row r="39" spans="1:17" x14ac:dyDescent="0.25">
      <c r="B39" s="29"/>
      <c r="C39" s="30" t="s">
        <v>33</v>
      </c>
      <c r="D39" s="1">
        <f>SUMIF(Download!B:B,Q39,Download!G:G)</f>
        <v>0</v>
      </c>
      <c r="E39" s="31">
        <f>SUMIF(Download!B:B,Q39,Download!H:H)</f>
        <v>0</v>
      </c>
      <c r="F39" s="5">
        <f t="shared" si="4"/>
        <v>0</v>
      </c>
      <c r="G39" s="12"/>
      <c r="H39" s="1"/>
      <c r="I39" s="5">
        <f>H39*H26</f>
        <v>0</v>
      </c>
      <c r="J39" s="5">
        <f>(H26-E39)*H39</f>
        <v>0</v>
      </c>
      <c r="K39" s="58" t="e">
        <f>(H26/E39)-1</f>
        <v>#DIV/0!</v>
      </c>
      <c r="L39" s="13"/>
      <c r="O39" t="s">
        <v>34</v>
      </c>
      <c r="P39" t="str">
        <f t="shared" si="6"/>
        <v>293:HK</v>
      </c>
      <c r="Q39" t="str">
        <f t="shared" si="5"/>
        <v>MSPL293:HK</v>
      </c>
    </row>
    <row r="40" spans="1:17" x14ac:dyDescent="0.25">
      <c r="B40" s="29"/>
      <c r="C40" s="32"/>
      <c r="D40" s="11"/>
      <c r="E40" s="33"/>
      <c r="F40" s="12"/>
      <c r="G40" s="12"/>
      <c r="H40" s="12"/>
      <c r="I40" s="12"/>
      <c r="J40" s="12"/>
      <c r="K40" s="12"/>
      <c r="L40" s="13"/>
    </row>
    <row r="41" spans="1:17" ht="15.75" customHeight="1" thickBot="1" x14ac:dyDescent="0.3">
      <c r="C41" s="34" t="s">
        <v>35</v>
      </c>
      <c r="D41" s="10">
        <f>SUM(D27:D40)</f>
        <v>0</v>
      </c>
      <c r="E41" s="35" t="e">
        <f>F41/D41</f>
        <v>#DIV/0!</v>
      </c>
      <c r="F41" s="4">
        <f>SUM(F27:F40)</f>
        <v>0</v>
      </c>
      <c r="G41" s="14"/>
      <c r="H41" s="14"/>
      <c r="I41" s="14"/>
      <c r="J41" s="14"/>
      <c r="K41" s="14"/>
      <c r="L41" s="51"/>
    </row>
    <row r="42" spans="1:17" ht="15.75" customHeight="1" thickTop="1" x14ac:dyDescent="0.25">
      <c r="C42" s="37"/>
      <c r="D42" s="49"/>
      <c r="E42" s="38"/>
      <c r="F42" s="14"/>
      <c r="G42" s="14"/>
      <c r="H42" s="14"/>
      <c r="I42" s="14"/>
      <c r="J42" s="14"/>
      <c r="K42" s="14"/>
      <c r="L42" s="51"/>
    </row>
    <row r="43" spans="1:17" x14ac:dyDescent="0.25">
      <c r="D43" s="36"/>
      <c r="L43" s="18" t="s">
        <v>1</v>
      </c>
      <c r="M43" s="19">
        <v>44739</v>
      </c>
      <c r="N43" s="19"/>
    </row>
    <row r="44" spans="1:17" x14ac:dyDescent="0.25">
      <c r="D44" s="36"/>
      <c r="L44" s="18" t="s">
        <v>2</v>
      </c>
      <c r="M44" s="20" t="s">
        <v>92</v>
      </c>
      <c r="N44" s="20"/>
    </row>
    <row r="45" spans="1:17" ht="18.75" customHeight="1" x14ac:dyDescent="0.3">
      <c r="A45" s="22">
        <v>3</v>
      </c>
      <c r="B45" s="17" t="str">
        <f>INDEX(Stocks!A:B,MATCH(P46,Stocks!A:A,),2)&amp;" ("&amp;P46&amp;")"</f>
        <v>Sinopharm (1099:HK)</v>
      </c>
      <c r="C45" s="17"/>
      <c r="E45" s="21"/>
      <c r="F45" s="37"/>
      <c r="G45" s="16" t="s">
        <v>162</v>
      </c>
      <c r="H45" s="57"/>
      <c r="L45" s="18" t="s">
        <v>4</v>
      </c>
      <c r="M45" s="19">
        <v>44796</v>
      </c>
      <c r="N45" s="19"/>
    </row>
    <row r="46" spans="1:17" x14ac:dyDescent="0.25">
      <c r="A46" s="25"/>
      <c r="C46" s="26" t="s">
        <v>5</v>
      </c>
      <c r="D46" s="26" t="s">
        <v>6</v>
      </c>
      <c r="E46" s="26" t="s">
        <v>7</v>
      </c>
      <c r="F46" s="26" t="s">
        <v>8</v>
      </c>
      <c r="G46" s="24"/>
      <c r="H46" s="26" t="s">
        <v>163</v>
      </c>
      <c r="I46" s="27" t="s">
        <v>164</v>
      </c>
      <c r="J46" s="26" t="str">
        <f>IF(COUNTIF(J47:J58,"&gt;0")&lt;&gt;0,IF(COUNTIF(J47:J58,"&lt;0")&lt;&gt;0,"Gain / Loss", "Gain"),"Loss")</f>
        <v>Loss</v>
      </c>
      <c r="K46" s="26" t="str">
        <f>"% "&amp;IF(COUNTIF(K47:K58,"&gt;=0")&lt;&gt;0,IF(COUNTIF(K47:K58,"&lt;0")&lt;&gt;0,"Gain / Loss", "Gain"),"Loss")</f>
        <v>% Loss</v>
      </c>
      <c r="P46" t="s">
        <v>93</v>
      </c>
    </row>
    <row r="47" spans="1:17" x14ac:dyDescent="0.25">
      <c r="B47" s="29"/>
      <c r="C47" s="30" t="s">
        <v>166</v>
      </c>
      <c r="D47" s="1">
        <f>SUMIF(Download!B:B,Q47,Download!G:G)</f>
        <v>0</v>
      </c>
      <c r="E47" s="31">
        <f>SUMIF(Download!B:B,Q47,Download!H:H)</f>
        <v>0</v>
      </c>
      <c r="F47" s="2">
        <f t="shared" ref="F47:F58" si="7">D47*E47</f>
        <v>0</v>
      </c>
      <c r="G47" s="12"/>
      <c r="H47" s="1"/>
      <c r="I47" s="5">
        <f>H47*H45</f>
        <v>0</v>
      </c>
      <c r="J47" s="5">
        <f>(H45-E47)*H47</f>
        <v>0</v>
      </c>
      <c r="K47" s="58" t="e">
        <f>(H45/E47)-1</f>
        <v>#DIV/0!</v>
      </c>
      <c r="O47" t="s">
        <v>167</v>
      </c>
      <c r="P47" t="str">
        <f>P46</f>
        <v>1099:HK</v>
      </c>
      <c r="Q47" t="str">
        <f t="shared" ref="Q47:Q58" si="8">O47&amp;P47</f>
        <v>CBSG1099:HK</v>
      </c>
    </row>
    <row r="48" spans="1:17" x14ac:dyDescent="0.25">
      <c r="B48" s="29"/>
      <c r="C48" s="30" t="s">
        <v>12</v>
      </c>
      <c r="D48" s="1">
        <f>SUMIF(Download!B:B,Q48,Download!G:G)</f>
        <v>0</v>
      </c>
      <c r="E48" s="31">
        <f>SUMIF(Download!B:B,Q48,Download!H:H)</f>
        <v>0</v>
      </c>
      <c r="F48" s="2">
        <f t="shared" si="7"/>
        <v>0</v>
      </c>
      <c r="G48" s="12"/>
      <c r="H48" s="1"/>
      <c r="I48" s="5">
        <f>H48*H45</f>
        <v>0</v>
      </c>
      <c r="J48" s="5">
        <f>(H45-E48)*H48</f>
        <v>0</v>
      </c>
      <c r="K48" s="58" t="e">
        <f>(H45/E48)-1</f>
        <v>#DIV/0!</v>
      </c>
      <c r="O48" t="s">
        <v>13</v>
      </c>
      <c r="P48" t="str">
        <f>P47</f>
        <v>1099:HK</v>
      </c>
      <c r="Q48" t="str">
        <f t="shared" si="8"/>
        <v>CB21099:HK</v>
      </c>
    </row>
    <row r="49" spans="1:19" x14ac:dyDescent="0.25">
      <c r="B49" s="29"/>
      <c r="C49" s="30" t="s">
        <v>14</v>
      </c>
      <c r="D49" s="1">
        <f>SUMIF(Download!B:B,Q49,Download!G:G)</f>
        <v>0</v>
      </c>
      <c r="E49" s="31">
        <f>SUMIF(Download!B:B,Q49,Download!H:H)</f>
        <v>0</v>
      </c>
      <c r="F49" s="2">
        <f t="shared" si="7"/>
        <v>0</v>
      </c>
      <c r="G49" s="12"/>
      <c r="H49" s="1"/>
      <c r="I49" s="5">
        <f>H49*H45</f>
        <v>0</v>
      </c>
      <c r="J49" s="5">
        <f>(H45-E49)*H49</f>
        <v>0</v>
      </c>
      <c r="K49" s="58" t="e">
        <f>(H45/E49)-1</f>
        <v>#DIV/0!</v>
      </c>
      <c r="O49" t="s">
        <v>15</v>
      </c>
      <c r="P49" t="str">
        <f>P47</f>
        <v>1099:HK</v>
      </c>
      <c r="Q49" t="str">
        <f t="shared" si="8"/>
        <v>CB31099:HK</v>
      </c>
    </row>
    <row r="50" spans="1:19" x14ac:dyDescent="0.25">
      <c r="B50" s="29"/>
      <c r="C50" s="30" t="s">
        <v>16</v>
      </c>
      <c r="D50" s="1">
        <f>SUMIF(Download!B:B,Q50,Download!G:G)</f>
        <v>0</v>
      </c>
      <c r="E50" s="31">
        <f>SUMIF(Download!B:B,Q50,Download!H:H)</f>
        <v>0</v>
      </c>
      <c r="F50" s="2">
        <f t="shared" si="7"/>
        <v>0</v>
      </c>
      <c r="G50" s="12"/>
      <c r="H50" s="1"/>
      <c r="I50" s="5">
        <f>H50*H45</f>
        <v>0</v>
      </c>
      <c r="J50" s="5">
        <f>(H45-E50)*H50</f>
        <v>0</v>
      </c>
      <c r="K50" s="58" t="e">
        <f>(H45/E50)-1</f>
        <v>#DIV/0!</v>
      </c>
      <c r="O50" t="s">
        <v>17</v>
      </c>
      <c r="P50" t="str">
        <f>P48</f>
        <v>1099:HK</v>
      </c>
      <c r="Q50" t="str">
        <f t="shared" si="8"/>
        <v>CBBH1099:HK</v>
      </c>
    </row>
    <row r="51" spans="1:19" x14ac:dyDescent="0.25">
      <c r="B51" s="29"/>
      <c r="C51" s="30" t="s">
        <v>18</v>
      </c>
      <c r="D51" s="1">
        <f>SUMIF(Download!B:B,Q51,Download!G:G)</f>
        <v>0</v>
      </c>
      <c r="E51" s="31">
        <f>SUMIF(Download!B:B,Q51,Download!H:H)</f>
        <v>0</v>
      </c>
      <c r="F51" s="2">
        <f t="shared" si="7"/>
        <v>0</v>
      </c>
      <c r="G51" s="12"/>
      <c r="H51" s="1"/>
      <c r="I51" s="5">
        <f>H51*H45</f>
        <v>0</v>
      </c>
      <c r="J51" s="5">
        <f>(H45-E51)*H51</f>
        <v>0</v>
      </c>
      <c r="K51" s="58" t="e">
        <f>(H45/E51)-1</f>
        <v>#DIV/0!</v>
      </c>
      <c r="O51" t="s">
        <v>19</v>
      </c>
      <c r="P51" t="str">
        <f t="shared" ref="P51:P58" si="9">P50</f>
        <v>1099:HK</v>
      </c>
      <c r="Q51" t="str">
        <f t="shared" si="8"/>
        <v>BOS1099:HK</v>
      </c>
    </row>
    <row r="52" spans="1:19" x14ac:dyDescent="0.25">
      <c r="B52" s="29"/>
      <c r="C52" s="30" t="s">
        <v>20</v>
      </c>
      <c r="D52" s="1">
        <f>SUMIF(Download!B:B,Q52,Download!G:G)</f>
        <v>0</v>
      </c>
      <c r="E52" s="31">
        <f>SUMIF(Download!B:B,Q52,Download!H:H)</f>
        <v>0</v>
      </c>
      <c r="F52" s="2">
        <f t="shared" si="7"/>
        <v>0</v>
      </c>
      <c r="G52" s="12"/>
      <c r="H52" s="1"/>
      <c r="I52" s="5">
        <f>H52*H45</f>
        <v>0</v>
      </c>
      <c r="J52" s="5">
        <f>(H45-E52)*H52</f>
        <v>0</v>
      </c>
      <c r="K52" s="58" t="e">
        <f>(H45/E52)-1</f>
        <v>#DIV/0!</v>
      </c>
      <c r="O52" t="s">
        <v>21</v>
      </c>
      <c r="P52" t="str">
        <f t="shared" si="9"/>
        <v>1099:HK</v>
      </c>
      <c r="Q52" t="str">
        <f t="shared" si="8"/>
        <v>DBPe1099:HK</v>
      </c>
    </row>
    <row r="53" spans="1:19" x14ac:dyDescent="0.25">
      <c r="B53" s="29"/>
      <c r="C53" s="30" t="s">
        <v>22</v>
      </c>
      <c r="D53" s="1">
        <f>SUMIF(Download!B:B,Q53,Download!G:G)</f>
        <v>0</v>
      </c>
      <c r="E53" s="31">
        <f>SUMIF(Download!B:B,Q53,Download!H:H)</f>
        <v>0</v>
      </c>
      <c r="F53" s="2">
        <f t="shared" si="7"/>
        <v>0</v>
      </c>
      <c r="G53" s="12"/>
      <c r="H53" s="1"/>
      <c r="I53" s="5">
        <f>H53*H45</f>
        <v>0</v>
      </c>
      <c r="J53" s="5">
        <f>(H45-E53)*H53</f>
        <v>0</v>
      </c>
      <c r="K53" s="58" t="e">
        <f>(H45/E53)-1</f>
        <v>#DIV/0!</v>
      </c>
      <c r="O53" t="s">
        <v>23</v>
      </c>
      <c r="P53" t="str">
        <f t="shared" si="9"/>
        <v>1099:HK</v>
      </c>
      <c r="Q53" t="str">
        <f t="shared" si="8"/>
        <v>DBPL1099:HK</v>
      </c>
    </row>
    <row r="54" spans="1:19" x14ac:dyDescent="0.25">
      <c r="B54" s="29"/>
      <c r="C54" s="30" t="s">
        <v>24</v>
      </c>
      <c r="D54" s="1">
        <f>SUMIF(Download!B:B,Q54,Download!G:G)</f>
        <v>0</v>
      </c>
      <c r="E54" s="31">
        <f>SUMIF(Download!B:B,Q54,Download!H:H)</f>
        <v>0</v>
      </c>
      <c r="F54" s="2">
        <f t="shared" si="7"/>
        <v>0</v>
      </c>
      <c r="G54" s="12"/>
      <c r="H54" s="1"/>
      <c r="I54" s="5">
        <f>H54*H45</f>
        <v>0</v>
      </c>
      <c r="J54" s="5">
        <f>(H45-E54)*H54</f>
        <v>0</v>
      </c>
      <c r="K54" s="58" t="e">
        <f>(H45/E54)-1</f>
        <v>#DIV/0!</v>
      </c>
      <c r="O54" t="s">
        <v>25</v>
      </c>
      <c r="P54" t="str">
        <f t="shared" si="9"/>
        <v>1099:HK</v>
      </c>
      <c r="Q54" t="str">
        <f t="shared" si="8"/>
        <v>SC1099:HK</v>
      </c>
    </row>
    <row r="55" spans="1:19" x14ac:dyDescent="0.25">
      <c r="B55" s="29"/>
      <c r="C55" s="30" t="s">
        <v>26</v>
      </c>
      <c r="D55" s="1">
        <f>SUMIF(Download!B:B,Q55,Download!G:G)</f>
        <v>0</v>
      </c>
      <c r="E55" s="31">
        <f>SUMIF(Download!B:B,Q55,Download!H:H)</f>
        <v>0</v>
      </c>
      <c r="F55" s="2">
        <f t="shared" si="7"/>
        <v>0</v>
      </c>
      <c r="G55" s="12"/>
      <c r="H55" s="1"/>
      <c r="I55" s="5">
        <f>H55*H45</f>
        <v>0</v>
      </c>
      <c r="J55" s="5">
        <f>(H45-E55)*H55</f>
        <v>0</v>
      </c>
      <c r="K55" s="58" t="e">
        <f>(H45/E55)-1</f>
        <v>#DIV/0!</v>
      </c>
      <c r="L55" s="13"/>
      <c r="O55" t="s">
        <v>27</v>
      </c>
      <c r="P55" t="str">
        <f t="shared" si="9"/>
        <v>1099:HK</v>
      </c>
      <c r="Q55" t="str">
        <f t="shared" si="8"/>
        <v>SHK1099:HK</v>
      </c>
    </row>
    <row r="56" spans="1:19" x14ac:dyDescent="0.25">
      <c r="B56" s="29"/>
      <c r="C56" s="30" t="s">
        <v>28</v>
      </c>
      <c r="D56" s="1">
        <f>SUMIF(Download!B:B,Q56,Download!G:G)</f>
        <v>0</v>
      </c>
      <c r="E56" s="31">
        <f>SUMIF(Download!B:B,Q56,Download!H:H)</f>
        <v>0</v>
      </c>
      <c r="F56" s="2">
        <f t="shared" si="7"/>
        <v>0</v>
      </c>
      <c r="G56" s="12"/>
      <c r="H56" s="1"/>
      <c r="I56" s="5">
        <f>H56*H45</f>
        <v>0</v>
      </c>
      <c r="J56" s="5">
        <f>(H45-E56)*H56</f>
        <v>0</v>
      </c>
      <c r="K56" s="58" t="e">
        <f>(H45/E56)-1</f>
        <v>#DIV/0!</v>
      </c>
      <c r="O56" t="s">
        <v>29</v>
      </c>
      <c r="P56" t="str">
        <f t="shared" si="9"/>
        <v>1099:HK</v>
      </c>
      <c r="Q56" t="str">
        <f t="shared" si="8"/>
        <v>MST11099:HK</v>
      </c>
    </row>
    <row r="57" spans="1:19" x14ac:dyDescent="0.25">
      <c r="B57" s="29"/>
      <c r="C57" s="30" t="s">
        <v>30</v>
      </c>
      <c r="D57" s="1">
        <f>SUMIF(Download!B:B,Q57,Download!G:G)</f>
        <v>0</v>
      </c>
      <c r="E57" s="31">
        <f>SUMIF(Download!B:B,Q57,Download!H:H)</f>
        <v>0</v>
      </c>
      <c r="F57" s="2">
        <f t="shared" si="7"/>
        <v>0</v>
      </c>
      <c r="G57" s="12"/>
      <c r="H57" s="1"/>
      <c r="I57" s="5">
        <f>H57*H45</f>
        <v>0</v>
      </c>
      <c r="J57" s="5">
        <f>(H45-E57)*H57</f>
        <v>0</v>
      </c>
      <c r="K57" s="58" t="e">
        <f>(H45/E57)-1</f>
        <v>#DIV/0!</v>
      </c>
      <c r="O57" t="s">
        <v>32</v>
      </c>
      <c r="P57" t="str">
        <f t="shared" si="9"/>
        <v>1099:HK</v>
      </c>
      <c r="Q57" t="str">
        <f t="shared" si="8"/>
        <v>MST21099:HK</v>
      </c>
    </row>
    <row r="58" spans="1:19" x14ac:dyDescent="0.25">
      <c r="B58" s="29"/>
      <c r="C58" s="30" t="s">
        <v>33</v>
      </c>
      <c r="D58" s="1">
        <f>SUMIF(Download!B:B,Q58,Download!G:G)</f>
        <v>0</v>
      </c>
      <c r="E58" s="31">
        <f>SUMIF(Download!B:B,Q58,Download!H:H)</f>
        <v>0</v>
      </c>
      <c r="F58" s="2">
        <f t="shared" si="7"/>
        <v>0</v>
      </c>
      <c r="G58" s="12"/>
      <c r="H58" s="1"/>
      <c r="I58" s="5">
        <f>H58*H45</f>
        <v>0</v>
      </c>
      <c r="J58" s="5">
        <f>(H45-E58)*H58</f>
        <v>0</v>
      </c>
      <c r="K58" s="58" t="e">
        <f>(H45/E58)-1</f>
        <v>#DIV/0!</v>
      </c>
      <c r="O58" t="s">
        <v>34</v>
      </c>
      <c r="P58" t="str">
        <f t="shared" si="9"/>
        <v>1099:HK</v>
      </c>
      <c r="Q58" t="str">
        <f t="shared" si="8"/>
        <v>MSPL1099:HK</v>
      </c>
    </row>
    <row r="59" spans="1:19" x14ac:dyDescent="0.25">
      <c r="B59" s="29"/>
      <c r="C59" s="32"/>
      <c r="D59" s="11"/>
      <c r="E59" s="33"/>
      <c r="F59" s="12"/>
      <c r="G59" s="12"/>
      <c r="H59" s="12"/>
      <c r="I59" s="12"/>
      <c r="J59" s="12"/>
      <c r="K59" s="12"/>
    </row>
    <row r="60" spans="1:19" ht="15.75" customHeight="1" thickBot="1" x14ac:dyDescent="0.3">
      <c r="C60" s="34" t="s">
        <v>35</v>
      </c>
      <c r="D60" s="10">
        <f>SUM(D45:D59)</f>
        <v>0</v>
      </c>
      <c r="E60" s="35" t="e">
        <f>F60/D60</f>
        <v>#DIV/0!</v>
      </c>
      <c r="F60" s="4">
        <f>SUM(F45:F59)</f>
        <v>0</v>
      </c>
      <c r="G60" s="14"/>
      <c r="H60" s="14"/>
      <c r="I60" s="14"/>
      <c r="J60" s="14"/>
      <c r="K60" s="14"/>
    </row>
    <row r="61" spans="1:19" ht="15.75" customHeight="1" thickTop="1" x14ac:dyDescent="0.25">
      <c r="D61" s="36"/>
    </row>
    <row r="62" spans="1:19" ht="18.75" customHeight="1" x14ac:dyDescent="0.3">
      <c r="A62" s="17"/>
      <c r="L62" s="18" t="s">
        <v>1</v>
      </c>
      <c r="M62" s="59">
        <v>44720</v>
      </c>
      <c r="N62" s="60"/>
    </row>
    <row r="63" spans="1:19" x14ac:dyDescent="0.25">
      <c r="L63" s="18" t="s">
        <v>2</v>
      </c>
      <c r="M63" s="20" t="s">
        <v>94</v>
      </c>
      <c r="N63" s="20"/>
      <c r="R63" s="21"/>
    </row>
    <row r="64" spans="1:19" ht="18.75" customHeight="1" x14ac:dyDescent="0.3">
      <c r="A64" s="22">
        <v>4</v>
      </c>
      <c r="B64" s="17" t="str">
        <f>INDEX(Stocks!A:B,MATCH(P65,Stocks!A:A,),2)&amp;" ("&amp;P65&amp;")"</f>
        <v>Shanghai Fosun (2196:HK)</v>
      </c>
      <c r="C64" s="17"/>
      <c r="G64" s="16" t="s">
        <v>162</v>
      </c>
      <c r="H64" s="57"/>
      <c r="L64" s="18" t="s">
        <v>4</v>
      </c>
      <c r="M64" s="19">
        <v>44746</v>
      </c>
      <c r="N64" s="19"/>
      <c r="R64" s="23"/>
      <c r="S64" s="37"/>
    </row>
    <row r="65" spans="1:17" x14ac:dyDescent="0.25">
      <c r="A65" s="25"/>
      <c r="C65" s="26" t="s">
        <v>5</v>
      </c>
      <c r="D65" s="26" t="s">
        <v>6</v>
      </c>
      <c r="E65" s="26" t="s">
        <v>7</v>
      </c>
      <c r="F65" s="27" t="s">
        <v>8</v>
      </c>
      <c r="G65" s="24"/>
      <c r="H65" s="26" t="s">
        <v>163</v>
      </c>
      <c r="I65" s="27" t="s">
        <v>164</v>
      </c>
      <c r="J65" s="26" t="str">
        <f>IF(COUNTIF(J66:J77,"&gt;0")&lt;&gt;0,IF(COUNTIF(J66:J77,"&lt;0")&lt;&gt;0,"Gain / Loss", "Gain"),"Loss")</f>
        <v>Loss</v>
      </c>
      <c r="K65" s="26" t="str">
        <f>"% "&amp;IF(COUNTIF(K66:K77,"&gt;=0")&lt;&gt;0,IF(COUNTIF(K66:K77,"&lt;0")&lt;&gt;0,"Gain / Loss", "Gain"),"Loss")</f>
        <v>% Loss</v>
      </c>
      <c r="O65" s="28"/>
      <c r="P65" t="s">
        <v>95</v>
      </c>
    </row>
    <row r="66" spans="1:17" x14ac:dyDescent="0.25">
      <c r="B66" s="29"/>
      <c r="C66" s="30" t="s">
        <v>166</v>
      </c>
      <c r="D66" s="1">
        <f>SUMIF(Download!B:B,Q66,Download!G:G)</f>
        <v>0</v>
      </c>
      <c r="E66" s="31">
        <f>SUMIF(Download!B:B,Q66,Download!H:H)</f>
        <v>0</v>
      </c>
      <c r="F66" s="5">
        <f t="shared" ref="F66:F77" si="10">D66*E66</f>
        <v>0</v>
      </c>
      <c r="G66" s="12"/>
      <c r="H66" s="1">
        <v>3000</v>
      </c>
      <c r="I66" s="5">
        <f>H66*H64</f>
        <v>0</v>
      </c>
      <c r="J66" s="5">
        <f>(H64-E66)*H66</f>
        <v>0</v>
      </c>
      <c r="K66" s="58" t="e">
        <f>(H64/E66)-1</f>
        <v>#DIV/0!</v>
      </c>
      <c r="L66" s="13"/>
      <c r="O66" t="s">
        <v>167</v>
      </c>
      <c r="P66" t="str">
        <f>P65</f>
        <v>2196:HK</v>
      </c>
      <c r="Q66" t="str">
        <f t="shared" ref="Q66:Q77" si="11">O66&amp;P66</f>
        <v>CBSG2196:HK</v>
      </c>
    </row>
    <row r="67" spans="1:17" x14ac:dyDescent="0.25">
      <c r="B67" s="29"/>
      <c r="C67" s="30" t="s">
        <v>12</v>
      </c>
      <c r="D67" s="1">
        <f>SUMIF(Download!B:B,Q67,Download!G:G)</f>
        <v>0</v>
      </c>
      <c r="E67" s="31">
        <f>SUMIF(Download!B:B,Q67,Download!H:H)</f>
        <v>0</v>
      </c>
      <c r="F67" s="5">
        <f t="shared" si="10"/>
        <v>0</v>
      </c>
      <c r="G67" s="12"/>
      <c r="H67" s="1">
        <f>H66</f>
        <v>3000</v>
      </c>
      <c r="I67" s="5">
        <f>H67*H64</f>
        <v>0</v>
      </c>
      <c r="J67" s="5">
        <f>(H64-E67)*H67</f>
        <v>0</v>
      </c>
      <c r="K67" s="58" t="e">
        <f>(H64/E67)-1</f>
        <v>#DIV/0!</v>
      </c>
      <c r="L67" s="13"/>
      <c r="O67" t="s">
        <v>13</v>
      </c>
      <c r="P67" t="str">
        <f>P65</f>
        <v>2196:HK</v>
      </c>
      <c r="Q67" t="str">
        <f t="shared" si="11"/>
        <v>CB22196:HK</v>
      </c>
    </row>
    <row r="68" spans="1:17" x14ac:dyDescent="0.25">
      <c r="B68" s="29"/>
      <c r="C68" s="30" t="s">
        <v>14</v>
      </c>
      <c r="D68" s="1">
        <f>SUMIF(Download!B:B,Q68,Download!G:G)</f>
        <v>0</v>
      </c>
      <c r="E68" s="31">
        <f>SUMIF(Download!B:B,Q68,Download!H:H)</f>
        <v>0</v>
      </c>
      <c r="F68" s="5">
        <f t="shared" si="10"/>
        <v>0</v>
      </c>
      <c r="G68" s="12"/>
      <c r="H68" s="1">
        <f t="shared" ref="H68:H77" si="12">H67</f>
        <v>3000</v>
      </c>
      <c r="I68" s="5">
        <f>H68*H64</f>
        <v>0</v>
      </c>
      <c r="J68" s="5">
        <f>(H64-E68)*H68</f>
        <v>0</v>
      </c>
      <c r="K68" s="58" t="e">
        <f>(H64/E68)-1</f>
        <v>#DIV/0!</v>
      </c>
      <c r="L68" s="13"/>
      <c r="O68" t="s">
        <v>15</v>
      </c>
      <c r="P68" t="str">
        <f>P66</f>
        <v>2196:HK</v>
      </c>
      <c r="Q68" t="str">
        <f t="shared" si="11"/>
        <v>CB32196:HK</v>
      </c>
    </row>
    <row r="69" spans="1:17" x14ac:dyDescent="0.25">
      <c r="B69" s="29"/>
      <c r="C69" s="30" t="s">
        <v>16</v>
      </c>
      <c r="D69" s="1">
        <f>SUMIF(Download!B:B,Q69,Download!G:G)</f>
        <v>0</v>
      </c>
      <c r="E69" s="31">
        <f>SUMIF(Download!B:B,Q69,Download!H:H)</f>
        <v>0</v>
      </c>
      <c r="F69" s="5">
        <f t="shared" si="10"/>
        <v>0</v>
      </c>
      <c r="G69" s="12"/>
      <c r="H69" s="1">
        <f t="shared" si="12"/>
        <v>3000</v>
      </c>
      <c r="I69" s="5">
        <f>H69*H64</f>
        <v>0</v>
      </c>
      <c r="J69" s="5">
        <f>(H64-E69)*H69</f>
        <v>0</v>
      </c>
      <c r="K69" s="58" t="e">
        <f>(H64/E69)-1</f>
        <v>#DIV/0!</v>
      </c>
      <c r="L69" s="13"/>
      <c r="O69" t="s">
        <v>17</v>
      </c>
      <c r="P69" t="str">
        <f t="shared" ref="P69:P77" si="13">P68</f>
        <v>2196:HK</v>
      </c>
      <c r="Q69" t="str">
        <f t="shared" si="11"/>
        <v>CBBH2196:HK</v>
      </c>
    </row>
    <row r="70" spans="1:17" x14ac:dyDescent="0.25">
      <c r="B70" s="29"/>
      <c r="C70" s="30" t="s">
        <v>18</v>
      </c>
      <c r="D70" s="1">
        <f>SUMIF(Download!B:B,Q70,Download!G:G)</f>
        <v>0</v>
      </c>
      <c r="E70" s="31">
        <f>SUMIF(Download!B:B,Q70,Download!H:H)</f>
        <v>0</v>
      </c>
      <c r="F70" s="5">
        <f t="shared" si="10"/>
        <v>0</v>
      </c>
      <c r="G70" s="12"/>
      <c r="H70" s="1">
        <f t="shared" si="12"/>
        <v>3000</v>
      </c>
      <c r="I70" s="5">
        <f>H70*H64</f>
        <v>0</v>
      </c>
      <c r="J70" s="5">
        <f>(H64-E70)*H70</f>
        <v>0</v>
      </c>
      <c r="K70" s="58" t="e">
        <f>(H64/E70)-1</f>
        <v>#DIV/0!</v>
      </c>
      <c r="L70" s="13"/>
      <c r="O70" t="s">
        <v>19</v>
      </c>
      <c r="P70" t="str">
        <f t="shared" si="13"/>
        <v>2196:HK</v>
      </c>
      <c r="Q70" t="str">
        <f t="shared" si="11"/>
        <v>BOS2196:HK</v>
      </c>
    </row>
    <row r="71" spans="1:17" x14ac:dyDescent="0.25">
      <c r="B71" s="29"/>
      <c r="C71" s="30" t="s">
        <v>20</v>
      </c>
      <c r="D71" s="1">
        <f>SUMIF(Download!B:B,Q71,Download!G:G)</f>
        <v>0</v>
      </c>
      <c r="E71" s="31">
        <f>SUMIF(Download!B:B,Q71,Download!H:H)</f>
        <v>0</v>
      </c>
      <c r="F71" s="5">
        <f t="shared" si="10"/>
        <v>0</v>
      </c>
      <c r="G71" s="12"/>
      <c r="H71" s="1">
        <f t="shared" si="12"/>
        <v>3000</v>
      </c>
      <c r="I71" s="5">
        <f>H71*H64</f>
        <v>0</v>
      </c>
      <c r="J71" s="5">
        <f>(H64-E71)*H71</f>
        <v>0</v>
      </c>
      <c r="K71" s="58" t="e">
        <f>(H64/E71)-1</f>
        <v>#DIV/0!</v>
      </c>
      <c r="L71" s="13"/>
      <c r="O71" t="s">
        <v>21</v>
      </c>
      <c r="P71" t="str">
        <f t="shared" si="13"/>
        <v>2196:HK</v>
      </c>
      <c r="Q71" t="str">
        <f t="shared" si="11"/>
        <v>DBPe2196:HK</v>
      </c>
    </row>
    <row r="72" spans="1:17" x14ac:dyDescent="0.25">
      <c r="B72" s="29"/>
      <c r="C72" s="30" t="s">
        <v>22</v>
      </c>
      <c r="D72" s="1">
        <f>SUMIF(Download!B:B,Q72,Download!G:G)</f>
        <v>0</v>
      </c>
      <c r="E72" s="31">
        <f>SUMIF(Download!B:B,Q72,Download!H:H)</f>
        <v>0</v>
      </c>
      <c r="F72" s="5">
        <f t="shared" si="10"/>
        <v>0</v>
      </c>
      <c r="G72" s="12"/>
      <c r="H72" s="1">
        <f t="shared" si="12"/>
        <v>3000</v>
      </c>
      <c r="I72" s="5">
        <f>H72*H64</f>
        <v>0</v>
      </c>
      <c r="J72" s="5">
        <f>(H64-E72)*H72</f>
        <v>0</v>
      </c>
      <c r="K72" s="58" t="e">
        <f>(H64/E72)-1</f>
        <v>#DIV/0!</v>
      </c>
      <c r="L72" s="13"/>
      <c r="O72" t="s">
        <v>23</v>
      </c>
      <c r="P72" t="str">
        <f t="shared" si="13"/>
        <v>2196:HK</v>
      </c>
      <c r="Q72" t="str">
        <f t="shared" si="11"/>
        <v>DBPL2196:HK</v>
      </c>
    </row>
    <row r="73" spans="1:17" x14ac:dyDescent="0.25">
      <c r="B73" s="29"/>
      <c r="C73" s="30" t="s">
        <v>24</v>
      </c>
      <c r="D73" s="1">
        <f>SUMIF(Download!B:B,Q73,Download!G:G)</f>
        <v>0</v>
      </c>
      <c r="E73" s="31">
        <f>SUMIF(Download!B:B,Q73,Download!H:H)</f>
        <v>0</v>
      </c>
      <c r="F73" s="5">
        <f t="shared" si="10"/>
        <v>0</v>
      </c>
      <c r="G73" s="12"/>
      <c r="H73" s="1">
        <f t="shared" si="12"/>
        <v>3000</v>
      </c>
      <c r="I73" s="5">
        <f>H73*H64</f>
        <v>0</v>
      </c>
      <c r="J73" s="5">
        <f>(H64-E73)*H73</f>
        <v>0</v>
      </c>
      <c r="K73" s="58" t="e">
        <f>(H64/E73)-1</f>
        <v>#DIV/0!</v>
      </c>
      <c r="L73" s="13"/>
      <c r="O73" t="s">
        <v>25</v>
      </c>
      <c r="P73" t="str">
        <f t="shared" si="13"/>
        <v>2196:HK</v>
      </c>
      <c r="Q73" t="str">
        <f t="shared" si="11"/>
        <v>SC2196:HK</v>
      </c>
    </row>
    <row r="74" spans="1:17" x14ac:dyDescent="0.25">
      <c r="B74" s="29"/>
      <c r="C74" s="30" t="s">
        <v>26</v>
      </c>
      <c r="D74" s="1">
        <f>SUMIF(Download!B:B,Q74,Download!G:G)</f>
        <v>0</v>
      </c>
      <c r="E74" s="31">
        <f>SUMIF(Download!B:B,Q74,Download!H:H)</f>
        <v>0</v>
      </c>
      <c r="F74" s="5">
        <f t="shared" si="10"/>
        <v>0</v>
      </c>
      <c r="G74" s="12"/>
      <c r="H74" s="1">
        <f t="shared" si="12"/>
        <v>3000</v>
      </c>
      <c r="I74" s="5">
        <f>H74*H64</f>
        <v>0</v>
      </c>
      <c r="J74" s="5">
        <f>(H64-E74)*H74</f>
        <v>0</v>
      </c>
      <c r="K74" s="58" t="e">
        <f>(H64/E74)-1</f>
        <v>#DIV/0!</v>
      </c>
      <c r="L74" s="13" t="s">
        <v>96</v>
      </c>
      <c r="O74" t="s">
        <v>27</v>
      </c>
      <c r="P74" t="str">
        <f t="shared" si="13"/>
        <v>2196:HK</v>
      </c>
      <c r="Q74" t="str">
        <f t="shared" si="11"/>
        <v>SHK2196:HK</v>
      </c>
    </row>
    <row r="75" spans="1:17" x14ac:dyDescent="0.25">
      <c r="B75" s="29"/>
      <c r="C75" s="30" t="s">
        <v>28</v>
      </c>
      <c r="D75" s="1">
        <f>SUMIF(Download!B:B,Q75,Download!G:G)</f>
        <v>0</v>
      </c>
      <c r="E75" s="31">
        <f>SUMIF(Download!B:B,Q75,Download!H:H)</f>
        <v>0</v>
      </c>
      <c r="F75" s="5">
        <f t="shared" si="10"/>
        <v>0</v>
      </c>
      <c r="G75" s="12"/>
      <c r="H75" s="1">
        <f t="shared" si="12"/>
        <v>3000</v>
      </c>
      <c r="I75" s="5">
        <f>H75*H64</f>
        <v>0</v>
      </c>
      <c r="J75" s="5">
        <f>(H64-E75)*H75</f>
        <v>0</v>
      </c>
      <c r="K75" s="58" t="e">
        <f>(H64/E75)-1</f>
        <v>#DIV/0!</v>
      </c>
      <c r="L75" s="13"/>
      <c r="O75" t="s">
        <v>29</v>
      </c>
      <c r="P75" t="str">
        <f t="shared" si="13"/>
        <v>2196:HK</v>
      </c>
      <c r="Q75" t="str">
        <f t="shared" si="11"/>
        <v>MST12196:HK</v>
      </c>
    </row>
    <row r="76" spans="1:17" x14ac:dyDescent="0.25">
      <c r="B76" s="29"/>
      <c r="C76" s="30" t="s">
        <v>30</v>
      </c>
      <c r="D76" s="1">
        <f>SUMIF(Download!B:B,Q76,Download!G:G)</f>
        <v>0</v>
      </c>
      <c r="E76" s="31">
        <f>SUMIF(Download!B:B,Q76,Download!H:H)</f>
        <v>0</v>
      </c>
      <c r="F76" s="5">
        <f t="shared" si="10"/>
        <v>0</v>
      </c>
      <c r="G76" s="12"/>
      <c r="H76" s="1">
        <f t="shared" si="12"/>
        <v>3000</v>
      </c>
      <c r="I76" s="5">
        <f>H76*H64</f>
        <v>0</v>
      </c>
      <c r="J76" s="5">
        <f>(H64-E76)*H76</f>
        <v>0</v>
      </c>
      <c r="K76" s="58" t="e">
        <f>(H64/E76)-1</f>
        <v>#DIV/0!</v>
      </c>
      <c r="L76" s="13"/>
      <c r="O76" t="s">
        <v>32</v>
      </c>
      <c r="P76" t="str">
        <f t="shared" si="13"/>
        <v>2196:HK</v>
      </c>
      <c r="Q76" t="str">
        <f t="shared" si="11"/>
        <v>MST22196:HK</v>
      </c>
    </row>
    <row r="77" spans="1:17" x14ac:dyDescent="0.25">
      <c r="B77" s="29"/>
      <c r="C77" s="30" t="s">
        <v>33</v>
      </c>
      <c r="D77" s="1">
        <f>SUMIF(Download!B:B,Q77,Download!G:G)</f>
        <v>0</v>
      </c>
      <c r="E77" s="31">
        <f>SUMIF(Download!B:B,Q77,Download!H:H)</f>
        <v>0</v>
      </c>
      <c r="F77" s="5">
        <f t="shared" si="10"/>
        <v>0</v>
      </c>
      <c r="G77" s="12"/>
      <c r="H77" s="1">
        <f t="shared" si="12"/>
        <v>3000</v>
      </c>
      <c r="I77" s="5">
        <f>H77*H64</f>
        <v>0</v>
      </c>
      <c r="J77" s="5">
        <f>(H64-E77)*H77</f>
        <v>0</v>
      </c>
      <c r="K77" s="58" t="e">
        <f>(H64/E77)-1</f>
        <v>#DIV/0!</v>
      </c>
      <c r="L77" s="13"/>
      <c r="O77" t="s">
        <v>34</v>
      </c>
      <c r="P77" t="str">
        <f t="shared" si="13"/>
        <v>2196:HK</v>
      </c>
      <c r="Q77" t="str">
        <f t="shared" si="11"/>
        <v>MSPL2196:HK</v>
      </c>
    </row>
    <row r="78" spans="1:17" x14ac:dyDescent="0.25">
      <c r="B78" s="29"/>
      <c r="C78" s="32"/>
      <c r="D78" s="11"/>
      <c r="E78" s="33"/>
      <c r="F78" s="12"/>
      <c r="G78" s="12"/>
      <c r="H78" s="12"/>
      <c r="I78" s="12"/>
      <c r="J78" s="12"/>
      <c r="K78" s="12"/>
      <c r="L78" s="13"/>
    </row>
    <row r="79" spans="1:17" ht="15.75" customHeight="1" thickBot="1" x14ac:dyDescent="0.3">
      <c r="C79" s="34" t="s">
        <v>35</v>
      </c>
      <c r="D79" s="10">
        <f>SUM(D65:D78)</f>
        <v>0</v>
      </c>
      <c r="E79" s="35" t="e">
        <f>F79/D79</f>
        <v>#DIV/0!</v>
      </c>
      <c r="F79" s="4">
        <f>SUM(F65:F78)</f>
        <v>0</v>
      </c>
      <c r="G79" s="14"/>
      <c r="H79" s="14"/>
      <c r="I79" s="14"/>
      <c r="J79" s="14"/>
      <c r="K79" s="14"/>
      <c r="L79" s="51"/>
    </row>
    <row r="80" spans="1:17" ht="15.75" customHeight="1" thickTop="1" x14ac:dyDescent="0.25">
      <c r="D80" s="36"/>
    </row>
    <row r="81" spans="1:17" ht="15.75" customHeight="1" x14ac:dyDescent="0.25">
      <c r="C81" s="37"/>
      <c r="D81" s="9"/>
      <c r="E81" s="38"/>
      <c r="F81" s="14"/>
      <c r="G81" s="14"/>
      <c r="H81" s="14"/>
      <c r="I81" s="14"/>
      <c r="J81" s="14"/>
      <c r="K81" s="14"/>
    </row>
    <row r="82" spans="1:17" ht="15.75" customHeight="1" x14ac:dyDescent="0.25">
      <c r="D82" s="36"/>
    </row>
    <row r="83" spans="1:17" x14ac:dyDescent="0.25">
      <c r="D83" s="36"/>
      <c r="L83" s="18" t="s">
        <v>1</v>
      </c>
      <c r="M83" s="20">
        <v>44735</v>
      </c>
      <c r="N83" s="19"/>
    </row>
    <row r="84" spans="1:17" x14ac:dyDescent="0.25">
      <c r="D84" s="36"/>
      <c r="L84" s="18" t="s">
        <v>2</v>
      </c>
      <c r="M84" t="s">
        <v>97</v>
      </c>
      <c r="N84" s="20"/>
    </row>
    <row r="85" spans="1:17" ht="18.75" customHeight="1" x14ac:dyDescent="0.3">
      <c r="A85" s="22">
        <v>5</v>
      </c>
      <c r="B85" s="17" t="str">
        <f>INDEX(Stocks!A:B,MATCH(P86,Stocks!A:A,),2)&amp;" ("&amp;P86&amp;")"</f>
        <v>Jiangxi Copper (358:HK)</v>
      </c>
      <c r="C85" s="17"/>
      <c r="E85" s="21"/>
      <c r="F85" s="37"/>
      <c r="G85" s="16" t="s">
        <v>162</v>
      </c>
      <c r="H85" s="57"/>
      <c r="L85" s="18" t="s">
        <v>4</v>
      </c>
      <c r="M85" s="20">
        <v>44771</v>
      </c>
      <c r="N85" s="19"/>
    </row>
    <row r="86" spans="1:17" x14ac:dyDescent="0.25">
      <c r="A86" s="25"/>
      <c r="C86" s="26" t="s">
        <v>5</v>
      </c>
      <c r="D86" s="26" t="s">
        <v>6</v>
      </c>
      <c r="E86" s="26" t="s">
        <v>7</v>
      </c>
      <c r="F86" s="26" t="s">
        <v>8</v>
      </c>
      <c r="G86" s="24"/>
      <c r="H86" s="26" t="s">
        <v>163</v>
      </c>
      <c r="I86" s="27" t="s">
        <v>164</v>
      </c>
      <c r="J86" s="26" t="str">
        <f>IF(COUNTIF(J87:J98,"&gt;0")&lt;&gt;0,IF(COUNTIF(J87:J98,"&lt;0")&lt;&gt;0,"Gain / Loss", "Gain"),"Loss")</f>
        <v>Loss</v>
      </c>
      <c r="K86" s="26" t="str">
        <f>"% "&amp;IF(COUNTIF(K87:K98,"&gt;=0")&lt;&gt;0,IF(COUNTIF(K87:K98,"&lt;0")&lt;&gt;0,"Gain / Loss", "Gain"),"Loss")</f>
        <v>% Loss</v>
      </c>
      <c r="P86" t="s">
        <v>98</v>
      </c>
    </row>
    <row r="87" spans="1:17" x14ac:dyDescent="0.25">
      <c r="B87" s="29"/>
      <c r="C87" s="30" t="s">
        <v>166</v>
      </c>
      <c r="D87" s="1">
        <f>SUMIF(Download!B:B,Q87,Download!G:G)</f>
        <v>0</v>
      </c>
      <c r="E87" s="31">
        <f>SUMIF(Download!B:B,Q87,Download!H:H)</f>
        <v>0</v>
      </c>
      <c r="F87" s="2">
        <f t="shared" ref="F87:F98" si="14">D87*E87</f>
        <v>0</v>
      </c>
      <c r="G87" s="12"/>
      <c r="H87" s="1">
        <v>10000</v>
      </c>
      <c r="I87" s="5">
        <f>H87*H85</f>
        <v>0</v>
      </c>
      <c r="J87" s="5">
        <f>(H85-E87)*H87</f>
        <v>0</v>
      </c>
      <c r="K87" s="58" t="e">
        <f>(H85/E87)-1</f>
        <v>#DIV/0!</v>
      </c>
      <c r="O87" t="s">
        <v>167</v>
      </c>
      <c r="P87" t="str">
        <f>P86</f>
        <v>358:HK</v>
      </c>
      <c r="Q87" t="str">
        <f t="shared" ref="Q87:Q98" si="15">O87&amp;P87</f>
        <v>CBSG358:HK</v>
      </c>
    </row>
    <row r="88" spans="1:17" x14ac:dyDescent="0.25">
      <c r="B88" s="29"/>
      <c r="C88" s="30" t="s">
        <v>12</v>
      </c>
      <c r="D88" s="1">
        <f>SUMIF(Download!B:B,Q88,Download!G:G)</f>
        <v>0</v>
      </c>
      <c r="E88" s="31">
        <f>SUMIF(Download!B:B,Q88,Download!H:H)</f>
        <v>0</v>
      </c>
      <c r="F88" s="2">
        <f t="shared" si="14"/>
        <v>0</v>
      </c>
      <c r="G88" s="12"/>
      <c r="H88" s="1">
        <f>H87</f>
        <v>10000</v>
      </c>
      <c r="I88" s="5">
        <f>H88*H85</f>
        <v>0</v>
      </c>
      <c r="J88" s="5">
        <f>(H85-E88)*H88</f>
        <v>0</v>
      </c>
      <c r="K88" s="58" t="e">
        <f>(H85/E88)-1</f>
        <v>#DIV/0!</v>
      </c>
      <c r="O88" t="s">
        <v>13</v>
      </c>
      <c r="P88" t="str">
        <f>P87</f>
        <v>358:HK</v>
      </c>
      <c r="Q88" t="str">
        <f t="shared" si="15"/>
        <v>CB2358:HK</v>
      </c>
    </row>
    <row r="89" spans="1:17" x14ac:dyDescent="0.25">
      <c r="B89" s="29"/>
      <c r="C89" s="30" t="s">
        <v>14</v>
      </c>
      <c r="D89" s="1">
        <f>SUMIF(Download!B:B,Q89,Download!G:G)</f>
        <v>0</v>
      </c>
      <c r="E89" s="31">
        <f>SUMIF(Download!B:B,Q89,Download!H:H)</f>
        <v>0</v>
      </c>
      <c r="F89" s="2">
        <f t="shared" si="14"/>
        <v>0</v>
      </c>
      <c r="G89" s="12"/>
      <c r="H89" s="1">
        <f t="shared" ref="H89:H98" si="16">H88</f>
        <v>10000</v>
      </c>
      <c r="I89" s="5">
        <f>H89*H85</f>
        <v>0</v>
      </c>
      <c r="J89" s="5">
        <f>(H85-E89)*H89</f>
        <v>0</v>
      </c>
      <c r="K89" s="58" t="e">
        <f>(H85/E89)-1</f>
        <v>#DIV/0!</v>
      </c>
      <c r="L89" t="s">
        <v>99</v>
      </c>
      <c r="O89" t="s">
        <v>15</v>
      </c>
      <c r="P89" t="str">
        <f>P87</f>
        <v>358:HK</v>
      </c>
      <c r="Q89" t="str">
        <f t="shared" si="15"/>
        <v>CB3358:HK</v>
      </c>
    </row>
    <row r="90" spans="1:17" x14ac:dyDescent="0.25">
      <c r="B90" s="29"/>
      <c r="C90" s="30" t="s">
        <v>16</v>
      </c>
      <c r="D90" s="1">
        <f>SUMIF(Download!B:B,Q90,Download!G:G)</f>
        <v>0</v>
      </c>
      <c r="E90" s="31">
        <f>SUMIF(Download!B:B,Q90,Download!H:H)</f>
        <v>0</v>
      </c>
      <c r="F90" s="2">
        <f t="shared" si="14"/>
        <v>0</v>
      </c>
      <c r="G90" s="12"/>
      <c r="H90" s="1">
        <f t="shared" si="16"/>
        <v>10000</v>
      </c>
      <c r="I90" s="5">
        <f>H90*H85</f>
        <v>0</v>
      </c>
      <c r="J90" s="5">
        <f>(H85-E90)*H90</f>
        <v>0</v>
      </c>
      <c r="K90" s="58" t="e">
        <f>(H85/E90)-1</f>
        <v>#DIV/0!</v>
      </c>
      <c r="O90" t="s">
        <v>17</v>
      </c>
      <c r="P90" t="str">
        <f>P88</f>
        <v>358:HK</v>
      </c>
      <c r="Q90" t="str">
        <f t="shared" si="15"/>
        <v>CBBH358:HK</v>
      </c>
    </row>
    <row r="91" spans="1:17" x14ac:dyDescent="0.25">
      <c r="B91" s="29"/>
      <c r="C91" s="30" t="s">
        <v>18</v>
      </c>
      <c r="D91" s="1">
        <f>SUMIF(Download!B:B,Q91,Download!G:G)</f>
        <v>0</v>
      </c>
      <c r="E91" s="31">
        <f>SUMIF(Download!B:B,Q91,Download!H:H)</f>
        <v>0</v>
      </c>
      <c r="F91" s="2">
        <f t="shared" si="14"/>
        <v>0</v>
      </c>
      <c r="G91" s="12"/>
      <c r="H91" s="1">
        <f t="shared" si="16"/>
        <v>10000</v>
      </c>
      <c r="I91" s="5">
        <f>H91*H85</f>
        <v>0</v>
      </c>
      <c r="J91" s="5">
        <f>(H85-E91)*H91</f>
        <v>0</v>
      </c>
      <c r="K91" s="58" t="e">
        <f>(H85/E91)-1</f>
        <v>#DIV/0!</v>
      </c>
      <c r="O91" t="s">
        <v>19</v>
      </c>
      <c r="P91" t="str">
        <f t="shared" ref="P91:P98" si="17">P90</f>
        <v>358:HK</v>
      </c>
      <c r="Q91" t="str">
        <f t="shared" si="15"/>
        <v>BOS358:HK</v>
      </c>
    </row>
    <row r="92" spans="1:17" x14ac:dyDescent="0.25">
      <c r="B92" s="29"/>
      <c r="C92" s="30" t="s">
        <v>20</v>
      </c>
      <c r="D92" s="1">
        <f>SUMIF(Download!B:B,Q92,Download!G:G)</f>
        <v>0</v>
      </c>
      <c r="E92" s="31">
        <f>SUMIF(Download!B:B,Q92,Download!H:H)</f>
        <v>0</v>
      </c>
      <c r="F92" s="2">
        <f t="shared" si="14"/>
        <v>0</v>
      </c>
      <c r="G92" s="12"/>
      <c r="H92" s="1">
        <f t="shared" si="16"/>
        <v>10000</v>
      </c>
      <c r="I92" s="5">
        <f>H92*H85</f>
        <v>0</v>
      </c>
      <c r="J92" s="5">
        <f>(H85-E92)*H92</f>
        <v>0</v>
      </c>
      <c r="K92" s="58" t="e">
        <f>(H85/E92)-1</f>
        <v>#DIV/0!</v>
      </c>
      <c r="O92" t="s">
        <v>21</v>
      </c>
      <c r="P92" t="str">
        <f t="shared" si="17"/>
        <v>358:HK</v>
      </c>
      <c r="Q92" t="str">
        <f t="shared" si="15"/>
        <v>DBPe358:HK</v>
      </c>
    </row>
    <row r="93" spans="1:17" x14ac:dyDescent="0.25">
      <c r="B93" s="29"/>
      <c r="C93" s="30" t="s">
        <v>22</v>
      </c>
      <c r="D93" s="1">
        <f>SUMIF(Download!B:B,Q93,Download!G:G)</f>
        <v>0</v>
      </c>
      <c r="E93" s="31">
        <f>SUMIF(Download!B:B,Q93,Download!H:H)</f>
        <v>0</v>
      </c>
      <c r="F93" s="2">
        <f t="shared" si="14"/>
        <v>0</v>
      </c>
      <c r="G93" s="12"/>
      <c r="H93" s="1">
        <f t="shared" si="16"/>
        <v>10000</v>
      </c>
      <c r="I93" s="5">
        <f>H93*H85</f>
        <v>0</v>
      </c>
      <c r="J93" s="5">
        <f>(H85-E93)*H93</f>
        <v>0</v>
      </c>
      <c r="K93" s="58" t="e">
        <f>(H85/E93)-1</f>
        <v>#DIV/0!</v>
      </c>
      <c r="O93" t="s">
        <v>23</v>
      </c>
      <c r="P93" t="str">
        <f t="shared" si="17"/>
        <v>358:HK</v>
      </c>
      <c r="Q93" t="str">
        <f t="shared" si="15"/>
        <v>DBPL358:HK</v>
      </c>
    </row>
    <row r="94" spans="1:17" x14ac:dyDescent="0.25">
      <c r="B94" s="29"/>
      <c r="C94" s="30" t="s">
        <v>24</v>
      </c>
      <c r="D94" s="1">
        <f>SUMIF(Download!B:B,Q94,Download!G:G)</f>
        <v>0</v>
      </c>
      <c r="E94" s="31">
        <f>SUMIF(Download!B:B,Q94,Download!H:H)</f>
        <v>0</v>
      </c>
      <c r="F94" s="2">
        <f t="shared" si="14"/>
        <v>0</v>
      </c>
      <c r="G94" s="12"/>
      <c r="H94" s="1">
        <f t="shared" si="16"/>
        <v>10000</v>
      </c>
      <c r="I94" s="5">
        <f>H94*H85</f>
        <v>0</v>
      </c>
      <c r="J94" s="5">
        <f>(H85-E94)*H94</f>
        <v>0</v>
      </c>
      <c r="K94" s="58" t="e">
        <f>(H85/E94)-1</f>
        <v>#DIV/0!</v>
      </c>
      <c r="O94" t="s">
        <v>25</v>
      </c>
      <c r="P94" t="str">
        <f t="shared" si="17"/>
        <v>358:HK</v>
      </c>
      <c r="Q94" t="str">
        <f t="shared" si="15"/>
        <v>SC358:HK</v>
      </c>
    </row>
    <row r="95" spans="1:17" x14ac:dyDescent="0.25">
      <c r="B95" s="29"/>
      <c r="C95" s="30" t="s">
        <v>26</v>
      </c>
      <c r="D95" s="1">
        <f>SUMIF(Download!B:B,Q95,Download!G:G)</f>
        <v>0</v>
      </c>
      <c r="E95" s="31">
        <f>SUMIF(Download!B:B,Q95,Download!H:H)</f>
        <v>0</v>
      </c>
      <c r="F95" s="2">
        <f t="shared" si="14"/>
        <v>0</v>
      </c>
      <c r="G95" s="12"/>
      <c r="H95" s="1">
        <f t="shared" si="16"/>
        <v>10000</v>
      </c>
      <c r="I95" s="5">
        <f>H95*H85</f>
        <v>0</v>
      </c>
      <c r="J95" s="5">
        <f>(H85-E95)*H95</f>
        <v>0</v>
      </c>
      <c r="K95" s="58" t="e">
        <f>(H85/E95)-1</f>
        <v>#DIV/0!</v>
      </c>
      <c r="L95" s="13"/>
      <c r="O95" t="s">
        <v>27</v>
      </c>
      <c r="P95" t="str">
        <f t="shared" si="17"/>
        <v>358:HK</v>
      </c>
      <c r="Q95" t="str">
        <f t="shared" si="15"/>
        <v>SHK358:HK</v>
      </c>
    </row>
    <row r="96" spans="1:17" x14ac:dyDescent="0.25">
      <c r="B96" s="29"/>
      <c r="C96" s="30" t="s">
        <v>28</v>
      </c>
      <c r="D96" s="1">
        <f>SUMIF(Download!B:B,Q96,Download!G:G)</f>
        <v>0</v>
      </c>
      <c r="E96" s="31">
        <f>SUMIF(Download!B:B,Q96,Download!H:H)</f>
        <v>0</v>
      </c>
      <c r="F96" s="2">
        <f t="shared" si="14"/>
        <v>0</v>
      </c>
      <c r="G96" s="12"/>
      <c r="H96" s="1">
        <f t="shared" si="16"/>
        <v>10000</v>
      </c>
      <c r="I96" s="5">
        <f>H96*H85</f>
        <v>0</v>
      </c>
      <c r="J96" s="5">
        <f>(H85-E96)*H96</f>
        <v>0</v>
      </c>
      <c r="K96" s="58" t="e">
        <f>(H85/E96)-1</f>
        <v>#DIV/0!</v>
      </c>
      <c r="O96" t="s">
        <v>29</v>
      </c>
      <c r="P96" t="str">
        <f t="shared" si="17"/>
        <v>358:HK</v>
      </c>
      <c r="Q96" t="str">
        <f t="shared" si="15"/>
        <v>MST1358:HK</v>
      </c>
    </row>
    <row r="97" spans="2:17" x14ac:dyDescent="0.25">
      <c r="B97" s="29"/>
      <c r="C97" s="30" t="s">
        <v>30</v>
      </c>
      <c r="D97" s="1">
        <f>SUMIF(Download!B:B,Q97,Download!G:G)</f>
        <v>0</v>
      </c>
      <c r="E97" s="31">
        <f>SUMIF(Download!B:B,Q97,Download!H:H)</f>
        <v>0</v>
      </c>
      <c r="F97" s="2">
        <f t="shared" si="14"/>
        <v>0</v>
      </c>
      <c r="G97" s="12"/>
      <c r="H97" s="1">
        <f t="shared" si="16"/>
        <v>10000</v>
      </c>
      <c r="I97" s="5">
        <f>H97*H85</f>
        <v>0</v>
      </c>
      <c r="J97" s="5">
        <f>(H85-E97)*H97</f>
        <v>0</v>
      </c>
      <c r="K97" s="58" t="e">
        <f>(H85/E97)-1</f>
        <v>#DIV/0!</v>
      </c>
      <c r="O97" t="s">
        <v>32</v>
      </c>
      <c r="P97" t="str">
        <f t="shared" si="17"/>
        <v>358:HK</v>
      </c>
      <c r="Q97" t="str">
        <f t="shared" si="15"/>
        <v>MST2358:HK</v>
      </c>
    </row>
    <row r="98" spans="2:17" x14ac:dyDescent="0.25">
      <c r="B98" s="29"/>
      <c r="C98" s="30" t="s">
        <v>33</v>
      </c>
      <c r="D98" s="1">
        <f>SUMIF(Download!B:B,Q98,Download!G:G)</f>
        <v>0</v>
      </c>
      <c r="E98" s="31">
        <f>SUMIF(Download!B:B,Q98,Download!H:H)</f>
        <v>0</v>
      </c>
      <c r="F98" s="2">
        <f t="shared" si="14"/>
        <v>0</v>
      </c>
      <c r="G98" s="12"/>
      <c r="H98" s="1">
        <f t="shared" si="16"/>
        <v>10000</v>
      </c>
      <c r="I98" s="5">
        <f>H98*H85</f>
        <v>0</v>
      </c>
      <c r="J98" s="5">
        <f>(H85-E98)*H98</f>
        <v>0</v>
      </c>
      <c r="K98" s="58" t="e">
        <f>(H85/E98)-1</f>
        <v>#DIV/0!</v>
      </c>
      <c r="O98" t="s">
        <v>34</v>
      </c>
      <c r="P98" t="str">
        <f t="shared" si="17"/>
        <v>358:HK</v>
      </c>
      <c r="Q98" t="str">
        <f t="shared" si="15"/>
        <v>MSPL358:HK</v>
      </c>
    </row>
    <row r="99" spans="2:17" x14ac:dyDescent="0.25">
      <c r="B99" s="29"/>
      <c r="C99" s="32"/>
      <c r="D99" s="11"/>
      <c r="E99" s="33"/>
      <c r="F99" s="12"/>
      <c r="G99" s="12"/>
      <c r="H99" s="12"/>
      <c r="I99" s="12"/>
      <c r="J99" s="12"/>
      <c r="K99" s="12"/>
    </row>
    <row r="100" spans="2:17" ht="15.75" customHeight="1" thickBot="1" x14ac:dyDescent="0.3">
      <c r="C100" s="34" t="s">
        <v>35</v>
      </c>
      <c r="D100" s="10">
        <f>SUM(D85:D99)</f>
        <v>0</v>
      </c>
      <c r="E100" s="35" t="e">
        <f>F100/D100</f>
        <v>#DIV/0!</v>
      </c>
      <c r="F100" s="4">
        <f>SUM(F85:F99)</f>
        <v>0</v>
      </c>
      <c r="G100" s="14"/>
      <c r="H100" s="14"/>
      <c r="I100" s="14"/>
      <c r="J100" s="14"/>
      <c r="K100" s="14"/>
    </row>
    <row r="101" spans="2:17" ht="15.75" customHeight="1" thickTop="1" x14ac:dyDescent="0.25">
      <c r="C101" s="37"/>
      <c r="D101" s="9"/>
      <c r="E101" s="38"/>
      <c r="F101" s="14"/>
      <c r="G101" s="14"/>
      <c r="H101" s="14"/>
      <c r="I101" s="14"/>
      <c r="J101" s="14"/>
      <c r="K101" s="14"/>
    </row>
    <row r="102" spans="2:17" x14ac:dyDescent="0.25">
      <c r="D102" s="36"/>
      <c r="L102" s="18"/>
      <c r="M102" s="19"/>
      <c r="N102" s="19"/>
    </row>
    <row r="103" spans="2:17" x14ac:dyDescent="0.25">
      <c r="D103" s="36"/>
      <c r="L103" s="18"/>
      <c r="M103" s="20"/>
      <c r="N103" s="20"/>
    </row>
    <row r="104" spans="2:17" ht="15.75" customHeight="1" x14ac:dyDescent="0.25"/>
  </sheetData>
  <mergeCells count="3">
    <mergeCell ref="M62:N62"/>
    <mergeCell ref="M24:N24"/>
    <mergeCell ref="L1:M2"/>
  </mergeCells>
  <pageMargins left="0.19685039370078741" right="0.19685039370078741" top="0.23622047244094491" bottom="0.15748031496062992" header="0.31496062992125984" footer="0.31496062992125984"/>
  <pageSetup paperSize="10001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82"/>
  <sheetViews>
    <sheetView view="pageBreakPreview" zoomScaleNormal="100" zoomScaleSheetLayoutView="100" workbookViewId="0">
      <selection activeCell="E23" sqref="E23"/>
    </sheetView>
  </sheetViews>
  <sheetFormatPr defaultColWidth="9.140625" defaultRowHeight="15" x14ac:dyDescent="0.25"/>
  <cols>
    <col min="1" max="1" width="5.42578125" style="16" customWidth="1"/>
    <col min="2" max="2" width="3.5703125" style="16" customWidth="1"/>
    <col min="3" max="3" width="28.28515625" style="16" bestFit="1" customWidth="1"/>
    <col min="4" max="4" width="10.140625" style="16" bestFit="1" customWidth="1"/>
    <col min="5" max="5" width="9.28515625" style="16" bestFit="1" customWidth="1"/>
    <col min="6" max="6" width="12.7109375" style="16" hidden="1" customWidth="1"/>
    <col min="7" max="7" width="12.7109375" style="16" customWidth="1"/>
    <col min="8" max="9" width="17.28515625" style="16" customWidth="1"/>
    <col min="10" max="10" width="7" style="16" bestFit="1" customWidth="1"/>
    <col min="11" max="12" width="9.140625" style="16" customWidth="1"/>
    <col min="13" max="13" width="10.42578125" style="16" bestFit="1" customWidth="1"/>
    <col min="14" max="14" width="9.140625" style="16" customWidth="1"/>
  </cols>
  <sheetData>
    <row r="1" spans="1:14" ht="18.75" customHeight="1" x14ac:dyDescent="0.3">
      <c r="A1" s="17" t="s">
        <v>100</v>
      </c>
    </row>
    <row r="2" spans="1:14" ht="18.75" customHeight="1" x14ac:dyDescent="0.3">
      <c r="A2" s="17" t="str">
        <f>ALL!A1</f>
        <v>As of September 20, 2022</v>
      </c>
      <c r="G2" s="18"/>
      <c r="H2" s="59"/>
      <c r="I2" s="60"/>
    </row>
    <row r="3" spans="1:14" x14ac:dyDescent="0.25">
      <c r="G3" s="18"/>
      <c r="H3" s="20"/>
      <c r="I3" s="20"/>
      <c r="M3" s="21"/>
    </row>
    <row r="4" spans="1:14" ht="18.75" customHeight="1" x14ac:dyDescent="0.3">
      <c r="A4" s="22">
        <v>1</v>
      </c>
      <c r="B4" s="17" t="str">
        <f>INDEX(Stocks!A:B,MATCH(K5,Stocks!A:A,),2)&amp;" ("&amp;K5&amp;")"</f>
        <v>Cathay Pacific (293:HK)</v>
      </c>
      <c r="C4" s="17"/>
      <c r="G4" s="18"/>
      <c r="H4" s="39" t="s">
        <v>101</v>
      </c>
      <c r="I4" s="19"/>
      <c r="M4" s="23"/>
      <c r="N4" s="37"/>
    </row>
    <row r="5" spans="1:14" x14ac:dyDescent="0.25">
      <c r="A5" s="25"/>
      <c r="C5" s="26" t="s">
        <v>5</v>
      </c>
      <c r="D5" s="26" t="s">
        <v>6</v>
      </c>
      <c r="E5" s="26" t="s">
        <v>7</v>
      </c>
      <c r="F5" s="27" t="s">
        <v>8</v>
      </c>
      <c r="H5" s="26" t="s">
        <v>102</v>
      </c>
      <c r="J5" s="28"/>
      <c r="K5" t="s">
        <v>91</v>
      </c>
    </row>
    <row r="6" spans="1:14" x14ac:dyDescent="0.25">
      <c r="B6" s="29"/>
      <c r="C6" s="30" t="s">
        <v>10</v>
      </c>
      <c r="D6" s="1">
        <f>SUMIF(Download!B:B,L6,Download!G:G)</f>
        <v>0</v>
      </c>
      <c r="E6" s="31">
        <f>SUMIF(Download!B:B,L6,Download!H:H)</f>
        <v>0</v>
      </c>
      <c r="F6" s="5">
        <f t="shared" ref="F6:F17" si="0">D6*E6</f>
        <v>0</v>
      </c>
      <c r="G6" s="12"/>
      <c r="H6" s="31">
        <f t="shared" ref="H6:H17" si="1">E6-1</f>
        <v>-1</v>
      </c>
      <c r="J6" t="s">
        <v>11</v>
      </c>
      <c r="K6" t="str">
        <f>K5</f>
        <v>293:HK</v>
      </c>
      <c r="L6" t="str">
        <f t="shared" ref="L6:L17" si="2">J6&amp;K6</f>
        <v>CB1293:HK</v>
      </c>
    </row>
    <row r="7" spans="1:14" x14ac:dyDescent="0.25">
      <c r="B7" s="29"/>
      <c r="C7" s="30" t="s">
        <v>12</v>
      </c>
      <c r="D7" s="1">
        <f>SUMIF(Download!B:B,L7,Download!G:G)</f>
        <v>0</v>
      </c>
      <c r="E7" s="31">
        <f>SUMIF(Download!B:B,L7,Download!H:H)</f>
        <v>0</v>
      </c>
      <c r="F7" s="5">
        <f t="shared" si="0"/>
        <v>0</v>
      </c>
      <c r="G7" s="12"/>
      <c r="H7" s="31">
        <f t="shared" si="1"/>
        <v>-1</v>
      </c>
      <c r="J7" t="s">
        <v>13</v>
      </c>
      <c r="K7" t="str">
        <f>K6</f>
        <v>293:HK</v>
      </c>
      <c r="L7" t="str">
        <f t="shared" si="2"/>
        <v>CB2293:HK</v>
      </c>
    </row>
    <row r="8" spans="1:14" x14ac:dyDescent="0.25">
      <c r="B8" s="29"/>
      <c r="C8" s="30" t="s">
        <v>14</v>
      </c>
      <c r="D8" s="1">
        <f>SUMIF(Download!B:B,L8,Download!G:G)</f>
        <v>0</v>
      </c>
      <c r="E8" s="31">
        <f>SUMIF(Download!B:B,L8,Download!H:H)</f>
        <v>0</v>
      </c>
      <c r="F8" s="5">
        <f t="shared" si="0"/>
        <v>0</v>
      </c>
      <c r="G8" s="12"/>
      <c r="H8" s="31">
        <f t="shared" si="1"/>
        <v>-1</v>
      </c>
      <c r="J8" t="s">
        <v>15</v>
      </c>
      <c r="K8" t="str">
        <f>K6</f>
        <v>293:HK</v>
      </c>
      <c r="L8" t="str">
        <f t="shared" si="2"/>
        <v>CB3293:HK</v>
      </c>
    </row>
    <row r="9" spans="1:14" x14ac:dyDescent="0.25">
      <c r="B9" s="29"/>
      <c r="C9" s="30" t="s">
        <v>16</v>
      </c>
      <c r="D9" s="1">
        <f>SUMIF(Download!B:B,L9,Download!G:G)</f>
        <v>0</v>
      </c>
      <c r="E9" s="31">
        <f>SUMIF(Download!B:B,L9,Download!H:H)</f>
        <v>0</v>
      </c>
      <c r="F9" s="5">
        <f t="shared" si="0"/>
        <v>0</v>
      </c>
      <c r="G9" s="12"/>
      <c r="H9" s="31">
        <f t="shared" si="1"/>
        <v>-1</v>
      </c>
      <c r="J9" t="s">
        <v>17</v>
      </c>
      <c r="K9" t="str">
        <f>K7</f>
        <v>293:HK</v>
      </c>
      <c r="L9" t="str">
        <f t="shared" si="2"/>
        <v>CBBH293:HK</v>
      </c>
    </row>
    <row r="10" spans="1:14" x14ac:dyDescent="0.25">
      <c r="B10" s="29"/>
      <c r="C10" s="30" t="s">
        <v>18</v>
      </c>
      <c r="D10" s="1">
        <f>SUMIF(Download!B:B,L10,Download!G:G)</f>
        <v>0</v>
      </c>
      <c r="E10" s="31">
        <f>SUMIF(Download!B:B,L10,Download!H:H)</f>
        <v>0</v>
      </c>
      <c r="F10" s="5">
        <f t="shared" si="0"/>
        <v>0</v>
      </c>
      <c r="G10" s="12"/>
      <c r="H10" s="31">
        <f t="shared" si="1"/>
        <v>-1</v>
      </c>
      <c r="J10" t="s">
        <v>19</v>
      </c>
      <c r="K10" t="str">
        <f t="shared" ref="K10:K17" si="3">K9</f>
        <v>293:HK</v>
      </c>
      <c r="L10" t="str">
        <f t="shared" si="2"/>
        <v>BOS293:HK</v>
      </c>
    </row>
    <row r="11" spans="1:14" x14ac:dyDescent="0.25">
      <c r="B11" s="29"/>
      <c r="C11" s="30" t="s">
        <v>20</v>
      </c>
      <c r="D11" s="1">
        <f>SUMIF(Download!B:B,L11,Download!G:G)</f>
        <v>0</v>
      </c>
      <c r="E11" s="31">
        <f>SUMIF(Download!B:B,L11,Download!H:H)</f>
        <v>0</v>
      </c>
      <c r="F11" s="5">
        <f t="shared" si="0"/>
        <v>0</v>
      </c>
      <c r="G11" s="12"/>
      <c r="H11" s="31">
        <f t="shared" si="1"/>
        <v>-1</v>
      </c>
      <c r="J11" t="s">
        <v>21</v>
      </c>
      <c r="K11" t="str">
        <f t="shared" si="3"/>
        <v>293:HK</v>
      </c>
      <c r="L11" t="str">
        <f t="shared" si="2"/>
        <v>DBPe293:HK</v>
      </c>
    </row>
    <row r="12" spans="1:14" x14ac:dyDescent="0.25">
      <c r="B12" s="29"/>
      <c r="C12" s="30" t="s">
        <v>22</v>
      </c>
      <c r="D12" s="1">
        <f>SUMIF(Download!B:B,L12,Download!G:G)</f>
        <v>0</v>
      </c>
      <c r="E12" s="31">
        <f>SUMIF(Download!B:B,L12,Download!H:H)</f>
        <v>0</v>
      </c>
      <c r="F12" s="5">
        <f t="shared" si="0"/>
        <v>0</v>
      </c>
      <c r="G12" s="12"/>
      <c r="H12" s="31">
        <f t="shared" si="1"/>
        <v>-1</v>
      </c>
      <c r="J12" t="s">
        <v>23</v>
      </c>
      <c r="K12" t="str">
        <f t="shared" si="3"/>
        <v>293:HK</v>
      </c>
      <c r="L12" t="str">
        <f t="shared" si="2"/>
        <v>DBPL293:HK</v>
      </c>
    </row>
    <row r="13" spans="1:14" x14ac:dyDescent="0.25">
      <c r="B13" s="29"/>
      <c r="C13" s="30" t="s">
        <v>24</v>
      </c>
      <c r="D13" s="1">
        <f>SUMIF(Download!B:B,L13,Download!G:G)</f>
        <v>0</v>
      </c>
      <c r="E13" s="31">
        <f>SUMIF(Download!B:B,L13,Download!H:H)</f>
        <v>0</v>
      </c>
      <c r="F13" s="5">
        <f t="shared" si="0"/>
        <v>0</v>
      </c>
      <c r="G13" s="12"/>
      <c r="H13" s="31">
        <f t="shared" si="1"/>
        <v>-1</v>
      </c>
      <c r="J13" t="s">
        <v>25</v>
      </c>
      <c r="K13" t="str">
        <f t="shared" si="3"/>
        <v>293:HK</v>
      </c>
      <c r="L13" t="str">
        <f t="shared" si="2"/>
        <v>SC293:HK</v>
      </c>
    </row>
    <row r="14" spans="1:14" x14ac:dyDescent="0.25">
      <c r="B14" s="29"/>
      <c r="C14" s="30" t="s">
        <v>26</v>
      </c>
      <c r="D14" s="1">
        <f>SUMIF(Download!B:B,L14,Download!G:G)</f>
        <v>0</v>
      </c>
      <c r="E14" s="31">
        <f>SUMIF(Download!B:B,L14,Download!H:H)</f>
        <v>0</v>
      </c>
      <c r="F14" s="5">
        <f t="shared" si="0"/>
        <v>0</v>
      </c>
      <c r="G14" s="13"/>
      <c r="H14" s="31">
        <f t="shared" si="1"/>
        <v>-1</v>
      </c>
      <c r="J14" t="s">
        <v>27</v>
      </c>
      <c r="K14" t="str">
        <f t="shared" si="3"/>
        <v>293:HK</v>
      </c>
      <c r="L14" t="str">
        <f t="shared" si="2"/>
        <v>SHK293:HK</v>
      </c>
    </row>
    <row r="15" spans="1:14" x14ac:dyDescent="0.25">
      <c r="B15" s="29"/>
      <c r="C15" s="30" t="s">
        <v>28</v>
      </c>
      <c r="D15" s="1">
        <f>SUMIF(Download!B:B,L15,Download!G:G)</f>
        <v>0</v>
      </c>
      <c r="E15" s="31">
        <f>SUMIF(Download!B:B,L15,Download!H:H)</f>
        <v>0</v>
      </c>
      <c r="F15" s="5">
        <f t="shared" si="0"/>
        <v>0</v>
      </c>
      <c r="G15" s="12"/>
      <c r="H15" s="31">
        <f t="shared" si="1"/>
        <v>-1</v>
      </c>
      <c r="J15" t="s">
        <v>29</v>
      </c>
      <c r="K15" t="str">
        <f t="shared" si="3"/>
        <v>293:HK</v>
      </c>
      <c r="L15" t="str">
        <f t="shared" si="2"/>
        <v>MST1293:HK</v>
      </c>
    </row>
    <row r="16" spans="1:14" x14ac:dyDescent="0.25">
      <c r="B16" s="29"/>
      <c r="C16" s="30" t="s">
        <v>30</v>
      </c>
      <c r="D16" s="1">
        <f>SUMIF(Download!B:B,L16,Download!G:G)</f>
        <v>0</v>
      </c>
      <c r="E16" s="31">
        <f>SUMIF(Download!B:B,L16,Download!H:H)</f>
        <v>0</v>
      </c>
      <c r="F16" s="5">
        <f t="shared" si="0"/>
        <v>0</v>
      </c>
      <c r="G16" s="12"/>
      <c r="H16" s="31">
        <f t="shared" si="1"/>
        <v>-1</v>
      </c>
      <c r="J16" t="s">
        <v>32</v>
      </c>
      <c r="K16" t="str">
        <f t="shared" si="3"/>
        <v>293:HK</v>
      </c>
      <c r="L16" t="str">
        <f t="shared" si="2"/>
        <v>MST2293:HK</v>
      </c>
    </row>
    <row r="17" spans="1:14" x14ac:dyDescent="0.25">
      <c r="B17" s="29"/>
      <c r="C17" s="30" t="s">
        <v>33</v>
      </c>
      <c r="D17" s="1">
        <f>SUMIF(Download!B:B,L17,Download!G:G)</f>
        <v>0</v>
      </c>
      <c r="E17" s="31">
        <f>SUMIF(Download!B:B,L17,Download!H:H)</f>
        <v>0</v>
      </c>
      <c r="F17" s="5">
        <f t="shared" si="0"/>
        <v>0</v>
      </c>
      <c r="G17" s="12"/>
      <c r="H17" s="31">
        <f t="shared" si="1"/>
        <v>-1</v>
      </c>
      <c r="J17" t="s">
        <v>34</v>
      </c>
      <c r="K17" t="str">
        <f t="shared" si="3"/>
        <v>293:HK</v>
      </c>
      <c r="L17" t="str">
        <f t="shared" si="2"/>
        <v>MSPL293:HK</v>
      </c>
    </row>
    <row r="18" spans="1:14" x14ac:dyDescent="0.25">
      <c r="B18" s="29"/>
      <c r="C18" s="32"/>
      <c r="D18" s="11"/>
      <c r="E18" s="33"/>
      <c r="F18" s="12"/>
      <c r="G18" s="12"/>
    </row>
    <row r="19" spans="1:14" ht="15.75" customHeight="1" thickBot="1" x14ac:dyDescent="0.3">
      <c r="C19" s="34" t="s">
        <v>35</v>
      </c>
      <c r="D19" s="10">
        <f>SUM(D5:D18)</f>
        <v>0</v>
      </c>
      <c r="E19" s="35" t="e">
        <f>F19/D19</f>
        <v>#DIV/0!</v>
      </c>
      <c r="F19" s="4">
        <f>SUM(F5:F18)</f>
        <v>0</v>
      </c>
      <c r="G19" s="14"/>
    </row>
    <row r="20" spans="1:14" ht="18.75" customHeight="1" thickTop="1" x14ac:dyDescent="0.3">
      <c r="A20" s="17"/>
      <c r="G20" s="18"/>
      <c r="H20" s="19"/>
      <c r="I20" s="19"/>
    </row>
    <row r="21" spans="1:14" x14ac:dyDescent="0.25">
      <c r="G21" s="18"/>
      <c r="H21" s="20"/>
      <c r="I21" s="20"/>
      <c r="M21" s="21"/>
    </row>
    <row r="22" spans="1:14" ht="18.75" customHeight="1" x14ac:dyDescent="0.3">
      <c r="A22" s="22">
        <f ca="1">INDIRECT("A"&amp;ROW()-18)+1</f>
        <v>2</v>
      </c>
      <c r="B22" s="17" t="str">
        <f>INDEX(Stocks!A:B,MATCH(K23,Stocks!A:A,),2)&amp;" ("&amp;K23&amp;")"</f>
        <v>Beijing Water (371:HK)</v>
      </c>
      <c r="C22" s="17"/>
      <c r="G22" s="18"/>
      <c r="H22" s="39" t="s">
        <v>101</v>
      </c>
      <c r="I22" s="19"/>
      <c r="M22" s="23"/>
      <c r="N22" s="37"/>
    </row>
    <row r="23" spans="1:14" x14ac:dyDescent="0.25">
      <c r="A23" s="25"/>
      <c r="C23" s="26" t="s">
        <v>5</v>
      </c>
      <c r="D23" s="26" t="s">
        <v>6</v>
      </c>
      <c r="E23" s="26" t="s">
        <v>7</v>
      </c>
      <c r="F23" s="27" t="s">
        <v>8</v>
      </c>
      <c r="H23" s="26" t="s">
        <v>102</v>
      </c>
      <c r="J23" s="28"/>
      <c r="K23" t="s">
        <v>89</v>
      </c>
    </row>
    <row r="24" spans="1:14" x14ac:dyDescent="0.25">
      <c r="B24" s="29"/>
      <c r="C24" s="30" t="s">
        <v>10</v>
      </c>
      <c r="D24" s="1">
        <f>SUMIF(Download!B:B,L24,Download!G:G)</f>
        <v>0</v>
      </c>
      <c r="E24" s="31">
        <f>SUMIF(Download!B:B,L24,Download!H:H)</f>
        <v>0</v>
      </c>
      <c r="F24" s="5">
        <f t="shared" ref="F24:F35" si="4">D24*E24</f>
        <v>0</v>
      </c>
      <c r="G24" s="12"/>
      <c r="H24" s="31">
        <f t="shared" ref="H24:H35" si="5">E24-1</f>
        <v>-1</v>
      </c>
      <c r="J24" t="s">
        <v>11</v>
      </c>
      <c r="K24" t="str">
        <f>K23</f>
        <v>371:HK</v>
      </c>
      <c r="L24" t="str">
        <f t="shared" ref="L24:L35" si="6">J24&amp;K24</f>
        <v>CB1371:HK</v>
      </c>
    </row>
    <row r="25" spans="1:14" x14ac:dyDescent="0.25">
      <c r="B25" s="29"/>
      <c r="C25" s="30" t="s">
        <v>12</v>
      </c>
      <c r="D25" s="1">
        <f>SUMIF(Download!B:B,L25,Download!G:G)</f>
        <v>0</v>
      </c>
      <c r="E25" s="31">
        <f>SUMIF(Download!B:B,L25,Download!H:H)</f>
        <v>0</v>
      </c>
      <c r="F25" s="5">
        <f t="shared" si="4"/>
        <v>0</v>
      </c>
      <c r="G25" s="12"/>
      <c r="H25" s="31">
        <f t="shared" si="5"/>
        <v>-1</v>
      </c>
      <c r="J25" t="s">
        <v>13</v>
      </c>
      <c r="K25" t="str">
        <f>K24</f>
        <v>371:HK</v>
      </c>
      <c r="L25" t="str">
        <f t="shared" si="6"/>
        <v>CB2371:HK</v>
      </c>
    </row>
    <row r="26" spans="1:14" x14ac:dyDescent="0.25">
      <c r="B26" s="29"/>
      <c r="C26" s="30" t="s">
        <v>14</v>
      </c>
      <c r="D26" s="1">
        <f>SUMIF(Download!B:B,L26,Download!G:G)</f>
        <v>0</v>
      </c>
      <c r="E26" s="31">
        <f>SUMIF(Download!B:B,L26,Download!H:H)</f>
        <v>0</v>
      </c>
      <c r="F26" s="5">
        <f t="shared" si="4"/>
        <v>0</v>
      </c>
      <c r="G26" s="12"/>
      <c r="H26" s="31">
        <f t="shared" si="5"/>
        <v>-1</v>
      </c>
      <c r="J26" t="s">
        <v>15</v>
      </c>
      <c r="K26" t="str">
        <f>K24</f>
        <v>371:HK</v>
      </c>
      <c r="L26" t="str">
        <f t="shared" si="6"/>
        <v>CB3371:HK</v>
      </c>
    </row>
    <row r="27" spans="1:14" x14ac:dyDescent="0.25">
      <c r="B27" s="29"/>
      <c r="C27" s="30" t="s">
        <v>16</v>
      </c>
      <c r="D27" s="1">
        <f>SUMIF(Download!B:B,L27,Download!G:G)</f>
        <v>0</v>
      </c>
      <c r="E27" s="31">
        <f>SUMIF(Download!B:B,L27,Download!H:H)</f>
        <v>0</v>
      </c>
      <c r="F27" s="5">
        <f t="shared" si="4"/>
        <v>0</v>
      </c>
      <c r="G27" s="12"/>
      <c r="H27" s="31">
        <f t="shared" si="5"/>
        <v>-1</v>
      </c>
      <c r="J27" t="s">
        <v>17</v>
      </c>
      <c r="K27" t="str">
        <f>K25</f>
        <v>371:HK</v>
      </c>
      <c r="L27" t="str">
        <f t="shared" si="6"/>
        <v>CBBH371:HK</v>
      </c>
    </row>
    <row r="28" spans="1:14" x14ac:dyDescent="0.25">
      <c r="B28" s="29"/>
      <c r="C28" s="30" t="s">
        <v>18</v>
      </c>
      <c r="D28" s="1">
        <f>SUMIF(Download!B:B,L28,Download!G:G)</f>
        <v>0</v>
      </c>
      <c r="E28" s="31">
        <f>SUMIF(Download!B:B,L28,Download!H:H)</f>
        <v>0</v>
      </c>
      <c r="F28" s="5">
        <f t="shared" si="4"/>
        <v>0</v>
      </c>
      <c r="G28" s="12"/>
      <c r="H28" s="31">
        <f t="shared" si="5"/>
        <v>-1</v>
      </c>
      <c r="J28" t="s">
        <v>19</v>
      </c>
      <c r="K28" t="str">
        <f t="shared" ref="K28:K35" si="7">K27</f>
        <v>371:HK</v>
      </c>
      <c r="L28" t="str">
        <f t="shared" si="6"/>
        <v>BOS371:HK</v>
      </c>
    </row>
    <row r="29" spans="1:14" x14ac:dyDescent="0.25">
      <c r="B29" s="29"/>
      <c r="C29" s="30" t="s">
        <v>20</v>
      </c>
      <c r="D29" s="1">
        <f>SUMIF(Download!B:B,L29,Download!G:G)</f>
        <v>0</v>
      </c>
      <c r="E29" s="31">
        <f>SUMIF(Download!B:B,L29,Download!H:H)</f>
        <v>0</v>
      </c>
      <c r="F29" s="5">
        <f t="shared" si="4"/>
        <v>0</v>
      </c>
      <c r="G29" s="12"/>
      <c r="H29" s="31">
        <f t="shared" si="5"/>
        <v>-1</v>
      </c>
      <c r="J29" t="s">
        <v>21</v>
      </c>
      <c r="K29" t="str">
        <f t="shared" si="7"/>
        <v>371:HK</v>
      </c>
      <c r="L29" t="str">
        <f t="shared" si="6"/>
        <v>DBPe371:HK</v>
      </c>
    </row>
    <row r="30" spans="1:14" x14ac:dyDescent="0.25">
      <c r="B30" s="29"/>
      <c r="C30" s="30" t="s">
        <v>22</v>
      </c>
      <c r="D30" s="1">
        <f>SUMIF(Download!B:B,L30,Download!G:G)</f>
        <v>0</v>
      </c>
      <c r="E30" s="31">
        <f>SUMIF(Download!B:B,L30,Download!H:H)</f>
        <v>0</v>
      </c>
      <c r="F30" s="5">
        <f t="shared" si="4"/>
        <v>0</v>
      </c>
      <c r="G30" s="12"/>
      <c r="H30" s="31">
        <f t="shared" si="5"/>
        <v>-1</v>
      </c>
      <c r="J30" t="s">
        <v>23</v>
      </c>
      <c r="K30" t="str">
        <f t="shared" si="7"/>
        <v>371:HK</v>
      </c>
      <c r="L30" t="str">
        <f t="shared" si="6"/>
        <v>DBPL371:HK</v>
      </c>
    </row>
    <row r="31" spans="1:14" x14ac:dyDescent="0.25">
      <c r="B31" s="29"/>
      <c r="C31" s="30" t="s">
        <v>24</v>
      </c>
      <c r="D31" s="1">
        <f>SUMIF(Download!B:B,L31,Download!G:G)</f>
        <v>0</v>
      </c>
      <c r="E31" s="31">
        <f>SUMIF(Download!B:B,L31,Download!H:H)</f>
        <v>0</v>
      </c>
      <c r="F31" s="5">
        <f t="shared" si="4"/>
        <v>0</v>
      </c>
      <c r="G31" s="12"/>
      <c r="H31" s="31">
        <f t="shared" si="5"/>
        <v>-1</v>
      </c>
      <c r="J31" t="s">
        <v>25</v>
      </c>
      <c r="K31" t="str">
        <f t="shared" si="7"/>
        <v>371:HK</v>
      </c>
      <c r="L31" t="str">
        <f t="shared" si="6"/>
        <v>SC371:HK</v>
      </c>
    </row>
    <row r="32" spans="1:14" x14ac:dyDescent="0.25">
      <c r="B32" s="29"/>
      <c r="C32" s="30" t="s">
        <v>26</v>
      </c>
      <c r="D32" s="1">
        <f>SUMIF(Download!B:B,L32,Download!G:G)</f>
        <v>0</v>
      </c>
      <c r="E32" s="31">
        <f>SUMIF(Download!B:B,L32,Download!H:H)</f>
        <v>0</v>
      </c>
      <c r="F32" s="5">
        <f t="shared" si="4"/>
        <v>0</v>
      </c>
      <c r="G32" s="13"/>
      <c r="H32" s="31">
        <f t="shared" si="5"/>
        <v>-1</v>
      </c>
      <c r="J32" t="s">
        <v>27</v>
      </c>
      <c r="K32" t="str">
        <f t="shared" si="7"/>
        <v>371:HK</v>
      </c>
      <c r="L32" t="str">
        <f t="shared" si="6"/>
        <v>SHK371:HK</v>
      </c>
    </row>
    <row r="33" spans="1:14" x14ac:dyDescent="0.25">
      <c r="B33" s="29"/>
      <c r="C33" s="30" t="s">
        <v>28</v>
      </c>
      <c r="D33" s="1">
        <f>SUMIF(Download!B:B,L33,Download!G:G)</f>
        <v>0</v>
      </c>
      <c r="E33" s="31">
        <f>SUMIF(Download!B:B,L33,Download!H:H)</f>
        <v>0</v>
      </c>
      <c r="F33" s="5">
        <f t="shared" si="4"/>
        <v>0</v>
      </c>
      <c r="G33" s="12"/>
      <c r="H33" s="31">
        <f t="shared" si="5"/>
        <v>-1</v>
      </c>
      <c r="J33" t="s">
        <v>29</v>
      </c>
      <c r="K33" t="str">
        <f t="shared" si="7"/>
        <v>371:HK</v>
      </c>
      <c r="L33" t="str">
        <f t="shared" si="6"/>
        <v>MST1371:HK</v>
      </c>
    </row>
    <row r="34" spans="1:14" x14ac:dyDescent="0.25">
      <c r="B34" s="29"/>
      <c r="C34" s="30" t="s">
        <v>30</v>
      </c>
      <c r="D34" s="1">
        <f>SUMIF(Download!B:B,L34,Download!G:G)</f>
        <v>0</v>
      </c>
      <c r="E34" s="31">
        <f>SUMIF(Download!B:B,L34,Download!H:H)</f>
        <v>0</v>
      </c>
      <c r="F34" s="5">
        <f t="shared" si="4"/>
        <v>0</v>
      </c>
      <c r="G34" s="12"/>
      <c r="H34" s="31">
        <f t="shared" si="5"/>
        <v>-1</v>
      </c>
      <c r="J34" t="s">
        <v>32</v>
      </c>
      <c r="K34" t="str">
        <f t="shared" si="7"/>
        <v>371:HK</v>
      </c>
      <c r="L34" t="str">
        <f t="shared" si="6"/>
        <v>MST2371:HK</v>
      </c>
    </row>
    <row r="35" spans="1:14" x14ac:dyDescent="0.25">
      <c r="B35" s="29"/>
      <c r="C35" s="30" t="s">
        <v>33</v>
      </c>
      <c r="D35" s="1">
        <f>SUMIF(Download!B:B,L35,Download!G:G)</f>
        <v>0</v>
      </c>
      <c r="E35" s="31">
        <f>SUMIF(Download!B:B,L35,Download!H:H)</f>
        <v>0</v>
      </c>
      <c r="F35" s="5">
        <f t="shared" si="4"/>
        <v>0</v>
      </c>
      <c r="G35" s="12"/>
      <c r="H35" s="31">
        <f t="shared" si="5"/>
        <v>-1</v>
      </c>
      <c r="J35" t="s">
        <v>34</v>
      </c>
      <c r="K35" t="str">
        <f t="shared" si="7"/>
        <v>371:HK</v>
      </c>
      <c r="L35" t="str">
        <f t="shared" si="6"/>
        <v>MSPL371:HK</v>
      </c>
    </row>
    <row r="36" spans="1:14" x14ac:dyDescent="0.25">
      <c r="B36" s="29"/>
      <c r="C36" s="32"/>
      <c r="D36" s="11"/>
      <c r="E36" s="33"/>
      <c r="F36" s="12"/>
      <c r="G36" s="12"/>
    </row>
    <row r="37" spans="1:14" ht="15.75" customHeight="1" thickBot="1" x14ac:dyDescent="0.3">
      <c r="C37" s="34" t="s">
        <v>35</v>
      </c>
      <c r="D37" s="10">
        <f>SUM(D23:D36)</f>
        <v>0</v>
      </c>
      <c r="E37" s="35" t="e">
        <f>F37/D37</f>
        <v>#DIV/0!</v>
      </c>
      <c r="F37" s="4">
        <f>SUM(F23:F36)</f>
        <v>0</v>
      </c>
      <c r="G37" s="14"/>
    </row>
    <row r="38" spans="1:14" ht="18.75" customHeight="1" thickTop="1" x14ac:dyDescent="0.3">
      <c r="A38" s="17"/>
      <c r="G38" s="18"/>
      <c r="H38" s="19"/>
      <c r="I38" s="19"/>
    </row>
    <row r="39" spans="1:14" x14ac:dyDescent="0.25">
      <c r="G39" s="18"/>
      <c r="H39" s="20"/>
      <c r="I39" s="20"/>
      <c r="M39" s="21"/>
    </row>
    <row r="40" spans="1:14" ht="18.75" customHeight="1" x14ac:dyDescent="0.3">
      <c r="A40" s="22">
        <f ca="1">INDIRECT("A"&amp;ROW()-18)+1</f>
        <v>3</v>
      </c>
      <c r="B40" s="17" t="str">
        <f>INDEX(Stocks!A:B,MATCH(K41,Stocks!A:A,),2)&amp;" ("&amp;K41&amp;")"</f>
        <v>China Construction Bank (939:HK)</v>
      </c>
      <c r="C40" s="17"/>
      <c r="G40" s="18"/>
      <c r="H40" s="39" t="s">
        <v>101</v>
      </c>
      <c r="I40" s="19"/>
      <c r="M40" s="23"/>
      <c r="N40" s="37"/>
    </row>
    <row r="41" spans="1:14" x14ac:dyDescent="0.25">
      <c r="A41" s="25"/>
      <c r="C41" s="26" t="s">
        <v>5</v>
      </c>
      <c r="D41" s="26" t="s">
        <v>6</v>
      </c>
      <c r="E41" s="26" t="s">
        <v>7</v>
      </c>
      <c r="F41" s="27" t="s">
        <v>8</v>
      </c>
      <c r="H41" s="26" t="s">
        <v>102</v>
      </c>
      <c r="J41" s="28"/>
      <c r="K41" t="s">
        <v>49</v>
      </c>
    </row>
    <row r="42" spans="1:14" x14ac:dyDescent="0.25">
      <c r="B42" s="29"/>
      <c r="C42" s="30" t="s">
        <v>10</v>
      </c>
      <c r="D42" s="1">
        <f>SUMIF(Download!B:B,L42,Download!G:G)</f>
        <v>0</v>
      </c>
      <c r="E42" s="31">
        <f>SUMIF(Download!B:B,L42,Download!H:H)</f>
        <v>0</v>
      </c>
      <c r="F42" s="5">
        <f t="shared" ref="F42:F53" si="8">D42*E42</f>
        <v>0</v>
      </c>
      <c r="G42" s="12"/>
      <c r="H42" s="31">
        <f t="shared" ref="H42:H53" si="9">E42-1</f>
        <v>-1</v>
      </c>
      <c r="J42" t="s">
        <v>11</v>
      </c>
      <c r="K42" t="str">
        <f>K41</f>
        <v>939:HK</v>
      </c>
      <c r="L42" t="str">
        <f t="shared" ref="L42:L53" si="10">J42&amp;K42</f>
        <v>CB1939:HK</v>
      </c>
    </row>
    <row r="43" spans="1:14" x14ac:dyDescent="0.25">
      <c r="B43" s="29"/>
      <c r="C43" s="30" t="s">
        <v>12</v>
      </c>
      <c r="D43" s="1">
        <f>SUMIF(Download!B:B,L43,Download!G:G)</f>
        <v>0</v>
      </c>
      <c r="E43" s="31">
        <f>SUMIF(Download!B:B,L43,Download!H:H)</f>
        <v>0</v>
      </c>
      <c r="F43" s="5">
        <f t="shared" si="8"/>
        <v>0</v>
      </c>
      <c r="G43" s="12"/>
      <c r="H43" s="31">
        <f t="shared" si="9"/>
        <v>-1</v>
      </c>
      <c r="J43" t="s">
        <v>13</v>
      </c>
      <c r="K43" t="str">
        <f>K42</f>
        <v>939:HK</v>
      </c>
      <c r="L43" t="str">
        <f t="shared" si="10"/>
        <v>CB2939:HK</v>
      </c>
    </row>
    <row r="44" spans="1:14" x14ac:dyDescent="0.25">
      <c r="B44" s="29"/>
      <c r="C44" s="30" t="s">
        <v>14</v>
      </c>
      <c r="D44" s="1">
        <f>SUMIF(Download!B:B,L44,Download!G:G)</f>
        <v>0</v>
      </c>
      <c r="E44" s="31">
        <f>SUMIF(Download!B:B,L44,Download!H:H)</f>
        <v>0</v>
      </c>
      <c r="F44" s="5">
        <f t="shared" si="8"/>
        <v>0</v>
      </c>
      <c r="G44" s="12"/>
      <c r="H44" s="31">
        <f t="shared" si="9"/>
        <v>-1</v>
      </c>
      <c r="J44" t="s">
        <v>15</v>
      </c>
      <c r="K44" t="str">
        <f>K43</f>
        <v>939:HK</v>
      </c>
      <c r="L44" t="str">
        <f t="shared" si="10"/>
        <v>CB3939:HK</v>
      </c>
    </row>
    <row r="45" spans="1:14" x14ac:dyDescent="0.25">
      <c r="B45" s="29"/>
      <c r="C45" s="30" t="s">
        <v>16</v>
      </c>
      <c r="D45" s="1">
        <f>SUMIF(Download!B:B,L45,Download!G:G)</f>
        <v>0</v>
      </c>
      <c r="E45" s="31">
        <f>SUMIF(Download!B:B,L45,Download!H:H)</f>
        <v>0</v>
      </c>
      <c r="F45" s="5">
        <f t="shared" si="8"/>
        <v>0</v>
      </c>
      <c r="G45" s="12"/>
      <c r="H45" s="31">
        <f t="shared" si="9"/>
        <v>-1</v>
      </c>
      <c r="J45" t="s">
        <v>17</v>
      </c>
      <c r="K45" t="str">
        <f>K43</f>
        <v>939:HK</v>
      </c>
      <c r="L45" t="str">
        <f t="shared" si="10"/>
        <v>CBBH939:HK</v>
      </c>
    </row>
    <row r="46" spans="1:14" x14ac:dyDescent="0.25">
      <c r="B46" s="29"/>
      <c r="C46" s="30" t="s">
        <v>18</v>
      </c>
      <c r="D46" s="1">
        <f>SUMIF(Download!B:B,L46,Download!G:G)</f>
        <v>0</v>
      </c>
      <c r="E46" s="31">
        <f>SUMIF(Download!B:B,L46,Download!H:H)</f>
        <v>0</v>
      </c>
      <c r="F46" s="5">
        <f t="shared" si="8"/>
        <v>0</v>
      </c>
      <c r="G46" s="12"/>
      <c r="H46" s="31">
        <f t="shared" si="9"/>
        <v>-1</v>
      </c>
      <c r="J46" t="s">
        <v>19</v>
      </c>
      <c r="K46" t="str">
        <f t="shared" ref="K46:K53" si="11">K45</f>
        <v>939:HK</v>
      </c>
      <c r="L46" t="str">
        <f t="shared" si="10"/>
        <v>BOS939:HK</v>
      </c>
    </row>
    <row r="47" spans="1:14" x14ac:dyDescent="0.25">
      <c r="B47" s="29"/>
      <c r="C47" s="30" t="s">
        <v>20</v>
      </c>
      <c r="D47" s="1">
        <f>SUMIF(Download!B:B,L47,Download!G:G)</f>
        <v>0</v>
      </c>
      <c r="E47" s="31">
        <f>SUMIF(Download!B:B,L47,Download!H:H)</f>
        <v>0</v>
      </c>
      <c r="F47" s="5">
        <f t="shared" si="8"/>
        <v>0</v>
      </c>
      <c r="G47" s="12"/>
      <c r="H47" s="31">
        <f t="shared" si="9"/>
        <v>-1</v>
      </c>
      <c r="J47" t="s">
        <v>21</v>
      </c>
      <c r="K47" t="str">
        <f t="shared" si="11"/>
        <v>939:HK</v>
      </c>
      <c r="L47" t="str">
        <f t="shared" si="10"/>
        <v>DBPe939:HK</v>
      </c>
    </row>
    <row r="48" spans="1:14" x14ac:dyDescent="0.25">
      <c r="B48" s="29"/>
      <c r="C48" s="30" t="s">
        <v>22</v>
      </c>
      <c r="D48" s="1">
        <f>SUMIF(Download!B:B,L48,Download!G:G)</f>
        <v>0</v>
      </c>
      <c r="E48" s="31">
        <f>SUMIF(Download!B:B,L48,Download!H:H)</f>
        <v>0</v>
      </c>
      <c r="F48" s="5">
        <f t="shared" si="8"/>
        <v>0</v>
      </c>
      <c r="G48" s="12"/>
      <c r="H48" s="31">
        <f t="shared" si="9"/>
        <v>-1</v>
      </c>
      <c r="J48" t="s">
        <v>23</v>
      </c>
      <c r="K48" t="str">
        <f t="shared" si="11"/>
        <v>939:HK</v>
      </c>
      <c r="L48" t="str">
        <f t="shared" si="10"/>
        <v>DBPL939:HK</v>
      </c>
    </row>
    <row r="49" spans="1:14" x14ac:dyDescent="0.25">
      <c r="B49" s="29"/>
      <c r="C49" s="30" t="s">
        <v>24</v>
      </c>
      <c r="D49" s="1">
        <f>SUMIF(Download!B:B,L49,Download!G:G)</f>
        <v>0</v>
      </c>
      <c r="E49" s="31">
        <f>SUMIF(Download!B:B,L49,Download!H:H)</f>
        <v>0</v>
      </c>
      <c r="F49" s="5">
        <f t="shared" si="8"/>
        <v>0</v>
      </c>
      <c r="G49" s="12"/>
      <c r="H49" s="31">
        <f t="shared" si="9"/>
        <v>-1</v>
      </c>
      <c r="J49" t="s">
        <v>25</v>
      </c>
      <c r="K49" t="str">
        <f t="shared" si="11"/>
        <v>939:HK</v>
      </c>
      <c r="L49" t="str">
        <f t="shared" si="10"/>
        <v>SC939:HK</v>
      </c>
    </row>
    <row r="50" spans="1:14" x14ac:dyDescent="0.25">
      <c r="B50" s="29"/>
      <c r="C50" s="30" t="s">
        <v>26</v>
      </c>
      <c r="D50" s="1">
        <f>SUMIF(Download!B:B,L50,Download!G:G)</f>
        <v>0</v>
      </c>
      <c r="E50" s="31">
        <f>SUMIF(Download!B:B,L50,Download!H:H)</f>
        <v>0</v>
      </c>
      <c r="F50" s="5">
        <f t="shared" si="8"/>
        <v>0</v>
      </c>
      <c r="G50" s="13"/>
      <c r="H50" s="31">
        <f t="shared" si="9"/>
        <v>-1</v>
      </c>
      <c r="J50" t="s">
        <v>27</v>
      </c>
      <c r="K50" t="str">
        <f t="shared" si="11"/>
        <v>939:HK</v>
      </c>
      <c r="L50" t="str">
        <f t="shared" si="10"/>
        <v>SHK939:HK</v>
      </c>
    </row>
    <row r="51" spans="1:14" x14ac:dyDescent="0.25">
      <c r="B51" s="29"/>
      <c r="C51" s="30" t="s">
        <v>28</v>
      </c>
      <c r="D51" s="1">
        <f>SUMIF(Download!B:B,L51,Download!G:G)</f>
        <v>0</v>
      </c>
      <c r="E51" s="31">
        <f>SUMIF(Download!B:B,L51,Download!H:H)</f>
        <v>0</v>
      </c>
      <c r="F51" s="5">
        <f t="shared" si="8"/>
        <v>0</v>
      </c>
      <c r="G51" s="12"/>
      <c r="H51" s="31">
        <f t="shared" si="9"/>
        <v>-1</v>
      </c>
      <c r="J51" t="s">
        <v>29</v>
      </c>
      <c r="K51" t="str">
        <f t="shared" si="11"/>
        <v>939:HK</v>
      </c>
      <c r="L51" t="str">
        <f t="shared" si="10"/>
        <v>MST1939:HK</v>
      </c>
    </row>
    <row r="52" spans="1:14" x14ac:dyDescent="0.25">
      <c r="B52" s="29"/>
      <c r="C52" s="30" t="s">
        <v>30</v>
      </c>
      <c r="D52" s="1">
        <f>SUMIF(Download!B:B,L52,Download!G:G)</f>
        <v>0</v>
      </c>
      <c r="E52" s="31">
        <f>SUMIF(Download!B:B,L52,Download!H:H)</f>
        <v>0</v>
      </c>
      <c r="F52" s="5">
        <f t="shared" si="8"/>
        <v>0</v>
      </c>
      <c r="G52" s="12"/>
      <c r="H52" s="31">
        <f t="shared" si="9"/>
        <v>-1</v>
      </c>
      <c r="J52" t="s">
        <v>32</v>
      </c>
      <c r="K52" t="str">
        <f t="shared" si="11"/>
        <v>939:HK</v>
      </c>
      <c r="L52" t="str">
        <f t="shared" si="10"/>
        <v>MST2939:HK</v>
      </c>
    </row>
    <row r="53" spans="1:14" x14ac:dyDescent="0.25">
      <c r="B53" s="29"/>
      <c r="C53" s="30" t="s">
        <v>33</v>
      </c>
      <c r="D53" s="1">
        <f>SUMIF(Download!B:B,L53,Download!G:G)</f>
        <v>0</v>
      </c>
      <c r="E53" s="31">
        <f>SUMIF(Download!B:B,L53,Download!H:H)</f>
        <v>0</v>
      </c>
      <c r="F53" s="5">
        <f t="shared" si="8"/>
        <v>0</v>
      </c>
      <c r="G53" s="12"/>
      <c r="H53" s="31">
        <f t="shared" si="9"/>
        <v>-1</v>
      </c>
      <c r="J53" t="s">
        <v>34</v>
      </c>
      <c r="K53" t="str">
        <f t="shared" si="11"/>
        <v>939:HK</v>
      </c>
      <c r="L53" t="str">
        <f t="shared" si="10"/>
        <v>MSPL939:HK</v>
      </c>
    </row>
    <row r="54" spans="1:14" x14ac:dyDescent="0.25">
      <c r="B54" s="29"/>
      <c r="C54" s="32"/>
      <c r="D54" s="11"/>
      <c r="E54" s="33"/>
      <c r="F54" s="12"/>
      <c r="G54" s="12"/>
    </row>
    <row r="55" spans="1:14" ht="15.75" customHeight="1" thickBot="1" x14ac:dyDescent="0.3">
      <c r="C55" s="34" t="s">
        <v>35</v>
      </c>
      <c r="D55" s="10">
        <f>SUM(D41:D54)</f>
        <v>0</v>
      </c>
      <c r="E55" s="35" t="e">
        <f>F55/D55</f>
        <v>#DIV/0!</v>
      </c>
      <c r="F55" s="4">
        <f>SUM(F41:F54)</f>
        <v>0</v>
      </c>
      <c r="G55" s="14"/>
    </row>
    <row r="56" spans="1:14" ht="15.75" customHeight="1" thickTop="1" x14ac:dyDescent="0.25">
      <c r="D56" s="36"/>
      <c r="G56" s="36"/>
    </row>
    <row r="57" spans="1:14" x14ac:dyDescent="0.25">
      <c r="D57" s="36"/>
      <c r="G57" s="18"/>
      <c r="H57" s="19"/>
      <c r="I57" s="19"/>
    </row>
    <row r="58" spans="1:14" ht="18.75" customHeight="1" x14ac:dyDescent="0.3">
      <c r="A58" s="22">
        <f ca="1">INDIRECT("A"&amp;ROW()-18)+1</f>
        <v>4</v>
      </c>
      <c r="B58" s="17" t="str">
        <f>INDEX(Stocks!A:B,MATCH(K59,Stocks!A:A,),2)&amp;" ("&amp;K59&amp;")"</f>
        <v>Semiconductor Mfg (981:HK)</v>
      </c>
      <c r="C58" s="17"/>
      <c r="G58" s="18"/>
      <c r="H58" s="39" t="s">
        <v>101</v>
      </c>
      <c r="I58" s="19"/>
      <c r="M58" s="23"/>
      <c r="N58" s="37"/>
    </row>
    <row r="59" spans="1:14" x14ac:dyDescent="0.25">
      <c r="A59" s="25"/>
      <c r="C59" s="26" t="s">
        <v>5</v>
      </c>
      <c r="D59" s="26" t="s">
        <v>6</v>
      </c>
      <c r="E59" s="26" t="s">
        <v>7</v>
      </c>
      <c r="F59" s="27" t="s">
        <v>8</v>
      </c>
      <c r="H59" s="26" t="s">
        <v>102</v>
      </c>
      <c r="J59" s="28"/>
      <c r="K59" t="s">
        <v>82</v>
      </c>
    </row>
    <row r="60" spans="1:14" x14ac:dyDescent="0.25">
      <c r="B60" s="29"/>
      <c r="C60" s="30" t="s">
        <v>10</v>
      </c>
      <c r="D60" s="1">
        <f>SUMIF(Download!B:B,L60,Download!G:G)</f>
        <v>0</v>
      </c>
      <c r="E60" s="31">
        <f>SUMIF(Download!B:B,L60,Download!H:H)</f>
        <v>0</v>
      </c>
      <c r="F60" s="5">
        <f t="shared" ref="F60:F71" si="12">D60*E60</f>
        <v>0</v>
      </c>
      <c r="G60" s="12"/>
      <c r="H60" s="31">
        <f t="shared" ref="H60:H71" si="13">E60-1</f>
        <v>-1</v>
      </c>
      <c r="J60" t="s">
        <v>11</v>
      </c>
      <c r="K60" t="str">
        <f>K59</f>
        <v>981:HK</v>
      </c>
      <c r="L60" t="str">
        <f t="shared" ref="L60:L71" si="14">J60&amp;K60</f>
        <v>CB1981:HK</v>
      </c>
    </row>
    <row r="61" spans="1:14" x14ac:dyDescent="0.25">
      <c r="B61" s="29"/>
      <c r="C61" s="30" t="s">
        <v>12</v>
      </c>
      <c r="D61" s="1">
        <f>SUMIF(Download!B:B,L61,Download!G:G)</f>
        <v>0</v>
      </c>
      <c r="E61" s="31">
        <f>SUMIF(Download!B:B,L61,Download!H:H)</f>
        <v>0</v>
      </c>
      <c r="F61" s="5">
        <f t="shared" si="12"/>
        <v>0</v>
      </c>
      <c r="G61" s="12"/>
      <c r="H61" s="31">
        <f t="shared" si="13"/>
        <v>-1</v>
      </c>
      <c r="J61" t="s">
        <v>13</v>
      </c>
      <c r="K61" t="str">
        <f>K60</f>
        <v>981:HK</v>
      </c>
      <c r="L61" t="str">
        <f t="shared" si="14"/>
        <v>CB2981:HK</v>
      </c>
    </row>
    <row r="62" spans="1:14" x14ac:dyDescent="0.25">
      <c r="B62" s="29"/>
      <c r="C62" s="30" t="s">
        <v>14</v>
      </c>
      <c r="D62" s="1">
        <f>SUMIF(Download!B:B,L62,Download!G:G)</f>
        <v>0</v>
      </c>
      <c r="E62" s="31">
        <f>SUMIF(Download!B:B,L62,Download!H:H)</f>
        <v>0</v>
      </c>
      <c r="F62" s="5">
        <f t="shared" si="12"/>
        <v>0</v>
      </c>
      <c r="G62" s="12"/>
      <c r="H62" s="31">
        <f t="shared" si="13"/>
        <v>-1</v>
      </c>
      <c r="J62" t="s">
        <v>15</v>
      </c>
      <c r="K62" t="str">
        <f>K61</f>
        <v>981:HK</v>
      </c>
      <c r="L62" t="str">
        <f t="shared" si="14"/>
        <v>CB3981:HK</v>
      </c>
    </row>
    <row r="63" spans="1:14" x14ac:dyDescent="0.25">
      <c r="B63" s="29"/>
      <c r="C63" s="30" t="s">
        <v>16</v>
      </c>
      <c r="D63" s="1">
        <f>SUMIF(Download!B:B,L63,Download!G:G)</f>
        <v>0</v>
      </c>
      <c r="E63" s="31">
        <f>SUMIF(Download!B:B,L63,Download!H:H)</f>
        <v>0</v>
      </c>
      <c r="F63" s="5">
        <f t="shared" si="12"/>
        <v>0</v>
      </c>
      <c r="G63" s="12"/>
      <c r="H63" s="31">
        <f t="shared" si="13"/>
        <v>-1</v>
      </c>
      <c r="J63" t="s">
        <v>17</v>
      </c>
      <c r="K63" t="str">
        <f>K61</f>
        <v>981:HK</v>
      </c>
      <c r="L63" t="str">
        <f t="shared" si="14"/>
        <v>CBBH981:HK</v>
      </c>
    </row>
    <row r="64" spans="1:14" x14ac:dyDescent="0.25">
      <c r="B64" s="29"/>
      <c r="C64" s="30" t="s">
        <v>18</v>
      </c>
      <c r="D64" s="1">
        <f>SUMIF(Download!B:B,L64,Download!G:G)</f>
        <v>0</v>
      </c>
      <c r="E64" s="31">
        <f>SUMIF(Download!B:B,L64,Download!H:H)</f>
        <v>0</v>
      </c>
      <c r="F64" s="5">
        <f t="shared" si="12"/>
        <v>0</v>
      </c>
      <c r="G64" s="12"/>
      <c r="H64" s="31">
        <f t="shared" si="13"/>
        <v>-1</v>
      </c>
      <c r="J64" t="s">
        <v>19</v>
      </c>
      <c r="K64" t="str">
        <f t="shared" ref="K64:K71" si="15">K63</f>
        <v>981:HK</v>
      </c>
      <c r="L64" t="str">
        <f t="shared" si="14"/>
        <v>BOS981:HK</v>
      </c>
    </row>
    <row r="65" spans="1:12" x14ac:dyDescent="0.25">
      <c r="B65" s="29"/>
      <c r="C65" s="30" t="s">
        <v>20</v>
      </c>
      <c r="D65" s="1">
        <f>SUMIF(Download!B:B,L65,Download!G:G)</f>
        <v>0</v>
      </c>
      <c r="E65" s="31">
        <f>SUMIF(Download!B:B,L65,Download!H:H)</f>
        <v>0</v>
      </c>
      <c r="F65" s="5">
        <f t="shared" si="12"/>
        <v>0</v>
      </c>
      <c r="G65" s="12"/>
      <c r="H65" s="31">
        <f t="shared" si="13"/>
        <v>-1</v>
      </c>
      <c r="J65" t="s">
        <v>21</v>
      </c>
      <c r="K65" t="str">
        <f t="shared" si="15"/>
        <v>981:HK</v>
      </c>
      <c r="L65" t="str">
        <f t="shared" si="14"/>
        <v>DBPe981:HK</v>
      </c>
    </row>
    <row r="66" spans="1:12" x14ac:dyDescent="0.25">
      <c r="B66" s="29"/>
      <c r="C66" s="30" t="s">
        <v>22</v>
      </c>
      <c r="D66" s="1">
        <f>SUMIF(Download!B:B,L66,Download!G:G)</f>
        <v>0</v>
      </c>
      <c r="E66" s="31">
        <f>SUMIF(Download!B:B,L66,Download!H:H)</f>
        <v>0</v>
      </c>
      <c r="F66" s="5">
        <f t="shared" si="12"/>
        <v>0</v>
      </c>
      <c r="G66" s="12"/>
      <c r="H66" s="31">
        <f t="shared" si="13"/>
        <v>-1</v>
      </c>
      <c r="J66" t="s">
        <v>23</v>
      </c>
      <c r="K66" t="str">
        <f t="shared" si="15"/>
        <v>981:HK</v>
      </c>
      <c r="L66" t="str">
        <f t="shared" si="14"/>
        <v>DBPL981:HK</v>
      </c>
    </row>
    <row r="67" spans="1:12" x14ac:dyDescent="0.25">
      <c r="B67" s="29"/>
      <c r="C67" s="30" t="s">
        <v>24</v>
      </c>
      <c r="D67" s="1">
        <f>SUMIF(Download!B:B,L67,Download!G:G)</f>
        <v>0</v>
      </c>
      <c r="E67" s="31">
        <f>SUMIF(Download!B:B,L67,Download!H:H)</f>
        <v>0</v>
      </c>
      <c r="F67" s="5">
        <f t="shared" si="12"/>
        <v>0</v>
      </c>
      <c r="G67" s="12"/>
      <c r="H67" s="31">
        <f t="shared" si="13"/>
        <v>-1</v>
      </c>
      <c r="J67" t="s">
        <v>25</v>
      </c>
      <c r="K67" t="str">
        <f t="shared" si="15"/>
        <v>981:HK</v>
      </c>
      <c r="L67" t="str">
        <f t="shared" si="14"/>
        <v>SC981:HK</v>
      </c>
    </row>
    <row r="68" spans="1:12" x14ac:dyDescent="0.25">
      <c r="B68" s="29"/>
      <c r="C68" s="30" t="s">
        <v>26</v>
      </c>
      <c r="D68" s="1">
        <f>SUMIF(Download!B:B,L68,Download!G:G)</f>
        <v>0</v>
      </c>
      <c r="E68" s="31">
        <f>SUMIF(Download!B:B,L68,Download!H:H)</f>
        <v>0</v>
      </c>
      <c r="F68" s="5">
        <f t="shared" si="12"/>
        <v>0</v>
      </c>
      <c r="G68" s="13"/>
      <c r="H68" s="31">
        <f t="shared" si="13"/>
        <v>-1</v>
      </c>
      <c r="J68" t="s">
        <v>27</v>
      </c>
      <c r="K68" t="str">
        <f t="shared" si="15"/>
        <v>981:HK</v>
      </c>
      <c r="L68" t="str">
        <f t="shared" si="14"/>
        <v>SHK981:HK</v>
      </c>
    </row>
    <row r="69" spans="1:12" x14ac:dyDescent="0.25">
      <c r="B69" s="29"/>
      <c r="C69" s="30" t="s">
        <v>28</v>
      </c>
      <c r="D69" s="1">
        <f>SUMIF(Download!B:B,L69,Download!G:G)</f>
        <v>0</v>
      </c>
      <c r="E69" s="31">
        <f>SUMIF(Download!B:B,L69,Download!H:H)</f>
        <v>0</v>
      </c>
      <c r="F69" s="5">
        <f t="shared" si="12"/>
        <v>0</v>
      </c>
      <c r="G69" s="12"/>
      <c r="H69" s="31">
        <f t="shared" si="13"/>
        <v>-1</v>
      </c>
      <c r="J69" t="s">
        <v>29</v>
      </c>
      <c r="K69" t="str">
        <f t="shared" si="15"/>
        <v>981:HK</v>
      </c>
      <c r="L69" t="str">
        <f t="shared" si="14"/>
        <v>MST1981:HK</v>
      </c>
    </row>
    <row r="70" spans="1:12" x14ac:dyDescent="0.25">
      <c r="B70" s="29"/>
      <c r="C70" s="30" t="s">
        <v>30</v>
      </c>
      <c r="D70" s="1">
        <f>SUMIF(Download!B:B,L70,Download!G:G)</f>
        <v>0</v>
      </c>
      <c r="E70" s="31">
        <f>SUMIF(Download!B:B,L70,Download!H:H)</f>
        <v>0</v>
      </c>
      <c r="F70" s="5">
        <f t="shared" si="12"/>
        <v>0</v>
      </c>
      <c r="G70" s="12"/>
      <c r="H70" s="31">
        <f t="shared" si="13"/>
        <v>-1</v>
      </c>
      <c r="J70" t="s">
        <v>32</v>
      </c>
      <c r="K70" t="str">
        <f t="shared" si="15"/>
        <v>981:HK</v>
      </c>
      <c r="L70" t="str">
        <f t="shared" si="14"/>
        <v>MST2981:HK</v>
      </c>
    </row>
    <row r="71" spans="1:12" x14ac:dyDescent="0.25">
      <c r="B71" s="29"/>
      <c r="C71" s="30" t="s">
        <v>33</v>
      </c>
      <c r="D71" s="1">
        <f>SUMIF(Download!B:B,L71,Download!G:G)</f>
        <v>0</v>
      </c>
      <c r="E71" s="31">
        <f>SUMIF(Download!B:B,L71,Download!H:H)</f>
        <v>0</v>
      </c>
      <c r="F71" s="5">
        <f t="shared" si="12"/>
        <v>0</v>
      </c>
      <c r="G71" s="12"/>
      <c r="H71" s="31">
        <f t="shared" si="13"/>
        <v>-1</v>
      </c>
      <c r="J71" t="s">
        <v>34</v>
      </c>
      <c r="K71" t="str">
        <f t="shared" si="15"/>
        <v>981:HK</v>
      </c>
      <c r="L71" t="str">
        <f t="shared" si="14"/>
        <v>MSPL981:HK</v>
      </c>
    </row>
    <row r="72" spans="1:12" x14ac:dyDescent="0.25">
      <c r="B72" s="29"/>
      <c r="C72" s="32"/>
      <c r="D72" s="11"/>
      <c r="E72" s="33"/>
      <c r="F72" s="12"/>
      <c r="G72" s="12"/>
    </row>
    <row r="73" spans="1:12" ht="15.75" customHeight="1" thickBot="1" x14ac:dyDescent="0.3">
      <c r="C73" s="34" t="s">
        <v>35</v>
      </c>
      <c r="D73" s="10">
        <f>SUM(D59:D72)</f>
        <v>0</v>
      </c>
      <c r="E73" s="35" t="e">
        <f>F73/D73</f>
        <v>#DIV/0!</v>
      </c>
      <c r="F73" s="4">
        <f>SUM(F59:F72)</f>
        <v>0</v>
      </c>
      <c r="G73" s="14"/>
    </row>
    <row r="74" spans="1:12" ht="15.75" customHeight="1" thickTop="1" x14ac:dyDescent="0.25">
      <c r="D74" s="36"/>
      <c r="G74" s="36"/>
    </row>
    <row r="75" spans="1:12" x14ac:dyDescent="0.25">
      <c r="D75" s="36"/>
      <c r="G75" s="18"/>
      <c r="H75" s="19"/>
      <c r="I75" s="19"/>
    </row>
    <row r="76" spans="1:12" ht="18.75" customHeight="1" x14ac:dyDescent="0.3">
      <c r="A76" s="22">
        <f ca="1">INDIRECT("A"&amp;ROW()-18)+1</f>
        <v>5</v>
      </c>
      <c r="B76" s="17" t="str">
        <f>INDEX(Stocks!A:B,MATCH(K77,Stocks!A:A,),2)&amp;" ("&amp;K77&amp;")"</f>
        <v>Sinopharm (1099:HK)</v>
      </c>
      <c r="C76" s="17"/>
      <c r="E76" s="21"/>
      <c r="F76" s="37"/>
      <c r="G76" s="18"/>
      <c r="H76" s="39" t="s">
        <v>101</v>
      </c>
      <c r="I76" s="19"/>
    </row>
    <row r="77" spans="1:12" x14ac:dyDescent="0.25">
      <c r="A77" s="25"/>
      <c r="C77" s="26" t="s">
        <v>5</v>
      </c>
      <c r="D77" s="26" t="s">
        <v>6</v>
      </c>
      <c r="E77" s="26" t="s">
        <v>7</v>
      </c>
      <c r="F77" s="26" t="s">
        <v>8</v>
      </c>
      <c r="H77" s="26" t="s">
        <v>102</v>
      </c>
      <c r="K77" t="s">
        <v>93</v>
      </c>
    </row>
    <row r="78" spans="1:12" x14ac:dyDescent="0.25">
      <c r="B78" s="29"/>
      <c r="C78" s="30" t="s">
        <v>10</v>
      </c>
      <c r="D78" s="1">
        <f>SUMIF(Download!B:B,L78,Download!G:G)</f>
        <v>0</v>
      </c>
      <c r="E78" s="31">
        <f>SUMIF(Download!B:B,L78,Download!H:H)</f>
        <v>0</v>
      </c>
      <c r="F78" s="2">
        <f t="shared" ref="F78:F89" si="16">D78*E78</f>
        <v>0</v>
      </c>
      <c r="G78" s="36"/>
      <c r="H78" s="31">
        <f t="shared" ref="H78:H89" si="17">E78-1</f>
        <v>-1</v>
      </c>
      <c r="J78" t="s">
        <v>11</v>
      </c>
      <c r="K78" t="str">
        <f>K77</f>
        <v>1099:HK</v>
      </c>
      <c r="L78" t="str">
        <f t="shared" ref="L78:L89" si="18">J78&amp;K78</f>
        <v>CB11099:HK</v>
      </c>
    </row>
    <row r="79" spans="1:12" x14ac:dyDescent="0.25">
      <c r="B79" s="29"/>
      <c r="C79" s="30" t="s">
        <v>12</v>
      </c>
      <c r="D79" s="1">
        <f>SUMIF(Download!B:B,L79,Download!G:G)</f>
        <v>0</v>
      </c>
      <c r="E79" s="31">
        <f>SUMIF(Download!B:B,L79,Download!H:H)</f>
        <v>0</v>
      </c>
      <c r="F79" s="2">
        <f t="shared" si="16"/>
        <v>0</v>
      </c>
      <c r="H79" s="31">
        <f t="shared" si="17"/>
        <v>-1</v>
      </c>
      <c r="J79" t="s">
        <v>13</v>
      </c>
      <c r="K79" t="str">
        <f>K78</f>
        <v>1099:HK</v>
      </c>
      <c r="L79" t="str">
        <f t="shared" si="18"/>
        <v>CB21099:HK</v>
      </c>
    </row>
    <row r="80" spans="1:12" x14ac:dyDescent="0.25">
      <c r="B80" s="29"/>
      <c r="C80" s="30" t="s">
        <v>14</v>
      </c>
      <c r="D80" s="1">
        <f>SUMIF(Download!B:B,L80,Download!G:G)</f>
        <v>0</v>
      </c>
      <c r="E80" s="31">
        <f>SUMIF(Download!B:B,L80,Download!H:H)</f>
        <v>0</v>
      </c>
      <c r="F80" s="2">
        <f t="shared" si="16"/>
        <v>0</v>
      </c>
      <c r="H80" s="31">
        <f t="shared" si="17"/>
        <v>-1</v>
      </c>
      <c r="J80" t="s">
        <v>15</v>
      </c>
      <c r="K80" t="str">
        <f>K78</f>
        <v>1099:HK</v>
      </c>
      <c r="L80" t="str">
        <f t="shared" si="18"/>
        <v>CB31099:HK</v>
      </c>
    </row>
    <row r="81" spans="1:12" x14ac:dyDescent="0.25">
      <c r="B81" s="29"/>
      <c r="C81" s="30" t="s">
        <v>16</v>
      </c>
      <c r="D81" s="1">
        <f>SUMIF(Download!B:B,L81,Download!G:G)</f>
        <v>0</v>
      </c>
      <c r="E81" s="31">
        <f>SUMIF(Download!B:B,L81,Download!H:H)</f>
        <v>0</v>
      </c>
      <c r="F81" s="2">
        <f t="shared" si="16"/>
        <v>0</v>
      </c>
      <c r="H81" s="31">
        <f t="shared" si="17"/>
        <v>-1</v>
      </c>
      <c r="J81" t="s">
        <v>17</v>
      </c>
      <c r="K81" t="str">
        <f>K79</f>
        <v>1099:HK</v>
      </c>
      <c r="L81" t="str">
        <f t="shared" si="18"/>
        <v>CBBH1099:HK</v>
      </c>
    </row>
    <row r="82" spans="1:12" x14ac:dyDescent="0.25">
      <c r="B82" s="29"/>
      <c r="C82" s="30" t="s">
        <v>18</v>
      </c>
      <c r="D82" s="1">
        <f>SUMIF(Download!B:B,L82,Download!G:G)</f>
        <v>0</v>
      </c>
      <c r="E82" s="31">
        <f>SUMIF(Download!B:B,L82,Download!H:H)</f>
        <v>0</v>
      </c>
      <c r="F82" s="2">
        <f t="shared" si="16"/>
        <v>0</v>
      </c>
      <c r="H82" s="31">
        <f t="shared" si="17"/>
        <v>-1</v>
      </c>
      <c r="J82" t="s">
        <v>19</v>
      </c>
      <c r="K82" t="str">
        <f t="shared" ref="K82:K89" si="19">K81</f>
        <v>1099:HK</v>
      </c>
      <c r="L82" t="str">
        <f t="shared" si="18"/>
        <v>BOS1099:HK</v>
      </c>
    </row>
    <row r="83" spans="1:12" x14ac:dyDescent="0.25">
      <c r="B83" s="29"/>
      <c r="C83" s="30" t="s">
        <v>20</v>
      </c>
      <c r="D83" s="1">
        <f>SUMIF(Download!B:B,L83,Download!G:G)</f>
        <v>0</v>
      </c>
      <c r="E83" s="31">
        <f>SUMIF(Download!B:B,L83,Download!H:H)</f>
        <v>0</v>
      </c>
      <c r="F83" s="2">
        <f t="shared" si="16"/>
        <v>0</v>
      </c>
      <c r="H83" s="31">
        <f t="shared" si="17"/>
        <v>-1</v>
      </c>
      <c r="J83" t="s">
        <v>21</v>
      </c>
      <c r="K83" t="str">
        <f t="shared" si="19"/>
        <v>1099:HK</v>
      </c>
      <c r="L83" t="str">
        <f t="shared" si="18"/>
        <v>DBPe1099:HK</v>
      </c>
    </row>
    <row r="84" spans="1:12" x14ac:dyDescent="0.25">
      <c r="B84" s="29"/>
      <c r="C84" s="30" t="s">
        <v>22</v>
      </c>
      <c r="D84" s="1">
        <f>SUMIF(Download!B:B,L84,Download!G:G)</f>
        <v>0</v>
      </c>
      <c r="E84" s="31">
        <f>SUMIF(Download!B:B,L84,Download!H:H)</f>
        <v>0</v>
      </c>
      <c r="F84" s="2">
        <f t="shared" si="16"/>
        <v>0</v>
      </c>
      <c r="H84" s="31">
        <f t="shared" si="17"/>
        <v>-1</v>
      </c>
      <c r="J84" t="s">
        <v>23</v>
      </c>
      <c r="K84" t="str">
        <f t="shared" si="19"/>
        <v>1099:HK</v>
      </c>
      <c r="L84" t="str">
        <f t="shared" si="18"/>
        <v>DBPL1099:HK</v>
      </c>
    </row>
    <row r="85" spans="1:12" x14ac:dyDescent="0.25">
      <c r="B85" s="29"/>
      <c r="C85" s="30" t="s">
        <v>24</v>
      </c>
      <c r="D85" s="1">
        <f>SUMIF(Download!B:B,L85,Download!G:G)</f>
        <v>0</v>
      </c>
      <c r="E85" s="31">
        <f>SUMIF(Download!B:B,L85,Download!H:H)</f>
        <v>0</v>
      </c>
      <c r="F85" s="2">
        <f t="shared" si="16"/>
        <v>0</v>
      </c>
      <c r="H85" s="31">
        <f t="shared" si="17"/>
        <v>-1</v>
      </c>
      <c r="J85" t="s">
        <v>25</v>
      </c>
      <c r="K85" t="str">
        <f t="shared" si="19"/>
        <v>1099:HK</v>
      </c>
      <c r="L85" t="str">
        <f t="shared" si="18"/>
        <v>SC1099:HK</v>
      </c>
    </row>
    <row r="86" spans="1:12" x14ac:dyDescent="0.25">
      <c r="B86" s="29"/>
      <c r="C86" s="30" t="s">
        <v>26</v>
      </c>
      <c r="D86" s="1">
        <f>SUMIF(Download!B:B,L86,Download!G:G)</f>
        <v>0</v>
      </c>
      <c r="E86" s="31">
        <f>SUMIF(Download!B:B,L86,Download!H:H)</f>
        <v>0</v>
      </c>
      <c r="F86" s="2">
        <f t="shared" si="16"/>
        <v>0</v>
      </c>
      <c r="G86" s="13"/>
      <c r="H86" s="31">
        <f t="shared" si="17"/>
        <v>-1</v>
      </c>
      <c r="J86" t="s">
        <v>27</v>
      </c>
      <c r="K86" t="str">
        <f t="shared" si="19"/>
        <v>1099:HK</v>
      </c>
      <c r="L86" t="str">
        <f t="shared" si="18"/>
        <v>SHK1099:HK</v>
      </c>
    </row>
    <row r="87" spans="1:12" x14ac:dyDescent="0.25">
      <c r="B87" s="29"/>
      <c r="C87" s="30" t="s">
        <v>28</v>
      </c>
      <c r="D87" s="1">
        <f>SUMIF(Download!B:B,L87,Download!G:G)</f>
        <v>0</v>
      </c>
      <c r="E87" s="31">
        <f>SUMIF(Download!B:B,L87,Download!H:H)</f>
        <v>0</v>
      </c>
      <c r="F87" s="2">
        <f t="shared" si="16"/>
        <v>0</v>
      </c>
      <c r="H87" s="31">
        <f t="shared" si="17"/>
        <v>-1</v>
      </c>
      <c r="J87" t="s">
        <v>29</v>
      </c>
      <c r="K87" t="str">
        <f t="shared" si="19"/>
        <v>1099:HK</v>
      </c>
      <c r="L87" t="str">
        <f t="shared" si="18"/>
        <v>MST11099:HK</v>
      </c>
    </row>
    <row r="88" spans="1:12" x14ac:dyDescent="0.25">
      <c r="B88" s="29"/>
      <c r="C88" s="30" t="s">
        <v>30</v>
      </c>
      <c r="D88" s="1">
        <f>SUMIF(Download!B:B,L88,Download!G:G)</f>
        <v>0</v>
      </c>
      <c r="E88" s="31">
        <f>SUMIF(Download!B:B,L88,Download!H:H)</f>
        <v>0</v>
      </c>
      <c r="F88" s="2">
        <f t="shared" si="16"/>
        <v>0</v>
      </c>
      <c r="H88" s="31">
        <f t="shared" si="17"/>
        <v>-1</v>
      </c>
      <c r="J88" t="s">
        <v>32</v>
      </c>
      <c r="K88" t="str">
        <f t="shared" si="19"/>
        <v>1099:HK</v>
      </c>
      <c r="L88" t="str">
        <f t="shared" si="18"/>
        <v>MST21099:HK</v>
      </c>
    </row>
    <row r="89" spans="1:12" x14ac:dyDescent="0.25">
      <c r="B89" s="29"/>
      <c r="C89" s="30" t="s">
        <v>33</v>
      </c>
      <c r="D89" s="1">
        <f>SUMIF(Download!B:B,L89,Download!G:G)</f>
        <v>0</v>
      </c>
      <c r="E89" s="31">
        <f>SUMIF(Download!B:B,L89,Download!H:H)</f>
        <v>0</v>
      </c>
      <c r="F89" s="2">
        <f t="shared" si="16"/>
        <v>0</v>
      </c>
      <c r="H89" s="31">
        <f t="shared" si="17"/>
        <v>-1</v>
      </c>
      <c r="J89" t="s">
        <v>34</v>
      </c>
      <c r="K89" t="str">
        <f t="shared" si="19"/>
        <v>1099:HK</v>
      </c>
      <c r="L89" t="str">
        <f t="shared" si="18"/>
        <v>MSPL1099:HK</v>
      </c>
    </row>
    <row r="90" spans="1:12" x14ac:dyDescent="0.25">
      <c r="B90" s="29"/>
      <c r="C90" s="32"/>
      <c r="D90" s="11"/>
      <c r="E90" s="33"/>
      <c r="F90" s="12"/>
      <c r="G90" s="36"/>
    </row>
    <row r="91" spans="1:12" ht="15.75" customHeight="1" thickBot="1" x14ac:dyDescent="0.3">
      <c r="C91" s="34" t="s">
        <v>35</v>
      </c>
      <c r="D91" s="10">
        <f>SUM(D76:D90)</f>
        <v>0</v>
      </c>
      <c r="E91" s="35" t="e">
        <f>F91/D91</f>
        <v>#DIV/0!</v>
      </c>
      <c r="F91" s="4">
        <f>SUM(F76:F90)</f>
        <v>0</v>
      </c>
      <c r="G91" s="36"/>
    </row>
    <row r="92" spans="1:12" ht="15.75" customHeight="1" thickTop="1" x14ac:dyDescent="0.25">
      <c r="C92" s="37"/>
      <c r="D92" s="9"/>
      <c r="E92" s="38"/>
      <c r="F92" s="14"/>
      <c r="G92" s="36"/>
    </row>
    <row r="93" spans="1:12" x14ac:dyDescent="0.25">
      <c r="D93" s="36"/>
      <c r="G93" s="18"/>
      <c r="H93" s="19"/>
      <c r="I93" s="19"/>
    </row>
    <row r="94" spans="1:12" ht="18.75" customHeight="1" x14ac:dyDescent="0.3">
      <c r="A94" s="22">
        <f ca="1">INDIRECT("A"&amp;ROW()-18)+1</f>
        <v>6</v>
      </c>
      <c r="B94" s="17" t="str">
        <f>INDEX(Stocks!A:B,MATCH(K95,Stocks!A:A,),2)&amp;" ("&amp;K95&amp;")"</f>
        <v>AIA Group (1299:HK)</v>
      </c>
      <c r="C94" s="17"/>
      <c r="E94" s="21"/>
      <c r="F94" s="37"/>
      <c r="G94" s="18"/>
      <c r="H94" s="39" t="s">
        <v>101</v>
      </c>
      <c r="I94" s="19"/>
    </row>
    <row r="95" spans="1:12" x14ac:dyDescent="0.25">
      <c r="A95" s="25"/>
      <c r="C95" s="26" t="s">
        <v>5</v>
      </c>
      <c r="D95" s="26" t="s">
        <v>6</v>
      </c>
      <c r="E95" s="26" t="s">
        <v>7</v>
      </c>
      <c r="F95" s="26" t="s">
        <v>8</v>
      </c>
      <c r="H95" s="26" t="s">
        <v>102</v>
      </c>
      <c r="K95" t="s">
        <v>86</v>
      </c>
    </row>
    <row r="96" spans="1:12" x14ac:dyDescent="0.25">
      <c r="B96" s="29"/>
      <c r="C96" s="30" t="s">
        <v>10</v>
      </c>
      <c r="D96" s="1">
        <f>SUMIF(Download!B:B,L96,Download!G:G)</f>
        <v>0</v>
      </c>
      <c r="E96" s="31">
        <f>SUMIF(Download!B:B,L96,Download!H:H)</f>
        <v>0</v>
      </c>
      <c r="F96" s="2">
        <f t="shared" ref="F96:F107" si="20">D96*E96</f>
        <v>0</v>
      </c>
      <c r="G96" s="36"/>
      <c r="H96" s="31">
        <f t="shared" ref="H96:H107" si="21">E96-1</f>
        <v>-1</v>
      </c>
      <c r="J96" t="s">
        <v>11</v>
      </c>
      <c r="K96" t="str">
        <f>K95</f>
        <v>1299:HK</v>
      </c>
      <c r="L96" t="str">
        <f t="shared" ref="L96:L107" si="22">J96&amp;K96</f>
        <v>CB11299:HK</v>
      </c>
    </row>
    <row r="97" spans="1:12" x14ac:dyDescent="0.25">
      <c r="B97" s="29"/>
      <c r="C97" s="30" t="s">
        <v>12</v>
      </c>
      <c r="D97" s="1">
        <f>SUMIF(Download!B:B,L97,Download!G:G)</f>
        <v>0</v>
      </c>
      <c r="E97" s="31">
        <f>SUMIF(Download!B:B,L97,Download!H:H)</f>
        <v>0</v>
      </c>
      <c r="F97" s="2">
        <f t="shared" si="20"/>
        <v>0</v>
      </c>
      <c r="H97" s="31">
        <f t="shared" si="21"/>
        <v>-1</v>
      </c>
      <c r="J97" t="s">
        <v>13</v>
      </c>
      <c r="K97" t="str">
        <f>K96</f>
        <v>1299:HK</v>
      </c>
      <c r="L97" t="str">
        <f t="shared" si="22"/>
        <v>CB21299:HK</v>
      </c>
    </row>
    <row r="98" spans="1:12" x14ac:dyDescent="0.25">
      <c r="B98" s="29"/>
      <c r="C98" s="30" t="s">
        <v>14</v>
      </c>
      <c r="D98" s="1">
        <f>SUMIF(Download!B:B,L98,Download!G:G)</f>
        <v>0</v>
      </c>
      <c r="E98" s="31">
        <f>SUMIF(Download!B:B,L98,Download!H:H)</f>
        <v>0</v>
      </c>
      <c r="F98" s="2">
        <f t="shared" si="20"/>
        <v>0</v>
      </c>
      <c r="H98" s="31">
        <f t="shared" si="21"/>
        <v>-1</v>
      </c>
      <c r="J98" t="s">
        <v>15</v>
      </c>
      <c r="K98" t="str">
        <f>K96</f>
        <v>1299:HK</v>
      </c>
      <c r="L98" t="str">
        <f t="shared" si="22"/>
        <v>CB31299:HK</v>
      </c>
    </row>
    <row r="99" spans="1:12" x14ac:dyDescent="0.25">
      <c r="B99" s="29"/>
      <c r="C99" s="30" t="s">
        <v>16</v>
      </c>
      <c r="D99" s="1">
        <f>SUMIF(Download!B:B,L99,Download!G:G)</f>
        <v>0</v>
      </c>
      <c r="E99" s="31">
        <f>SUMIF(Download!B:B,L99,Download!H:H)</f>
        <v>0</v>
      </c>
      <c r="F99" s="2">
        <f t="shared" si="20"/>
        <v>0</v>
      </c>
      <c r="H99" s="31">
        <f t="shared" si="21"/>
        <v>-1</v>
      </c>
      <c r="J99" t="s">
        <v>17</v>
      </c>
      <c r="K99" t="str">
        <f>K97</f>
        <v>1299:HK</v>
      </c>
      <c r="L99" t="str">
        <f t="shared" si="22"/>
        <v>CBBH1299:HK</v>
      </c>
    </row>
    <row r="100" spans="1:12" x14ac:dyDescent="0.25">
      <c r="B100" s="29"/>
      <c r="C100" s="30" t="s">
        <v>18</v>
      </c>
      <c r="D100" s="1">
        <f>SUMIF(Download!B:B,L100,Download!G:G)</f>
        <v>0</v>
      </c>
      <c r="E100" s="31">
        <f>SUMIF(Download!B:B,L100,Download!H:H)</f>
        <v>0</v>
      </c>
      <c r="F100" s="2">
        <f t="shared" si="20"/>
        <v>0</v>
      </c>
      <c r="H100" s="31">
        <f t="shared" si="21"/>
        <v>-1</v>
      </c>
      <c r="J100" t="s">
        <v>19</v>
      </c>
      <c r="K100" t="str">
        <f t="shared" ref="K100:K107" si="23">K99</f>
        <v>1299:HK</v>
      </c>
      <c r="L100" t="str">
        <f t="shared" si="22"/>
        <v>BOS1299:HK</v>
      </c>
    </row>
    <row r="101" spans="1:12" x14ac:dyDescent="0.25">
      <c r="B101" s="29"/>
      <c r="C101" s="30" t="s">
        <v>20</v>
      </c>
      <c r="D101" s="1">
        <f>SUMIF(Download!B:B,L101,Download!G:G)</f>
        <v>0</v>
      </c>
      <c r="E101" s="31">
        <f>SUMIF(Download!B:B,L101,Download!H:H)</f>
        <v>0</v>
      </c>
      <c r="F101" s="2">
        <f t="shared" si="20"/>
        <v>0</v>
      </c>
      <c r="H101" s="31">
        <f t="shared" si="21"/>
        <v>-1</v>
      </c>
      <c r="J101" t="s">
        <v>21</v>
      </c>
      <c r="K101" t="str">
        <f t="shared" si="23"/>
        <v>1299:HK</v>
      </c>
      <c r="L101" t="str">
        <f t="shared" si="22"/>
        <v>DBPe1299:HK</v>
      </c>
    </row>
    <row r="102" spans="1:12" x14ac:dyDescent="0.25">
      <c r="B102" s="29"/>
      <c r="C102" s="30" t="s">
        <v>22</v>
      </c>
      <c r="D102" s="1">
        <f>SUMIF(Download!B:B,L102,Download!G:G)</f>
        <v>0</v>
      </c>
      <c r="E102" s="31">
        <f>SUMIF(Download!B:B,L102,Download!H:H)</f>
        <v>0</v>
      </c>
      <c r="F102" s="2">
        <f t="shared" si="20"/>
        <v>0</v>
      </c>
      <c r="H102" s="31">
        <f t="shared" si="21"/>
        <v>-1</v>
      </c>
      <c r="J102" t="s">
        <v>23</v>
      </c>
      <c r="K102" t="str">
        <f t="shared" si="23"/>
        <v>1299:HK</v>
      </c>
      <c r="L102" t="str">
        <f t="shared" si="22"/>
        <v>DBPL1299:HK</v>
      </c>
    </row>
    <row r="103" spans="1:12" x14ac:dyDescent="0.25">
      <c r="B103" s="29"/>
      <c r="C103" s="30" t="s">
        <v>24</v>
      </c>
      <c r="D103" s="1">
        <f>SUMIF(Download!B:B,L103,Download!G:G)</f>
        <v>0</v>
      </c>
      <c r="E103" s="31">
        <f>SUMIF(Download!B:B,L103,Download!H:H)</f>
        <v>0</v>
      </c>
      <c r="F103" s="2">
        <f t="shared" si="20"/>
        <v>0</v>
      </c>
      <c r="H103" s="31">
        <f t="shared" si="21"/>
        <v>-1</v>
      </c>
      <c r="J103" t="s">
        <v>25</v>
      </c>
      <c r="K103" t="str">
        <f t="shared" si="23"/>
        <v>1299:HK</v>
      </c>
      <c r="L103" t="str">
        <f t="shared" si="22"/>
        <v>SC1299:HK</v>
      </c>
    </row>
    <row r="104" spans="1:12" x14ac:dyDescent="0.25">
      <c r="B104" s="29"/>
      <c r="C104" s="30" t="s">
        <v>26</v>
      </c>
      <c r="D104" s="1">
        <f>SUMIF(Download!B:B,L104,Download!G:G)</f>
        <v>0</v>
      </c>
      <c r="E104" s="31">
        <f>SUMIF(Download!B:B,L104,Download!H:H)</f>
        <v>0</v>
      </c>
      <c r="F104" s="2">
        <f t="shared" si="20"/>
        <v>0</v>
      </c>
      <c r="G104" s="13"/>
      <c r="H104" s="31">
        <f t="shared" si="21"/>
        <v>-1</v>
      </c>
      <c r="J104" t="s">
        <v>27</v>
      </c>
      <c r="K104" t="str">
        <f t="shared" si="23"/>
        <v>1299:HK</v>
      </c>
      <c r="L104" t="str">
        <f t="shared" si="22"/>
        <v>SHK1299:HK</v>
      </c>
    </row>
    <row r="105" spans="1:12" x14ac:dyDescent="0.25">
      <c r="B105" s="29"/>
      <c r="C105" s="30" t="s">
        <v>28</v>
      </c>
      <c r="D105" s="1">
        <f>SUMIF(Download!B:B,L105,Download!G:G)</f>
        <v>0</v>
      </c>
      <c r="E105" s="31">
        <f>SUMIF(Download!B:B,L105,Download!H:H)</f>
        <v>0</v>
      </c>
      <c r="F105" s="2">
        <f t="shared" si="20"/>
        <v>0</v>
      </c>
      <c r="H105" s="31">
        <f t="shared" si="21"/>
        <v>-1</v>
      </c>
      <c r="J105" t="s">
        <v>29</v>
      </c>
      <c r="K105" t="str">
        <f t="shared" si="23"/>
        <v>1299:HK</v>
      </c>
      <c r="L105" t="str">
        <f t="shared" si="22"/>
        <v>MST11299:HK</v>
      </c>
    </row>
    <row r="106" spans="1:12" x14ac:dyDescent="0.25">
      <c r="B106" s="29"/>
      <c r="C106" s="30" t="s">
        <v>30</v>
      </c>
      <c r="D106" s="1">
        <f>SUMIF(Download!B:B,L106,Download!G:G)</f>
        <v>0</v>
      </c>
      <c r="E106" s="31">
        <f>SUMIF(Download!B:B,L106,Download!H:H)</f>
        <v>0</v>
      </c>
      <c r="F106" s="2">
        <f t="shared" si="20"/>
        <v>0</v>
      </c>
      <c r="H106" s="31">
        <f t="shared" si="21"/>
        <v>-1</v>
      </c>
      <c r="J106" t="s">
        <v>32</v>
      </c>
      <c r="K106" t="str">
        <f t="shared" si="23"/>
        <v>1299:HK</v>
      </c>
      <c r="L106" t="str">
        <f t="shared" si="22"/>
        <v>MST21299:HK</v>
      </c>
    </row>
    <row r="107" spans="1:12" x14ac:dyDescent="0.25">
      <c r="B107" s="29"/>
      <c r="C107" s="30" t="s">
        <v>33</v>
      </c>
      <c r="D107" s="1">
        <f>SUMIF(Download!B:B,L107,Download!G:G)</f>
        <v>0</v>
      </c>
      <c r="E107" s="31">
        <f>SUMIF(Download!B:B,L107,Download!H:H)</f>
        <v>0</v>
      </c>
      <c r="F107" s="2">
        <f t="shared" si="20"/>
        <v>0</v>
      </c>
      <c r="H107" s="31">
        <f t="shared" si="21"/>
        <v>-1</v>
      </c>
      <c r="J107" t="s">
        <v>34</v>
      </c>
      <c r="K107" t="str">
        <f t="shared" si="23"/>
        <v>1299:HK</v>
      </c>
      <c r="L107" t="str">
        <f t="shared" si="22"/>
        <v>MSPL1299:HK</v>
      </c>
    </row>
    <row r="108" spans="1:12" x14ac:dyDescent="0.25">
      <c r="B108" s="29"/>
      <c r="C108" s="32"/>
      <c r="D108" s="11"/>
      <c r="E108" s="33"/>
      <c r="F108" s="12"/>
      <c r="G108" s="36"/>
    </row>
    <row r="109" spans="1:12" ht="15.75" customHeight="1" thickBot="1" x14ac:dyDescent="0.3">
      <c r="C109" s="34" t="s">
        <v>35</v>
      </c>
      <c r="D109" s="10">
        <f>SUM(D94:D108)</f>
        <v>0</v>
      </c>
      <c r="E109" s="35" t="e">
        <f>F109/D109</f>
        <v>#DIV/0!</v>
      </c>
      <c r="F109" s="4">
        <f>SUM(F94:F108)</f>
        <v>0</v>
      </c>
      <c r="G109" s="36"/>
    </row>
    <row r="110" spans="1:12" ht="15" customHeight="1" thickTop="1" x14ac:dyDescent="0.25">
      <c r="D110" s="36"/>
      <c r="G110" s="18"/>
      <c r="H110" s="19"/>
      <c r="I110" s="19"/>
    </row>
    <row r="111" spans="1:12" x14ac:dyDescent="0.25">
      <c r="D111" s="36"/>
      <c r="G111" s="18"/>
      <c r="H111" s="20"/>
      <c r="I111" s="20"/>
    </row>
    <row r="112" spans="1:12" ht="18.75" customHeight="1" x14ac:dyDescent="0.3">
      <c r="A112" s="22">
        <f ca="1">INDIRECT("A"&amp;ROW()-18)+1</f>
        <v>7</v>
      </c>
      <c r="B112" s="17" t="str">
        <f>INDEX(Stocks!A:B,MATCH(K113,Stocks!A:A,),2)&amp;" ("&amp;K113&amp;")"</f>
        <v>Postal Savings Bank of China (1658:HK)</v>
      </c>
      <c r="C112" s="17"/>
      <c r="E112" s="21"/>
      <c r="F112" s="37"/>
      <c r="G112" s="18"/>
      <c r="H112" s="39" t="s">
        <v>101</v>
      </c>
      <c r="I112" s="19"/>
    </row>
    <row r="113" spans="1:12" x14ac:dyDescent="0.25">
      <c r="A113" s="25"/>
      <c r="C113" s="26" t="s">
        <v>5</v>
      </c>
      <c r="D113" s="26" t="s">
        <v>6</v>
      </c>
      <c r="E113" s="26" t="s">
        <v>7</v>
      </c>
      <c r="F113" s="26" t="s">
        <v>8</v>
      </c>
      <c r="H113" s="26" t="s">
        <v>102</v>
      </c>
      <c r="K113" t="s">
        <v>47</v>
      </c>
    </row>
    <row r="114" spans="1:12" x14ac:dyDescent="0.25">
      <c r="B114" s="29"/>
      <c r="C114" s="30" t="s">
        <v>10</v>
      </c>
      <c r="D114" s="1">
        <f>SUMIF(Download!B:B,L114,Download!G:G)</f>
        <v>0</v>
      </c>
      <c r="E114" s="31">
        <f>SUMIF(Download!B:B,L114,Download!H:H)</f>
        <v>0</v>
      </c>
      <c r="F114" s="2">
        <f t="shared" ref="F114:F125" si="24">D114*E114</f>
        <v>0</v>
      </c>
      <c r="G114" s="36"/>
      <c r="H114" s="31">
        <f t="shared" ref="H114:H125" si="25">E114-1</f>
        <v>-1</v>
      </c>
      <c r="J114" t="s">
        <v>11</v>
      </c>
      <c r="K114" t="str">
        <f>K113</f>
        <v>1658:HK</v>
      </c>
      <c r="L114" t="str">
        <f t="shared" ref="L114:L125" si="26">J114&amp;K114</f>
        <v>CB11658:HK</v>
      </c>
    </row>
    <row r="115" spans="1:12" x14ac:dyDescent="0.25">
      <c r="B115" s="29"/>
      <c r="C115" s="30" t="s">
        <v>12</v>
      </c>
      <c r="D115" s="1">
        <f>SUMIF(Download!B:B,L115,Download!G:G)</f>
        <v>0</v>
      </c>
      <c r="E115" s="31">
        <f>SUMIF(Download!B:B,L115,Download!H:H)</f>
        <v>0</v>
      </c>
      <c r="F115" s="2">
        <f t="shared" si="24"/>
        <v>0</v>
      </c>
      <c r="H115" s="31">
        <f t="shared" si="25"/>
        <v>-1</v>
      </c>
      <c r="J115" t="s">
        <v>13</v>
      </c>
      <c r="K115" t="str">
        <f>K114</f>
        <v>1658:HK</v>
      </c>
      <c r="L115" t="str">
        <f t="shared" si="26"/>
        <v>CB21658:HK</v>
      </c>
    </row>
    <row r="116" spans="1:12" x14ac:dyDescent="0.25">
      <c r="B116" s="29"/>
      <c r="C116" s="30" t="s">
        <v>14</v>
      </c>
      <c r="D116" s="1">
        <f>SUMIF(Download!B:B,L116,Download!G:G)</f>
        <v>0</v>
      </c>
      <c r="E116" s="31">
        <f>SUMIF(Download!B:B,L116,Download!H:H)</f>
        <v>0</v>
      </c>
      <c r="F116" s="2">
        <f t="shared" si="24"/>
        <v>0</v>
      </c>
      <c r="H116" s="31">
        <f t="shared" si="25"/>
        <v>-1</v>
      </c>
      <c r="J116" t="s">
        <v>15</v>
      </c>
      <c r="K116" t="str">
        <f>K114</f>
        <v>1658:HK</v>
      </c>
      <c r="L116" t="str">
        <f t="shared" si="26"/>
        <v>CB31658:HK</v>
      </c>
    </row>
    <row r="117" spans="1:12" x14ac:dyDescent="0.25">
      <c r="B117" s="29"/>
      <c r="C117" s="30" t="s">
        <v>16</v>
      </c>
      <c r="D117" s="1">
        <f>SUMIF(Download!B:B,L117,Download!G:G)</f>
        <v>0</v>
      </c>
      <c r="E117" s="31">
        <f>SUMIF(Download!B:B,L117,Download!H:H)</f>
        <v>0</v>
      </c>
      <c r="F117" s="2">
        <f t="shared" si="24"/>
        <v>0</v>
      </c>
      <c r="H117" s="31">
        <f t="shared" si="25"/>
        <v>-1</v>
      </c>
      <c r="J117" t="s">
        <v>17</v>
      </c>
      <c r="K117" t="str">
        <f>K115</f>
        <v>1658:HK</v>
      </c>
      <c r="L117" t="str">
        <f t="shared" si="26"/>
        <v>CBBH1658:HK</v>
      </c>
    </row>
    <row r="118" spans="1:12" x14ac:dyDescent="0.25">
      <c r="B118" s="29"/>
      <c r="C118" s="30" t="s">
        <v>18</v>
      </c>
      <c r="D118" s="1">
        <f>SUMIF(Download!B:B,L118,Download!G:G)</f>
        <v>0</v>
      </c>
      <c r="E118" s="31">
        <f>SUMIF(Download!B:B,L118,Download!H:H)</f>
        <v>0</v>
      </c>
      <c r="F118" s="2">
        <f t="shared" si="24"/>
        <v>0</v>
      </c>
      <c r="H118" s="31">
        <f t="shared" si="25"/>
        <v>-1</v>
      </c>
      <c r="J118" t="s">
        <v>19</v>
      </c>
      <c r="K118" t="str">
        <f t="shared" ref="K118:K125" si="27">K117</f>
        <v>1658:HK</v>
      </c>
      <c r="L118" t="str">
        <f t="shared" si="26"/>
        <v>BOS1658:HK</v>
      </c>
    </row>
    <row r="119" spans="1:12" x14ac:dyDescent="0.25">
      <c r="B119" s="29"/>
      <c r="C119" s="30" t="s">
        <v>20</v>
      </c>
      <c r="D119" s="1">
        <f>SUMIF(Download!B:B,L119,Download!G:G)</f>
        <v>0</v>
      </c>
      <c r="E119" s="31">
        <f>SUMIF(Download!B:B,L119,Download!H:H)</f>
        <v>0</v>
      </c>
      <c r="F119" s="2">
        <f t="shared" si="24"/>
        <v>0</v>
      </c>
      <c r="H119" s="31">
        <f t="shared" si="25"/>
        <v>-1</v>
      </c>
      <c r="J119" t="s">
        <v>21</v>
      </c>
      <c r="K119" t="str">
        <f t="shared" si="27"/>
        <v>1658:HK</v>
      </c>
      <c r="L119" t="str">
        <f t="shared" si="26"/>
        <v>DBPe1658:HK</v>
      </c>
    </row>
    <row r="120" spans="1:12" x14ac:dyDescent="0.25">
      <c r="B120" s="29"/>
      <c r="C120" s="30" t="s">
        <v>22</v>
      </c>
      <c r="D120" s="1">
        <f>SUMIF(Download!B:B,L120,Download!G:G)</f>
        <v>0</v>
      </c>
      <c r="E120" s="31">
        <f>SUMIF(Download!B:B,L120,Download!H:H)</f>
        <v>0</v>
      </c>
      <c r="F120" s="2">
        <f t="shared" si="24"/>
        <v>0</v>
      </c>
      <c r="H120" s="31">
        <f t="shared" si="25"/>
        <v>-1</v>
      </c>
      <c r="J120" t="s">
        <v>23</v>
      </c>
      <c r="K120" t="str">
        <f t="shared" si="27"/>
        <v>1658:HK</v>
      </c>
      <c r="L120" t="str">
        <f t="shared" si="26"/>
        <v>DBPL1658:HK</v>
      </c>
    </row>
    <row r="121" spans="1:12" x14ac:dyDescent="0.25">
      <c r="B121" s="29"/>
      <c r="C121" s="30" t="s">
        <v>24</v>
      </c>
      <c r="D121" s="1">
        <f>SUMIF(Download!B:B,L121,Download!G:G)</f>
        <v>0</v>
      </c>
      <c r="E121" s="31">
        <f>SUMIF(Download!B:B,L121,Download!H:H)</f>
        <v>0</v>
      </c>
      <c r="F121" s="2">
        <f t="shared" si="24"/>
        <v>0</v>
      </c>
      <c r="H121" s="31">
        <f t="shared" si="25"/>
        <v>-1</v>
      </c>
      <c r="J121" t="s">
        <v>25</v>
      </c>
      <c r="K121" t="str">
        <f t="shared" si="27"/>
        <v>1658:HK</v>
      </c>
      <c r="L121" t="str">
        <f t="shared" si="26"/>
        <v>SC1658:HK</v>
      </c>
    </row>
    <row r="122" spans="1:12" x14ac:dyDescent="0.25">
      <c r="B122" s="29"/>
      <c r="C122" s="30" t="s">
        <v>26</v>
      </c>
      <c r="D122" s="1">
        <f>SUMIF(Download!B:B,L122,Download!G:G)</f>
        <v>0</v>
      </c>
      <c r="E122" s="31">
        <f>SUMIF(Download!B:B,L122,Download!H:H)</f>
        <v>0</v>
      </c>
      <c r="F122" s="2">
        <f t="shared" si="24"/>
        <v>0</v>
      </c>
      <c r="G122" s="13"/>
      <c r="H122" s="31">
        <f t="shared" si="25"/>
        <v>-1</v>
      </c>
      <c r="J122" t="s">
        <v>27</v>
      </c>
      <c r="K122" t="str">
        <f t="shared" si="27"/>
        <v>1658:HK</v>
      </c>
      <c r="L122" t="str">
        <f t="shared" si="26"/>
        <v>SHK1658:HK</v>
      </c>
    </row>
    <row r="123" spans="1:12" x14ac:dyDescent="0.25">
      <c r="B123" s="29"/>
      <c r="C123" s="30" t="s">
        <v>28</v>
      </c>
      <c r="D123" s="1">
        <f>SUMIF(Download!B:B,L123,Download!G:G)</f>
        <v>0</v>
      </c>
      <c r="E123" s="31">
        <f>SUMIF(Download!B:B,L123,Download!H:H)</f>
        <v>0</v>
      </c>
      <c r="F123" s="2">
        <f t="shared" si="24"/>
        <v>0</v>
      </c>
      <c r="H123" s="31">
        <f t="shared" si="25"/>
        <v>-1</v>
      </c>
      <c r="J123" t="s">
        <v>29</v>
      </c>
      <c r="K123" t="str">
        <f t="shared" si="27"/>
        <v>1658:HK</v>
      </c>
      <c r="L123" t="str">
        <f t="shared" si="26"/>
        <v>MST11658:HK</v>
      </c>
    </row>
    <row r="124" spans="1:12" x14ac:dyDescent="0.25">
      <c r="B124" s="29"/>
      <c r="C124" s="30" t="s">
        <v>30</v>
      </c>
      <c r="D124" s="1">
        <f>SUMIF(Download!B:B,L124,Download!G:G)</f>
        <v>0</v>
      </c>
      <c r="E124" s="31">
        <f>SUMIF(Download!B:B,L124,Download!H:H)</f>
        <v>0</v>
      </c>
      <c r="F124" s="2">
        <f t="shared" si="24"/>
        <v>0</v>
      </c>
      <c r="H124" s="31">
        <f t="shared" si="25"/>
        <v>-1</v>
      </c>
      <c r="J124" t="s">
        <v>32</v>
      </c>
      <c r="K124" t="str">
        <f t="shared" si="27"/>
        <v>1658:HK</v>
      </c>
      <c r="L124" t="str">
        <f t="shared" si="26"/>
        <v>MST21658:HK</v>
      </c>
    </row>
    <row r="125" spans="1:12" x14ac:dyDescent="0.25">
      <c r="B125" s="29"/>
      <c r="C125" s="30" t="s">
        <v>33</v>
      </c>
      <c r="D125" s="1">
        <f>SUMIF(Download!B:B,L125,Download!G:G)</f>
        <v>0</v>
      </c>
      <c r="E125" s="31">
        <f>SUMIF(Download!B:B,L125,Download!H:H)</f>
        <v>0</v>
      </c>
      <c r="F125" s="2">
        <f t="shared" si="24"/>
        <v>0</v>
      </c>
      <c r="H125" s="31">
        <f t="shared" si="25"/>
        <v>-1</v>
      </c>
      <c r="J125" t="s">
        <v>34</v>
      </c>
      <c r="K125" t="str">
        <f t="shared" si="27"/>
        <v>1658:HK</v>
      </c>
      <c r="L125" t="str">
        <f t="shared" si="26"/>
        <v>MSPL1658:HK</v>
      </c>
    </row>
    <row r="126" spans="1:12" x14ac:dyDescent="0.25">
      <c r="B126" s="29"/>
      <c r="C126" s="32"/>
      <c r="D126" s="11"/>
      <c r="E126" s="33"/>
      <c r="F126" s="12"/>
      <c r="G126" s="36"/>
    </row>
    <row r="127" spans="1:12" ht="15.75" customHeight="1" thickBot="1" x14ac:dyDescent="0.3">
      <c r="C127" s="34" t="s">
        <v>35</v>
      </c>
      <c r="D127" s="10">
        <f>SUM(D112:D126)</f>
        <v>0</v>
      </c>
      <c r="E127" s="35" t="e">
        <f>F127/D127</f>
        <v>#DIV/0!</v>
      </c>
      <c r="F127" s="4">
        <f>SUM(F112:F126)</f>
        <v>0</v>
      </c>
      <c r="G127" s="36"/>
    </row>
    <row r="128" spans="1:12" ht="15" customHeight="1" thickTop="1" x14ac:dyDescent="0.25">
      <c r="D128" s="36"/>
      <c r="G128" s="18"/>
      <c r="H128" s="19"/>
      <c r="I128" s="19"/>
    </row>
    <row r="129" spans="1:12" x14ac:dyDescent="0.25">
      <c r="D129" s="36"/>
      <c r="G129" s="18"/>
      <c r="H129" s="20"/>
      <c r="I129" s="20"/>
    </row>
    <row r="130" spans="1:12" ht="18.75" customHeight="1" x14ac:dyDescent="0.3">
      <c r="A130" s="22">
        <f ca="1">INDIRECT("A"&amp;ROW()-18)+1</f>
        <v>8</v>
      </c>
      <c r="B130" s="17" t="str">
        <f>INDEX(Stocks!A:B,MATCH(K131,Stocks!A:A,),2)&amp;" ("&amp;K131&amp;")"</f>
        <v>CSOP FTSE China A50 ETF (2822:HK)</v>
      </c>
      <c r="C130" s="17"/>
      <c r="E130" s="21"/>
      <c r="F130" s="37"/>
      <c r="G130" s="18"/>
      <c r="H130" s="39" t="s">
        <v>101</v>
      </c>
      <c r="I130" s="19"/>
    </row>
    <row r="131" spans="1:12" x14ac:dyDescent="0.25">
      <c r="A131" s="25"/>
      <c r="C131" s="26" t="s">
        <v>5</v>
      </c>
      <c r="D131" s="26" t="s">
        <v>6</v>
      </c>
      <c r="E131" s="26" t="s">
        <v>7</v>
      </c>
      <c r="F131" s="26" t="s">
        <v>8</v>
      </c>
      <c r="H131" s="26" t="s">
        <v>102</v>
      </c>
      <c r="K131" t="s">
        <v>103</v>
      </c>
    </row>
    <row r="132" spans="1:12" x14ac:dyDescent="0.25">
      <c r="B132" s="29"/>
      <c r="C132" s="30" t="s">
        <v>10</v>
      </c>
      <c r="D132" s="1">
        <f>SUMIF(Download!B:B,L132,Download!G:G)</f>
        <v>0</v>
      </c>
      <c r="E132" s="31">
        <f>SUMIF(Download!B:B,L132,Download!H:H)</f>
        <v>0</v>
      </c>
      <c r="F132" s="2">
        <f t="shared" ref="F132:F143" si="28">D132*E132</f>
        <v>0</v>
      </c>
      <c r="G132" s="36"/>
      <c r="H132" s="31">
        <f t="shared" ref="H132:H143" si="29">E132-1</f>
        <v>-1</v>
      </c>
      <c r="J132" t="s">
        <v>11</v>
      </c>
      <c r="K132" t="str">
        <f>K131</f>
        <v>2822:HK</v>
      </c>
      <c r="L132" t="str">
        <f t="shared" ref="L132:L143" si="30">J132&amp;K132</f>
        <v>CB12822:HK</v>
      </c>
    </row>
    <row r="133" spans="1:12" x14ac:dyDescent="0.25">
      <c r="B133" s="29"/>
      <c r="C133" s="30" t="s">
        <v>12</v>
      </c>
      <c r="D133" s="1">
        <f>SUMIF(Download!B:B,L133,Download!G:G)</f>
        <v>0</v>
      </c>
      <c r="E133" s="31">
        <f>SUMIF(Download!B:B,L133,Download!H:H)</f>
        <v>0</v>
      </c>
      <c r="F133" s="2">
        <f t="shared" si="28"/>
        <v>0</v>
      </c>
      <c r="H133" s="31">
        <f t="shared" si="29"/>
        <v>-1</v>
      </c>
      <c r="J133" t="s">
        <v>13</v>
      </c>
      <c r="K133" t="str">
        <f>K132</f>
        <v>2822:HK</v>
      </c>
      <c r="L133" t="str">
        <f t="shared" si="30"/>
        <v>CB22822:HK</v>
      </c>
    </row>
    <row r="134" spans="1:12" x14ac:dyDescent="0.25">
      <c r="B134" s="29"/>
      <c r="C134" s="30" t="s">
        <v>14</v>
      </c>
      <c r="D134" s="1">
        <f>SUMIF(Download!B:B,L134,Download!G:G)</f>
        <v>0</v>
      </c>
      <c r="E134" s="31">
        <f>SUMIF(Download!B:B,L134,Download!H:H)</f>
        <v>0</v>
      </c>
      <c r="F134" s="2">
        <f t="shared" si="28"/>
        <v>0</v>
      </c>
      <c r="H134" s="31">
        <f t="shared" si="29"/>
        <v>-1</v>
      </c>
      <c r="J134" t="s">
        <v>15</v>
      </c>
      <c r="K134" t="str">
        <f>K132</f>
        <v>2822:HK</v>
      </c>
      <c r="L134" t="str">
        <f t="shared" si="30"/>
        <v>CB32822:HK</v>
      </c>
    </row>
    <row r="135" spans="1:12" x14ac:dyDescent="0.25">
      <c r="B135" s="29"/>
      <c r="C135" s="30" t="s">
        <v>16</v>
      </c>
      <c r="D135" s="1">
        <f>SUMIF(Download!B:B,L135,Download!G:G)</f>
        <v>0</v>
      </c>
      <c r="E135" s="31">
        <f>SUMIF(Download!B:B,L135,Download!H:H)</f>
        <v>0</v>
      </c>
      <c r="F135" s="2">
        <f t="shared" si="28"/>
        <v>0</v>
      </c>
      <c r="H135" s="31">
        <f t="shared" si="29"/>
        <v>-1</v>
      </c>
      <c r="J135" t="s">
        <v>17</v>
      </c>
      <c r="K135" t="str">
        <f>K133</f>
        <v>2822:HK</v>
      </c>
      <c r="L135" t="str">
        <f t="shared" si="30"/>
        <v>CBBH2822:HK</v>
      </c>
    </row>
    <row r="136" spans="1:12" x14ac:dyDescent="0.25">
      <c r="B136" s="29"/>
      <c r="C136" s="30" t="s">
        <v>18</v>
      </c>
      <c r="D136" s="1">
        <f>SUMIF(Download!B:B,L136,Download!G:G)</f>
        <v>0</v>
      </c>
      <c r="E136" s="31">
        <f>SUMIF(Download!B:B,L136,Download!H:H)</f>
        <v>0</v>
      </c>
      <c r="F136" s="2">
        <f t="shared" si="28"/>
        <v>0</v>
      </c>
      <c r="H136" s="31">
        <f t="shared" si="29"/>
        <v>-1</v>
      </c>
      <c r="J136" t="s">
        <v>19</v>
      </c>
      <c r="K136" t="str">
        <f t="shared" ref="K136:K143" si="31">K135</f>
        <v>2822:HK</v>
      </c>
      <c r="L136" t="str">
        <f t="shared" si="30"/>
        <v>BOS2822:HK</v>
      </c>
    </row>
    <row r="137" spans="1:12" x14ac:dyDescent="0.25">
      <c r="B137" s="29"/>
      <c r="C137" s="30" t="s">
        <v>20</v>
      </c>
      <c r="D137" s="1">
        <f>SUMIF(Download!B:B,L137,Download!G:G)</f>
        <v>0</v>
      </c>
      <c r="E137" s="31">
        <f>SUMIF(Download!B:B,L137,Download!H:H)</f>
        <v>0</v>
      </c>
      <c r="F137" s="2">
        <f t="shared" si="28"/>
        <v>0</v>
      </c>
      <c r="H137" s="31">
        <f t="shared" si="29"/>
        <v>-1</v>
      </c>
      <c r="J137" t="s">
        <v>21</v>
      </c>
      <c r="K137" t="str">
        <f t="shared" si="31"/>
        <v>2822:HK</v>
      </c>
      <c r="L137" t="str">
        <f t="shared" si="30"/>
        <v>DBPe2822:HK</v>
      </c>
    </row>
    <row r="138" spans="1:12" x14ac:dyDescent="0.25">
      <c r="B138" s="29"/>
      <c r="C138" s="30" t="s">
        <v>22</v>
      </c>
      <c r="D138" s="1">
        <f>SUMIF(Download!B:B,L138,Download!G:G)</f>
        <v>0</v>
      </c>
      <c r="E138" s="31">
        <f>SUMIF(Download!B:B,L138,Download!H:H)</f>
        <v>0</v>
      </c>
      <c r="F138" s="2">
        <f t="shared" si="28"/>
        <v>0</v>
      </c>
      <c r="H138" s="31">
        <f t="shared" si="29"/>
        <v>-1</v>
      </c>
      <c r="J138" t="s">
        <v>23</v>
      </c>
      <c r="K138" t="str">
        <f t="shared" si="31"/>
        <v>2822:HK</v>
      </c>
      <c r="L138" t="str">
        <f t="shared" si="30"/>
        <v>DBPL2822:HK</v>
      </c>
    </row>
    <row r="139" spans="1:12" x14ac:dyDescent="0.25">
      <c r="B139" s="29"/>
      <c r="C139" s="30" t="s">
        <v>24</v>
      </c>
      <c r="D139" s="1">
        <f>SUMIF(Download!B:B,L139,Download!G:G)</f>
        <v>0</v>
      </c>
      <c r="E139" s="31">
        <f>SUMIF(Download!B:B,L139,Download!H:H)</f>
        <v>0</v>
      </c>
      <c r="F139" s="2">
        <f t="shared" si="28"/>
        <v>0</v>
      </c>
      <c r="H139" s="31">
        <f t="shared" si="29"/>
        <v>-1</v>
      </c>
      <c r="J139" t="s">
        <v>25</v>
      </c>
      <c r="K139" t="str">
        <f t="shared" si="31"/>
        <v>2822:HK</v>
      </c>
      <c r="L139" t="str">
        <f t="shared" si="30"/>
        <v>SC2822:HK</v>
      </c>
    </row>
    <row r="140" spans="1:12" x14ac:dyDescent="0.25">
      <c r="B140" s="29"/>
      <c r="C140" s="30" t="s">
        <v>26</v>
      </c>
      <c r="D140" s="1">
        <f>SUMIF(Download!B:B,L140,Download!G:G)</f>
        <v>0</v>
      </c>
      <c r="E140" s="31">
        <f>SUMIF(Download!B:B,L140,Download!H:H)</f>
        <v>0</v>
      </c>
      <c r="F140" s="2">
        <f t="shared" si="28"/>
        <v>0</v>
      </c>
      <c r="G140" s="13"/>
      <c r="H140" s="31">
        <f t="shared" si="29"/>
        <v>-1</v>
      </c>
      <c r="J140" t="s">
        <v>27</v>
      </c>
      <c r="K140" t="str">
        <f t="shared" si="31"/>
        <v>2822:HK</v>
      </c>
      <c r="L140" t="str">
        <f t="shared" si="30"/>
        <v>SHK2822:HK</v>
      </c>
    </row>
    <row r="141" spans="1:12" x14ac:dyDescent="0.25">
      <c r="B141" s="29"/>
      <c r="C141" s="30" t="s">
        <v>28</v>
      </c>
      <c r="D141" s="1">
        <f>SUMIF(Download!B:B,L141,Download!G:G)</f>
        <v>0</v>
      </c>
      <c r="E141" s="31">
        <f>SUMIF(Download!B:B,L141,Download!H:H)</f>
        <v>0</v>
      </c>
      <c r="F141" s="2">
        <f t="shared" si="28"/>
        <v>0</v>
      </c>
      <c r="H141" s="31">
        <f t="shared" si="29"/>
        <v>-1</v>
      </c>
      <c r="J141" t="s">
        <v>29</v>
      </c>
      <c r="K141" t="str">
        <f t="shared" si="31"/>
        <v>2822:HK</v>
      </c>
      <c r="L141" t="str">
        <f t="shared" si="30"/>
        <v>MST12822:HK</v>
      </c>
    </row>
    <row r="142" spans="1:12" x14ac:dyDescent="0.25">
      <c r="B142" s="29"/>
      <c r="C142" s="30" t="s">
        <v>30</v>
      </c>
      <c r="D142" s="1">
        <f>SUMIF(Download!B:B,L142,Download!G:G)</f>
        <v>0</v>
      </c>
      <c r="E142" s="31">
        <f>SUMIF(Download!B:B,L142,Download!H:H)</f>
        <v>0</v>
      </c>
      <c r="F142" s="2">
        <f t="shared" si="28"/>
        <v>0</v>
      </c>
      <c r="H142" s="31">
        <f t="shared" si="29"/>
        <v>-1</v>
      </c>
      <c r="J142" t="s">
        <v>32</v>
      </c>
      <c r="K142" t="str">
        <f t="shared" si="31"/>
        <v>2822:HK</v>
      </c>
      <c r="L142" t="str">
        <f t="shared" si="30"/>
        <v>MST22822:HK</v>
      </c>
    </row>
    <row r="143" spans="1:12" x14ac:dyDescent="0.25">
      <c r="B143" s="29"/>
      <c r="C143" s="30" t="s">
        <v>33</v>
      </c>
      <c r="D143" s="1">
        <f>SUMIF(Download!B:B,L143,Download!G:G)</f>
        <v>0</v>
      </c>
      <c r="E143" s="31">
        <f>SUMIF(Download!B:B,L143,Download!H:H)</f>
        <v>0</v>
      </c>
      <c r="F143" s="2">
        <f t="shared" si="28"/>
        <v>0</v>
      </c>
      <c r="H143" s="31">
        <f t="shared" si="29"/>
        <v>-1</v>
      </c>
      <c r="J143" t="s">
        <v>34</v>
      </c>
      <c r="K143" t="str">
        <f t="shared" si="31"/>
        <v>2822:HK</v>
      </c>
      <c r="L143" t="str">
        <f t="shared" si="30"/>
        <v>MSPL2822:HK</v>
      </c>
    </row>
    <row r="144" spans="1:12" x14ac:dyDescent="0.25">
      <c r="B144" s="29"/>
      <c r="C144" s="32"/>
      <c r="D144" s="11"/>
      <c r="E144" s="33"/>
      <c r="F144" s="12"/>
      <c r="G144" s="36"/>
    </row>
    <row r="145" spans="1:12" ht="15.75" customHeight="1" thickBot="1" x14ac:dyDescent="0.3">
      <c r="C145" s="34" t="s">
        <v>35</v>
      </c>
      <c r="D145" s="10">
        <f>SUM(D130:D144)</f>
        <v>0</v>
      </c>
      <c r="E145" s="35" t="e">
        <f>F145/D145</f>
        <v>#DIV/0!</v>
      </c>
      <c r="F145" s="4">
        <f>SUM(F130:F144)</f>
        <v>0</v>
      </c>
      <c r="G145" s="36"/>
    </row>
    <row r="146" spans="1:12" ht="15" customHeight="1" thickTop="1" x14ac:dyDescent="0.25">
      <c r="D146" s="36"/>
      <c r="G146" s="18"/>
      <c r="H146" s="19"/>
      <c r="I146" s="19"/>
    </row>
    <row r="147" spans="1:12" x14ac:dyDescent="0.25">
      <c r="D147" s="36"/>
      <c r="G147" s="18"/>
      <c r="H147" s="20"/>
      <c r="I147" s="20"/>
    </row>
    <row r="148" spans="1:12" ht="18.75" customHeight="1" x14ac:dyDescent="0.3">
      <c r="A148" s="22">
        <f ca="1">INDIRECT("A"&amp;ROW()-18)+1</f>
        <v>9</v>
      </c>
      <c r="B148" s="17" t="str">
        <f>INDEX(Stocks!A:B,MATCH(K149,Stocks!A:A,),2)&amp;" ("&amp;K149&amp;")"</f>
        <v>CSOP Hang Seng Tech Index (3033:HK)</v>
      </c>
      <c r="C148" s="17"/>
      <c r="E148" s="21"/>
      <c r="F148" s="37"/>
      <c r="G148" s="18"/>
      <c r="H148" s="39" t="s">
        <v>101</v>
      </c>
      <c r="I148" s="19"/>
    </row>
    <row r="149" spans="1:12" x14ac:dyDescent="0.25">
      <c r="A149" s="25"/>
      <c r="C149" s="26" t="s">
        <v>5</v>
      </c>
      <c r="D149" s="26" t="s">
        <v>6</v>
      </c>
      <c r="E149" s="26" t="s">
        <v>7</v>
      </c>
      <c r="F149" s="26" t="s">
        <v>8</v>
      </c>
      <c r="H149" s="26" t="s">
        <v>102</v>
      </c>
      <c r="K149" t="s">
        <v>104</v>
      </c>
    </row>
    <row r="150" spans="1:12" x14ac:dyDescent="0.25">
      <c r="B150" s="29"/>
      <c r="C150" s="30" t="s">
        <v>10</v>
      </c>
      <c r="D150" s="1">
        <f>SUMIF(Download!B:B,L150,Download!G:G)</f>
        <v>0</v>
      </c>
      <c r="E150" s="31">
        <f>SUMIF(Download!B:B,L150,Download!H:H)</f>
        <v>0</v>
      </c>
      <c r="F150" s="2">
        <f t="shared" ref="F150:F161" si="32">D150*E150</f>
        <v>0</v>
      </c>
      <c r="G150" s="36"/>
      <c r="H150" s="31">
        <f t="shared" ref="H150:H161" si="33">E150-1</f>
        <v>-1</v>
      </c>
      <c r="J150" t="s">
        <v>11</v>
      </c>
      <c r="K150" t="str">
        <f>K149</f>
        <v>3033:HK</v>
      </c>
      <c r="L150" t="str">
        <f t="shared" ref="L150:L161" si="34">J150&amp;K150</f>
        <v>CB13033:HK</v>
      </c>
    </row>
    <row r="151" spans="1:12" x14ac:dyDescent="0.25">
      <c r="B151" s="29"/>
      <c r="C151" s="30" t="s">
        <v>12</v>
      </c>
      <c r="D151" s="1">
        <f>SUMIF(Download!B:B,L151,Download!G:G)</f>
        <v>0</v>
      </c>
      <c r="E151" s="31">
        <f>SUMIF(Download!B:B,L151,Download!H:H)</f>
        <v>0</v>
      </c>
      <c r="F151" s="2">
        <f t="shared" si="32"/>
        <v>0</v>
      </c>
      <c r="H151" s="31">
        <f t="shared" si="33"/>
        <v>-1</v>
      </c>
      <c r="J151" t="s">
        <v>13</v>
      </c>
      <c r="K151" t="str">
        <f>K150</f>
        <v>3033:HK</v>
      </c>
      <c r="L151" t="str">
        <f t="shared" si="34"/>
        <v>CB23033:HK</v>
      </c>
    </row>
    <row r="152" spans="1:12" x14ac:dyDescent="0.25">
      <c r="B152" s="29"/>
      <c r="C152" s="30" t="s">
        <v>14</v>
      </c>
      <c r="D152" s="1">
        <f>SUMIF(Download!B:B,L152,Download!G:G)</f>
        <v>0</v>
      </c>
      <c r="E152" s="31">
        <f>SUMIF(Download!B:B,L152,Download!H:H)</f>
        <v>0</v>
      </c>
      <c r="F152" s="2">
        <f t="shared" si="32"/>
        <v>0</v>
      </c>
      <c r="H152" s="31">
        <f t="shared" si="33"/>
        <v>-1</v>
      </c>
      <c r="J152" t="s">
        <v>15</v>
      </c>
      <c r="K152" t="str">
        <f>K150</f>
        <v>3033:HK</v>
      </c>
      <c r="L152" t="str">
        <f t="shared" si="34"/>
        <v>CB33033:HK</v>
      </c>
    </row>
    <row r="153" spans="1:12" x14ac:dyDescent="0.25">
      <c r="B153" s="29"/>
      <c r="C153" s="30" t="s">
        <v>16</v>
      </c>
      <c r="D153" s="1">
        <f>SUMIF(Download!B:B,L153,Download!G:G)</f>
        <v>0</v>
      </c>
      <c r="E153" s="31">
        <f>SUMIF(Download!B:B,L153,Download!H:H)</f>
        <v>0</v>
      </c>
      <c r="F153" s="2">
        <f t="shared" si="32"/>
        <v>0</v>
      </c>
      <c r="H153" s="31">
        <f t="shared" si="33"/>
        <v>-1</v>
      </c>
      <c r="J153" t="s">
        <v>17</v>
      </c>
      <c r="K153" t="str">
        <f>K151</f>
        <v>3033:HK</v>
      </c>
      <c r="L153" t="str">
        <f t="shared" si="34"/>
        <v>CBBH3033:HK</v>
      </c>
    </row>
    <row r="154" spans="1:12" x14ac:dyDescent="0.25">
      <c r="B154" s="29"/>
      <c r="C154" s="30" t="s">
        <v>18</v>
      </c>
      <c r="D154" s="1">
        <f>SUMIF(Download!B:B,L154,Download!G:G)</f>
        <v>0</v>
      </c>
      <c r="E154" s="31">
        <f>SUMIF(Download!B:B,L154,Download!H:H)</f>
        <v>0</v>
      </c>
      <c r="F154" s="2">
        <f t="shared" si="32"/>
        <v>0</v>
      </c>
      <c r="H154" s="31">
        <f t="shared" si="33"/>
        <v>-1</v>
      </c>
      <c r="J154" t="s">
        <v>19</v>
      </c>
      <c r="K154" t="str">
        <f t="shared" ref="K154:K161" si="35">K153</f>
        <v>3033:HK</v>
      </c>
      <c r="L154" t="str">
        <f t="shared" si="34"/>
        <v>BOS3033:HK</v>
      </c>
    </row>
    <row r="155" spans="1:12" x14ac:dyDescent="0.25">
      <c r="B155" s="29"/>
      <c r="C155" s="30" t="s">
        <v>20</v>
      </c>
      <c r="D155" s="1">
        <f>SUMIF(Download!B:B,L155,Download!G:G)</f>
        <v>0</v>
      </c>
      <c r="E155" s="31">
        <f>SUMIF(Download!B:B,L155,Download!H:H)</f>
        <v>0</v>
      </c>
      <c r="F155" s="2">
        <f t="shared" si="32"/>
        <v>0</v>
      </c>
      <c r="H155" s="31">
        <f t="shared" si="33"/>
        <v>-1</v>
      </c>
      <c r="J155" t="s">
        <v>21</v>
      </c>
      <c r="K155" t="str">
        <f t="shared" si="35"/>
        <v>3033:HK</v>
      </c>
      <c r="L155" t="str">
        <f t="shared" si="34"/>
        <v>DBPe3033:HK</v>
      </c>
    </row>
    <row r="156" spans="1:12" x14ac:dyDescent="0.25">
      <c r="B156" s="29"/>
      <c r="C156" s="30" t="s">
        <v>22</v>
      </c>
      <c r="D156" s="1">
        <f>SUMIF(Download!B:B,L156,Download!G:G)</f>
        <v>0</v>
      </c>
      <c r="E156" s="31">
        <f>SUMIF(Download!B:B,L156,Download!H:H)</f>
        <v>0</v>
      </c>
      <c r="F156" s="2">
        <f t="shared" si="32"/>
        <v>0</v>
      </c>
      <c r="H156" s="31">
        <f t="shared" si="33"/>
        <v>-1</v>
      </c>
      <c r="J156" t="s">
        <v>23</v>
      </c>
      <c r="K156" t="str">
        <f t="shared" si="35"/>
        <v>3033:HK</v>
      </c>
      <c r="L156" t="str">
        <f t="shared" si="34"/>
        <v>DBPL3033:HK</v>
      </c>
    </row>
    <row r="157" spans="1:12" x14ac:dyDescent="0.25">
      <c r="B157" s="29"/>
      <c r="C157" s="30" t="s">
        <v>24</v>
      </c>
      <c r="D157" s="1">
        <f>SUMIF(Download!B:B,L157,Download!G:G)</f>
        <v>0</v>
      </c>
      <c r="E157" s="31">
        <f>SUMIF(Download!B:B,L157,Download!H:H)</f>
        <v>0</v>
      </c>
      <c r="F157" s="2">
        <f t="shared" si="32"/>
        <v>0</v>
      </c>
      <c r="H157" s="31">
        <f t="shared" si="33"/>
        <v>-1</v>
      </c>
      <c r="J157" t="s">
        <v>25</v>
      </c>
      <c r="K157" t="str">
        <f t="shared" si="35"/>
        <v>3033:HK</v>
      </c>
      <c r="L157" t="str">
        <f t="shared" si="34"/>
        <v>SC3033:HK</v>
      </c>
    </row>
    <row r="158" spans="1:12" x14ac:dyDescent="0.25">
      <c r="B158" s="29"/>
      <c r="C158" s="30" t="s">
        <v>26</v>
      </c>
      <c r="D158" s="1">
        <f>SUMIF(Download!B:B,L158,Download!G:G)</f>
        <v>0</v>
      </c>
      <c r="E158" s="31">
        <f>SUMIF(Download!B:B,L158,Download!H:H)</f>
        <v>0</v>
      </c>
      <c r="F158" s="2">
        <f t="shared" si="32"/>
        <v>0</v>
      </c>
      <c r="G158" s="13"/>
      <c r="H158" s="31">
        <f t="shared" si="33"/>
        <v>-1</v>
      </c>
      <c r="J158" t="s">
        <v>27</v>
      </c>
      <c r="K158" t="str">
        <f t="shared" si="35"/>
        <v>3033:HK</v>
      </c>
      <c r="L158" t="str">
        <f t="shared" si="34"/>
        <v>SHK3033:HK</v>
      </c>
    </row>
    <row r="159" spans="1:12" x14ac:dyDescent="0.25">
      <c r="B159" s="29"/>
      <c r="C159" s="30" t="s">
        <v>28</v>
      </c>
      <c r="D159" s="1">
        <f>SUMIF(Download!B:B,L159,Download!G:G)</f>
        <v>0</v>
      </c>
      <c r="E159" s="31">
        <f>SUMIF(Download!B:B,L159,Download!H:H)</f>
        <v>0</v>
      </c>
      <c r="F159" s="2">
        <f t="shared" si="32"/>
        <v>0</v>
      </c>
      <c r="H159" s="31">
        <f t="shared" si="33"/>
        <v>-1</v>
      </c>
      <c r="J159" t="s">
        <v>29</v>
      </c>
      <c r="K159" t="str">
        <f t="shared" si="35"/>
        <v>3033:HK</v>
      </c>
      <c r="L159" t="str">
        <f t="shared" si="34"/>
        <v>MST13033:HK</v>
      </c>
    </row>
    <row r="160" spans="1:12" x14ac:dyDescent="0.25">
      <c r="B160" s="29"/>
      <c r="C160" s="30" t="s">
        <v>30</v>
      </c>
      <c r="D160" s="1">
        <f>SUMIF(Download!B:B,L160,Download!G:G)</f>
        <v>0</v>
      </c>
      <c r="E160" s="31">
        <f>SUMIF(Download!B:B,L160,Download!H:H)</f>
        <v>0</v>
      </c>
      <c r="F160" s="2">
        <f t="shared" si="32"/>
        <v>0</v>
      </c>
      <c r="H160" s="31">
        <f t="shared" si="33"/>
        <v>-1</v>
      </c>
      <c r="J160" t="s">
        <v>32</v>
      </c>
      <c r="K160" t="str">
        <f t="shared" si="35"/>
        <v>3033:HK</v>
      </c>
      <c r="L160" t="str">
        <f t="shared" si="34"/>
        <v>MST23033:HK</v>
      </c>
    </row>
    <row r="161" spans="1:12" x14ac:dyDescent="0.25">
      <c r="B161" s="29"/>
      <c r="C161" s="30" t="s">
        <v>33</v>
      </c>
      <c r="D161" s="1">
        <f>SUMIF(Download!B:B,L161,Download!G:G)</f>
        <v>0</v>
      </c>
      <c r="E161" s="31">
        <f>SUMIF(Download!B:B,L161,Download!H:H)</f>
        <v>0</v>
      </c>
      <c r="F161" s="2">
        <f t="shared" si="32"/>
        <v>0</v>
      </c>
      <c r="H161" s="31">
        <f t="shared" si="33"/>
        <v>-1</v>
      </c>
      <c r="J161" t="s">
        <v>34</v>
      </c>
      <c r="K161" t="str">
        <f t="shared" si="35"/>
        <v>3033:HK</v>
      </c>
      <c r="L161" t="str">
        <f t="shared" si="34"/>
        <v>MSPL3033:HK</v>
      </c>
    </row>
    <row r="162" spans="1:12" x14ac:dyDescent="0.25">
      <c r="B162" s="29"/>
      <c r="C162" s="32"/>
      <c r="D162" s="11"/>
      <c r="E162" s="33"/>
      <c r="F162" s="12"/>
      <c r="G162" s="36"/>
    </row>
    <row r="163" spans="1:12" ht="15.75" customHeight="1" thickBot="1" x14ac:dyDescent="0.3">
      <c r="C163" s="34" t="s">
        <v>35</v>
      </c>
      <c r="D163" s="10">
        <f>SUM(D148:D162)</f>
        <v>0</v>
      </c>
      <c r="E163" s="35" t="e">
        <f>F163/D163</f>
        <v>#DIV/0!</v>
      </c>
      <c r="F163" s="4">
        <f>SUM(F148:F162)</f>
        <v>0</v>
      </c>
      <c r="G163" s="36"/>
    </row>
    <row r="164" spans="1:12" ht="15" customHeight="1" thickTop="1" x14ac:dyDescent="0.25">
      <c r="D164" s="36"/>
      <c r="G164" s="18"/>
      <c r="H164" s="19"/>
      <c r="I164" s="19"/>
    </row>
    <row r="165" spans="1:12" x14ac:dyDescent="0.25">
      <c r="D165" s="36"/>
      <c r="G165" s="18"/>
      <c r="H165" s="20"/>
      <c r="I165" s="20"/>
    </row>
    <row r="166" spans="1:12" ht="18.75" customHeight="1" x14ac:dyDescent="0.3">
      <c r="A166" s="22">
        <f ca="1">INDIRECT("A"&amp;ROW()-18)+1</f>
        <v>10</v>
      </c>
      <c r="B166" s="17" t="str">
        <f>INDEX(Stocks!A:B,MATCH(K167,Stocks!A:A,),2)&amp;" ("&amp;K167&amp;")"</f>
        <v>Baidu Inc A (9888:HK)</v>
      </c>
      <c r="C166" s="17"/>
      <c r="E166" s="21"/>
      <c r="F166" s="37"/>
      <c r="G166" s="18"/>
      <c r="H166" s="39" t="s">
        <v>101</v>
      </c>
      <c r="I166" s="19"/>
    </row>
    <row r="167" spans="1:12" x14ac:dyDescent="0.25">
      <c r="A167" s="25"/>
      <c r="C167" s="26" t="s">
        <v>5</v>
      </c>
      <c r="D167" s="26" t="s">
        <v>6</v>
      </c>
      <c r="E167" s="26" t="s">
        <v>7</v>
      </c>
      <c r="F167" s="26" t="s">
        <v>8</v>
      </c>
      <c r="H167" s="26" t="s">
        <v>102</v>
      </c>
      <c r="K167" t="s">
        <v>79</v>
      </c>
    </row>
    <row r="168" spans="1:12" x14ac:dyDescent="0.25">
      <c r="B168" s="29"/>
      <c r="C168" s="30" t="s">
        <v>10</v>
      </c>
      <c r="D168" s="1">
        <f>SUMIF(Download!B:B,L168,Download!G:G)</f>
        <v>0</v>
      </c>
      <c r="E168" s="31">
        <f>SUMIF(Download!B:B,L168,Download!H:H)</f>
        <v>0</v>
      </c>
      <c r="F168" s="2">
        <f t="shared" ref="F168:F179" si="36">D168*E168</f>
        <v>0</v>
      </c>
      <c r="G168" s="36"/>
      <c r="H168" s="31">
        <f t="shared" ref="H168:H179" si="37">E168-1</f>
        <v>-1</v>
      </c>
      <c r="J168" t="s">
        <v>11</v>
      </c>
      <c r="K168" t="str">
        <f>K167</f>
        <v>9888:HK</v>
      </c>
      <c r="L168" t="str">
        <f t="shared" ref="L168:L179" si="38">J168&amp;K168</f>
        <v>CB19888:HK</v>
      </c>
    </row>
    <row r="169" spans="1:12" x14ac:dyDescent="0.25">
      <c r="B169" s="29"/>
      <c r="C169" s="30" t="s">
        <v>12</v>
      </c>
      <c r="D169" s="1">
        <f>SUMIF(Download!B:B,L169,Download!G:G)</f>
        <v>0</v>
      </c>
      <c r="E169" s="31">
        <f>SUMIF(Download!B:B,L169,Download!H:H)</f>
        <v>0</v>
      </c>
      <c r="F169" s="2">
        <f t="shared" si="36"/>
        <v>0</v>
      </c>
      <c r="H169" s="31">
        <f t="shared" si="37"/>
        <v>-1</v>
      </c>
      <c r="J169" t="s">
        <v>13</v>
      </c>
      <c r="K169" t="str">
        <f>K168</f>
        <v>9888:HK</v>
      </c>
      <c r="L169" t="str">
        <f t="shared" si="38"/>
        <v>CB29888:HK</v>
      </c>
    </row>
    <row r="170" spans="1:12" x14ac:dyDescent="0.25">
      <c r="B170" s="29"/>
      <c r="C170" s="30" t="s">
        <v>14</v>
      </c>
      <c r="D170" s="1">
        <f>SUMIF(Download!B:B,L170,Download!G:G)</f>
        <v>0</v>
      </c>
      <c r="E170" s="31">
        <f>SUMIF(Download!B:B,L170,Download!H:H)</f>
        <v>0</v>
      </c>
      <c r="F170" s="2">
        <f t="shared" si="36"/>
        <v>0</v>
      </c>
      <c r="H170" s="31">
        <f t="shared" si="37"/>
        <v>-1</v>
      </c>
      <c r="J170" t="s">
        <v>15</v>
      </c>
      <c r="K170" t="str">
        <f>K168</f>
        <v>9888:HK</v>
      </c>
      <c r="L170" t="str">
        <f t="shared" si="38"/>
        <v>CB39888:HK</v>
      </c>
    </row>
    <row r="171" spans="1:12" x14ac:dyDescent="0.25">
      <c r="B171" s="29"/>
      <c r="C171" s="30" t="s">
        <v>16</v>
      </c>
      <c r="D171" s="1">
        <f>SUMIF(Download!B:B,L171,Download!G:G)</f>
        <v>0</v>
      </c>
      <c r="E171" s="31">
        <f>SUMIF(Download!B:B,L171,Download!H:H)</f>
        <v>0</v>
      </c>
      <c r="F171" s="2">
        <f t="shared" si="36"/>
        <v>0</v>
      </c>
      <c r="H171" s="31">
        <f t="shared" si="37"/>
        <v>-1</v>
      </c>
      <c r="J171" t="s">
        <v>17</v>
      </c>
      <c r="K171" t="str">
        <f>K169</f>
        <v>9888:HK</v>
      </c>
      <c r="L171" t="str">
        <f t="shared" si="38"/>
        <v>CBBH9888:HK</v>
      </c>
    </row>
    <row r="172" spans="1:12" x14ac:dyDescent="0.25">
      <c r="B172" s="29"/>
      <c r="C172" s="30" t="s">
        <v>18</v>
      </c>
      <c r="D172" s="1">
        <f>SUMIF(Download!B:B,L172,Download!G:G)</f>
        <v>0</v>
      </c>
      <c r="E172" s="31">
        <f>SUMIF(Download!B:B,L172,Download!H:H)</f>
        <v>0</v>
      </c>
      <c r="F172" s="2">
        <f t="shared" si="36"/>
        <v>0</v>
      </c>
      <c r="H172" s="31">
        <f t="shared" si="37"/>
        <v>-1</v>
      </c>
      <c r="J172" t="s">
        <v>19</v>
      </c>
      <c r="K172" t="str">
        <f t="shared" ref="K172:K179" si="39">K171</f>
        <v>9888:HK</v>
      </c>
      <c r="L172" t="str">
        <f t="shared" si="38"/>
        <v>BOS9888:HK</v>
      </c>
    </row>
    <row r="173" spans="1:12" x14ac:dyDescent="0.25">
      <c r="B173" s="29"/>
      <c r="C173" s="30" t="s">
        <v>20</v>
      </c>
      <c r="D173" s="1">
        <f>SUMIF(Download!B:B,L173,Download!G:G)</f>
        <v>0</v>
      </c>
      <c r="E173" s="31">
        <f>SUMIF(Download!B:B,L173,Download!H:H)</f>
        <v>0</v>
      </c>
      <c r="F173" s="2">
        <f t="shared" si="36"/>
        <v>0</v>
      </c>
      <c r="H173" s="31">
        <f t="shared" si="37"/>
        <v>-1</v>
      </c>
      <c r="J173" t="s">
        <v>21</v>
      </c>
      <c r="K173" t="str">
        <f t="shared" si="39"/>
        <v>9888:HK</v>
      </c>
      <c r="L173" t="str">
        <f t="shared" si="38"/>
        <v>DBPe9888:HK</v>
      </c>
    </row>
    <row r="174" spans="1:12" x14ac:dyDescent="0.25">
      <c r="B174" s="29"/>
      <c r="C174" s="30" t="s">
        <v>22</v>
      </c>
      <c r="D174" s="1">
        <f>SUMIF(Download!B:B,L174,Download!G:G)</f>
        <v>0</v>
      </c>
      <c r="E174" s="31">
        <f>SUMIF(Download!B:B,L174,Download!H:H)</f>
        <v>0</v>
      </c>
      <c r="F174" s="2">
        <f t="shared" si="36"/>
        <v>0</v>
      </c>
      <c r="H174" s="31">
        <f t="shared" si="37"/>
        <v>-1</v>
      </c>
      <c r="J174" t="s">
        <v>23</v>
      </c>
      <c r="K174" t="str">
        <f t="shared" si="39"/>
        <v>9888:HK</v>
      </c>
      <c r="L174" t="str">
        <f t="shared" si="38"/>
        <v>DBPL9888:HK</v>
      </c>
    </row>
    <row r="175" spans="1:12" x14ac:dyDescent="0.25">
      <c r="B175" s="29"/>
      <c r="C175" s="30" t="s">
        <v>24</v>
      </c>
      <c r="D175" s="1">
        <f>SUMIF(Download!B:B,L175,Download!G:G)</f>
        <v>0</v>
      </c>
      <c r="E175" s="31">
        <f>SUMIF(Download!B:B,L175,Download!H:H)</f>
        <v>0</v>
      </c>
      <c r="F175" s="2">
        <f t="shared" si="36"/>
        <v>0</v>
      </c>
      <c r="H175" s="31">
        <f t="shared" si="37"/>
        <v>-1</v>
      </c>
      <c r="J175" t="s">
        <v>25</v>
      </c>
      <c r="K175" t="str">
        <f t="shared" si="39"/>
        <v>9888:HK</v>
      </c>
      <c r="L175" t="str">
        <f t="shared" si="38"/>
        <v>SC9888:HK</v>
      </c>
    </row>
    <row r="176" spans="1:12" x14ac:dyDescent="0.25">
      <c r="B176" s="29"/>
      <c r="C176" s="30" t="s">
        <v>26</v>
      </c>
      <c r="D176" s="1">
        <f>SUMIF(Download!B:B,L176,Download!G:G)</f>
        <v>0</v>
      </c>
      <c r="E176" s="31">
        <f>SUMIF(Download!B:B,L176,Download!H:H)</f>
        <v>0</v>
      </c>
      <c r="F176" s="2">
        <f t="shared" si="36"/>
        <v>0</v>
      </c>
      <c r="G176" s="13"/>
      <c r="H176" s="31">
        <f t="shared" si="37"/>
        <v>-1</v>
      </c>
      <c r="J176" t="s">
        <v>27</v>
      </c>
      <c r="K176" t="str">
        <f t="shared" si="39"/>
        <v>9888:HK</v>
      </c>
      <c r="L176" t="str">
        <f t="shared" si="38"/>
        <v>SHK9888:HK</v>
      </c>
    </row>
    <row r="177" spans="2:12" x14ac:dyDescent="0.25">
      <c r="B177" s="29"/>
      <c r="C177" s="30" t="s">
        <v>28</v>
      </c>
      <c r="D177" s="1">
        <f>SUMIF(Download!B:B,L177,Download!G:G)</f>
        <v>0</v>
      </c>
      <c r="E177" s="31">
        <f>SUMIF(Download!B:B,L177,Download!H:H)</f>
        <v>0</v>
      </c>
      <c r="F177" s="2">
        <f t="shared" si="36"/>
        <v>0</v>
      </c>
      <c r="H177" s="31">
        <f t="shared" si="37"/>
        <v>-1</v>
      </c>
      <c r="J177" t="s">
        <v>29</v>
      </c>
      <c r="K177" t="str">
        <f t="shared" si="39"/>
        <v>9888:HK</v>
      </c>
      <c r="L177" t="str">
        <f t="shared" si="38"/>
        <v>MST19888:HK</v>
      </c>
    </row>
    <row r="178" spans="2:12" x14ac:dyDescent="0.25">
      <c r="B178" s="29"/>
      <c r="C178" s="30" t="s">
        <v>30</v>
      </c>
      <c r="D178" s="1">
        <f>SUMIF(Download!B:B,L178,Download!G:G)</f>
        <v>0</v>
      </c>
      <c r="E178" s="31">
        <f>SUMIF(Download!B:B,L178,Download!H:H)</f>
        <v>0</v>
      </c>
      <c r="F178" s="2">
        <f t="shared" si="36"/>
        <v>0</v>
      </c>
      <c r="H178" s="31">
        <f t="shared" si="37"/>
        <v>-1</v>
      </c>
      <c r="J178" t="s">
        <v>32</v>
      </c>
      <c r="K178" t="str">
        <f t="shared" si="39"/>
        <v>9888:HK</v>
      </c>
      <c r="L178" t="str">
        <f t="shared" si="38"/>
        <v>MST29888:HK</v>
      </c>
    </row>
    <row r="179" spans="2:12" x14ac:dyDescent="0.25">
      <c r="B179" s="29"/>
      <c r="C179" s="30" t="s">
        <v>33</v>
      </c>
      <c r="D179" s="1">
        <f>SUMIF(Download!B:B,L179,Download!G:G)</f>
        <v>0</v>
      </c>
      <c r="E179" s="31">
        <f>SUMIF(Download!B:B,L179,Download!H:H)</f>
        <v>0</v>
      </c>
      <c r="F179" s="2">
        <f t="shared" si="36"/>
        <v>0</v>
      </c>
      <c r="H179" s="31">
        <f t="shared" si="37"/>
        <v>-1</v>
      </c>
      <c r="J179" t="s">
        <v>34</v>
      </c>
      <c r="K179" t="str">
        <f t="shared" si="39"/>
        <v>9888:HK</v>
      </c>
      <c r="L179" t="str">
        <f t="shared" si="38"/>
        <v>MSPL9888:HK</v>
      </c>
    </row>
    <row r="180" spans="2:12" x14ac:dyDescent="0.25">
      <c r="B180" s="29"/>
      <c r="C180" s="32"/>
      <c r="D180" s="11"/>
      <c r="E180" s="33"/>
      <c r="F180" s="12"/>
      <c r="G180" s="36"/>
    </row>
    <row r="181" spans="2:12" ht="15.75" customHeight="1" thickBot="1" x14ac:dyDescent="0.3">
      <c r="C181" s="34" t="s">
        <v>35</v>
      </c>
      <c r="D181" s="10">
        <f>SUM(D166:D180)</f>
        <v>0</v>
      </c>
      <c r="E181" s="35" t="e">
        <f>F181/D181</f>
        <v>#DIV/0!</v>
      </c>
      <c r="F181" s="4">
        <f>SUM(F166:F180)</f>
        <v>0</v>
      </c>
      <c r="G181" s="36"/>
    </row>
    <row r="182" spans="2:12" ht="15.75" customHeight="1" thickTop="1" x14ac:dyDescent="0.25"/>
  </sheetData>
  <mergeCells count="1">
    <mergeCell ref="H2:I2"/>
  </mergeCells>
  <pageMargins left="0.2" right="0.2" top="0.25" bottom="0.75" header="0.3" footer="0.3"/>
  <pageSetup paperSize="9" scale="2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3"/>
  <sheetViews>
    <sheetView tabSelected="1" view="pageBreakPreview" topLeftCell="A25" zoomScaleNormal="100" zoomScaleSheetLayoutView="100" workbookViewId="0">
      <selection activeCell="C97" sqref="C97"/>
    </sheetView>
  </sheetViews>
  <sheetFormatPr defaultRowHeight="15" x14ac:dyDescent="0.25"/>
  <cols>
    <col min="1" max="1" width="3.5703125" style="16" customWidth="1"/>
    <col min="2" max="2" width="28.28515625" style="16" bestFit="1" customWidth="1"/>
    <col min="3" max="3" width="8.42578125" style="16" bestFit="1" customWidth="1"/>
    <col min="4" max="4" width="10.140625" style="16" bestFit="1" customWidth="1"/>
    <col min="5" max="5" width="9.28515625" style="16" bestFit="1" customWidth="1"/>
    <col min="6" max="6" width="4.28515625" style="16" customWidth="1"/>
    <col min="7" max="7" width="12.7109375" style="16" customWidth="1"/>
    <col min="8" max="8" width="7" style="16" bestFit="1" customWidth="1"/>
    <col min="10" max="10" width="12.85546875" style="16" bestFit="1" customWidth="1"/>
    <col min="11" max="11" width="10.42578125" style="16" bestFit="1" customWidth="1"/>
  </cols>
  <sheetData>
    <row r="1" spans="1:11" ht="18.75" customHeight="1" x14ac:dyDescent="0.3">
      <c r="A1" s="17" t="s">
        <v>158</v>
      </c>
    </row>
    <row r="3" spans="1:11" x14ac:dyDescent="0.25">
      <c r="K3" s="21"/>
    </row>
    <row r="4" spans="1:11" ht="18.75" customHeight="1" x14ac:dyDescent="0.3">
      <c r="A4" s="17" t="s">
        <v>168</v>
      </c>
      <c r="B4" s="17"/>
      <c r="C4" s="17"/>
      <c r="K4" s="23"/>
    </row>
    <row r="5" spans="1:11" x14ac:dyDescent="0.25">
      <c r="B5" s="26" t="s">
        <v>5</v>
      </c>
      <c r="C5" s="26" t="s">
        <v>105</v>
      </c>
      <c r="D5" s="26" t="s">
        <v>6</v>
      </c>
      <c r="E5" s="26" t="s">
        <v>7</v>
      </c>
      <c r="F5" s="63" t="s">
        <v>8</v>
      </c>
      <c r="G5" s="64"/>
      <c r="H5" s="28"/>
    </row>
    <row r="6" spans="1:11" x14ac:dyDescent="0.25">
      <c r="A6" s="29"/>
      <c r="B6" s="30" t="str">
        <f>INDEX(Stocks!A:B,MATCH(I6,Stocks!A:A,),2)</f>
        <v>HSBC</v>
      </c>
      <c r="C6" s="30" t="s">
        <v>44</v>
      </c>
      <c r="D6" s="1">
        <f>SUMIF(Download!B:B,J6,Download!G:G)</f>
        <v>0</v>
      </c>
      <c r="E6" s="31">
        <f>SUMIF(Download!B:B,J6,Download!H:H)</f>
        <v>0</v>
      </c>
      <c r="F6" s="40" t="str">
        <f t="shared" ref="F6:F20" si="0">IF(RIGHT(I6,2)="JP","JPY",RIGHT(I6,2)&amp;"D")</f>
        <v>HKD</v>
      </c>
      <c r="G6" s="8">
        <f t="shared" ref="G6:G20" si="1">D6*E6</f>
        <v>0</v>
      </c>
      <c r="H6" t="s">
        <v>167</v>
      </c>
      <c r="I6" t="str">
        <f t="shared" ref="I6:I20" si="2">C6</f>
        <v>5:HK</v>
      </c>
      <c r="J6" t="str">
        <f t="shared" ref="J6:J20" si="3">H6&amp;I6</f>
        <v>CBSG5:HK</v>
      </c>
    </row>
    <row r="7" spans="1:11" x14ac:dyDescent="0.25">
      <c r="A7" s="29"/>
      <c r="B7" s="30" t="str">
        <f>INDEX(Stocks!A:B,MATCH(I7,Stocks!A:A,),2)</f>
        <v>Geely Motor</v>
      </c>
      <c r="C7" s="30" t="s">
        <v>61</v>
      </c>
      <c r="D7" s="1">
        <f>SUMIF(Download!B:B,J7,Download!G:G)</f>
        <v>0</v>
      </c>
      <c r="E7" s="31">
        <f>SUMIF(Download!B:B,J7,Download!H:H)</f>
        <v>0</v>
      </c>
      <c r="F7" s="40" t="str">
        <f t="shared" si="0"/>
        <v>HKD</v>
      </c>
      <c r="G7" s="8">
        <f t="shared" si="1"/>
        <v>0</v>
      </c>
      <c r="H7" t="s">
        <v>167</v>
      </c>
      <c r="I7" t="str">
        <f t="shared" si="2"/>
        <v>175:HK</v>
      </c>
      <c r="J7" t="str">
        <f t="shared" si="3"/>
        <v>CBSG175:HK</v>
      </c>
    </row>
    <row r="8" spans="1:11" x14ac:dyDescent="0.25">
      <c r="A8" s="29"/>
      <c r="B8" s="30" t="str">
        <f>INDEX(Stocks!A:B,MATCH(I8,Stocks!A:A,),2)</f>
        <v>Cathay Pacific</v>
      </c>
      <c r="C8" s="30" t="s">
        <v>91</v>
      </c>
      <c r="D8" s="1">
        <f>SUMIF(Download!B:B,J8,Download!G:G)</f>
        <v>0</v>
      </c>
      <c r="E8" s="31">
        <f>SUMIF(Download!B:B,J8,Download!H:H)</f>
        <v>0</v>
      </c>
      <c r="F8" s="40" t="str">
        <f t="shared" si="0"/>
        <v>HKD</v>
      </c>
      <c r="G8" s="8">
        <f t="shared" si="1"/>
        <v>0</v>
      </c>
      <c r="H8" t="s">
        <v>167</v>
      </c>
      <c r="I8" t="str">
        <f t="shared" si="2"/>
        <v>293:HK</v>
      </c>
      <c r="J8" t="str">
        <f t="shared" si="3"/>
        <v>CBSG293:HK</v>
      </c>
    </row>
    <row r="9" spans="1:11" x14ac:dyDescent="0.25">
      <c r="A9" s="29"/>
      <c r="B9" s="30" t="str">
        <f>INDEX(Stocks!A:B,MATCH(I9,Stocks!A:A,),2)</f>
        <v>Jiangxi Copper</v>
      </c>
      <c r="C9" s="30" t="s">
        <v>98</v>
      </c>
      <c r="D9" s="1">
        <f>SUMIF(Download!B:B,J9,Download!G:G)</f>
        <v>0</v>
      </c>
      <c r="E9" s="31">
        <f>SUMIF(Download!B:B,J9,Download!H:H)</f>
        <v>0</v>
      </c>
      <c r="F9" s="40" t="str">
        <f t="shared" si="0"/>
        <v>HKD</v>
      </c>
      <c r="G9" s="8">
        <f t="shared" si="1"/>
        <v>0</v>
      </c>
      <c r="H9" t="s">
        <v>167</v>
      </c>
      <c r="I9" t="str">
        <f t="shared" si="2"/>
        <v>358:HK</v>
      </c>
      <c r="J9" t="str">
        <f t="shared" si="3"/>
        <v>CBSG358:HK</v>
      </c>
    </row>
    <row r="10" spans="1:11" x14ac:dyDescent="0.25">
      <c r="A10" s="29"/>
      <c r="B10" s="30" t="str">
        <f>INDEX(Stocks!A:B,MATCH(I10,Stocks!A:A,),2)</f>
        <v>HK Exchange</v>
      </c>
      <c r="C10" s="30" t="s">
        <v>57</v>
      </c>
      <c r="D10" s="1">
        <f>SUMIF(Download!B:B,J10,Download!G:G)</f>
        <v>0</v>
      </c>
      <c r="E10" s="31">
        <f>SUMIF(Download!B:B,J10,Download!H:H)</f>
        <v>0</v>
      </c>
      <c r="F10" s="40" t="str">
        <f t="shared" si="0"/>
        <v>HKD</v>
      </c>
      <c r="G10" s="8">
        <f t="shared" si="1"/>
        <v>0</v>
      </c>
      <c r="H10" t="s">
        <v>167</v>
      </c>
      <c r="I10" t="str">
        <f t="shared" si="2"/>
        <v>388:HK</v>
      </c>
      <c r="J10" t="str">
        <f t="shared" si="3"/>
        <v>CBSG388:HK</v>
      </c>
    </row>
    <row r="11" spans="1:11" x14ac:dyDescent="0.25">
      <c r="A11" s="29"/>
      <c r="B11" s="30" t="str">
        <f>INDEX(Stocks!A:B,MATCH(I11,Stocks!A:A,),2)</f>
        <v>Tencent</v>
      </c>
      <c r="C11" s="30" t="s">
        <v>52</v>
      </c>
      <c r="D11" s="1">
        <f>SUMIF(Download!B:B,J11,Download!G:G)</f>
        <v>0</v>
      </c>
      <c r="E11" s="31">
        <f>SUMIF(Download!B:B,J11,Download!H:H)</f>
        <v>0</v>
      </c>
      <c r="F11" s="40" t="str">
        <f t="shared" si="0"/>
        <v>HKD</v>
      </c>
      <c r="G11" s="8">
        <f t="shared" si="1"/>
        <v>0</v>
      </c>
      <c r="H11" t="s">
        <v>167</v>
      </c>
      <c r="I11" t="str">
        <f t="shared" si="2"/>
        <v>700:HK</v>
      </c>
      <c r="J11" t="str">
        <f t="shared" si="3"/>
        <v>CBSG700:HK</v>
      </c>
    </row>
    <row r="12" spans="1:11" x14ac:dyDescent="0.25">
      <c r="A12" s="29"/>
      <c r="B12" s="30" t="str">
        <f>INDEX(Stocks!A:B,MATCH(I12,Stocks!A:A,),2)</f>
        <v>Semiconductor Mfg</v>
      </c>
      <c r="C12" s="30" t="s">
        <v>82</v>
      </c>
      <c r="D12" s="1">
        <f>SUMIF(Download!B:B,J12,Download!G:G)</f>
        <v>0</v>
      </c>
      <c r="E12" s="31">
        <f>SUMIF(Download!B:B,J12,Download!H:H)</f>
        <v>0</v>
      </c>
      <c r="F12" s="40" t="str">
        <f t="shared" si="0"/>
        <v>HKD</v>
      </c>
      <c r="G12" s="8">
        <f t="shared" si="1"/>
        <v>0</v>
      </c>
      <c r="H12" t="s">
        <v>167</v>
      </c>
      <c r="I12" t="str">
        <f t="shared" si="2"/>
        <v>981:HK</v>
      </c>
      <c r="J12" t="str">
        <f t="shared" si="3"/>
        <v>CBSG981:HK</v>
      </c>
    </row>
    <row r="13" spans="1:11" x14ac:dyDescent="0.25">
      <c r="A13" s="29"/>
      <c r="B13" s="30" t="str">
        <f>INDEX(Stocks!A:B,MATCH(I13,Stocks!A:A,),2)</f>
        <v>Kuaishou Tech</v>
      </c>
      <c r="C13" s="30" t="s">
        <v>53</v>
      </c>
      <c r="D13" s="1">
        <f>SUMIF(Download!B:B,J13,Download!G:G)</f>
        <v>0</v>
      </c>
      <c r="E13" s="31">
        <f>SUMIF(Download!B:B,J13,Download!H:H)</f>
        <v>0</v>
      </c>
      <c r="F13" s="40" t="str">
        <f t="shared" si="0"/>
        <v>HKD</v>
      </c>
      <c r="G13" s="8">
        <f t="shared" si="1"/>
        <v>0</v>
      </c>
      <c r="H13" t="s">
        <v>167</v>
      </c>
      <c r="I13" t="str">
        <f t="shared" si="2"/>
        <v>1024:HK</v>
      </c>
      <c r="J13" t="str">
        <f t="shared" si="3"/>
        <v>CBSG1024:HK</v>
      </c>
    </row>
    <row r="14" spans="1:11" x14ac:dyDescent="0.25">
      <c r="A14" s="29"/>
      <c r="B14" s="30" t="str">
        <f>INDEX(Stocks!A:B,MATCH(I14,Stocks!A:A,),2)</f>
        <v>Xiaomi Corp</v>
      </c>
      <c r="C14" s="30" t="s">
        <v>55</v>
      </c>
      <c r="D14" s="1">
        <f>SUMIF(Download!B:B,J14,Download!G:G)</f>
        <v>0</v>
      </c>
      <c r="E14" s="31">
        <f>SUMIF(Download!B:B,J14,Download!H:H)</f>
        <v>0</v>
      </c>
      <c r="F14" s="40" t="str">
        <f t="shared" si="0"/>
        <v>HKD</v>
      </c>
      <c r="G14" s="8">
        <f t="shared" si="1"/>
        <v>0</v>
      </c>
      <c r="H14" t="s">
        <v>167</v>
      </c>
      <c r="I14" t="str">
        <f t="shared" si="2"/>
        <v>1810:HK</v>
      </c>
      <c r="J14" t="str">
        <f t="shared" si="3"/>
        <v>CBSG1810:HK</v>
      </c>
    </row>
    <row r="15" spans="1:11" x14ac:dyDescent="0.25">
      <c r="A15" s="29"/>
      <c r="B15" s="30" t="str">
        <f>INDEX(Stocks!A:B,MATCH(I15,Stocks!A:A,),2)</f>
        <v>Shanghai Fosun</v>
      </c>
      <c r="C15" s="30" t="s">
        <v>95</v>
      </c>
      <c r="D15" s="1">
        <f>SUMIF(Download!B:B,J15,Download!G:G)</f>
        <v>0</v>
      </c>
      <c r="E15" s="31">
        <f>SUMIF(Download!B:B,J15,Download!H:H)</f>
        <v>0</v>
      </c>
      <c r="F15" s="40" t="str">
        <f t="shared" si="0"/>
        <v>HKD</v>
      </c>
      <c r="G15" s="8">
        <f t="shared" si="1"/>
        <v>0</v>
      </c>
      <c r="H15" t="s">
        <v>167</v>
      </c>
      <c r="I15" t="str">
        <f t="shared" si="2"/>
        <v>2196:HK</v>
      </c>
      <c r="J15" t="str">
        <f t="shared" si="3"/>
        <v>CBSG2196:HK</v>
      </c>
    </row>
    <row r="16" spans="1:11" x14ac:dyDescent="0.25">
      <c r="A16" s="29"/>
      <c r="B16" s="30" t="str">
        <f>INDEX(Stocks!A:B,MATCH(I16,Stocks!A:A,),2)</f>
        <v>Great Wall Motor</v>
      </c>
      <c r="C16" s="30" t="s">
        <v>67</v>
      </c>
      <c r="D16" s="1">
        <f>SUMIF(Download!B:B,J16,Download!G:G)</f>
        <v>0</v>
      </c>
      <c r="E16" s="31">
        <f>SUMIF(Download!B:B,J16,Download!H:H)</f>
        <v>0</v>
      </c>
      <c r="F16" s="40" t="str">
        <f t="shared" si="0"/>
        <v>HKD</v>
      </c>
      <c r="G16" s="8">
        <f t="shared" si="1"/>
        <v>0</v>
      </c>
      <c r="H16" t="s">
        <v>167</v>
      </c>
      <c r="I16" t="str">
        <f t="shared" si="2"/>
        <v>2333:HK</v>
      </c>
      <c r="J16" t="str">
        <f t="shared" si="3"/>
        <v>CBSG2333:HK</v>
      </c>
    </row>
    <row r="17" spans="1:11" x14ac:dyDescent="0.25">
      <c r="A17" s="29"/>
      <c r="B17" s="30" t="str">
        <f>INDEX(Stocks!A:B,MATCH(I17,Stocks!A:A,),2)</f>
        <v>Bank of China</v>
      </c>
      <c r="C17" s="30" t="s">
        <v>37</v>
      </c>
      <c r="D17" s="1">
        <f>SUMIF(Download!B:B,J17,Download!G:G)</f>
        <v>0</v>
      </c>
      <c r="E17" s="31">
        <f>SUMIF(Download!B:B,J17,Download!H:H)</f>
        <v>0</v>
      </c>
      <c r="F17" s="40" t="str">
        <f t="shared" si="0"/>
        <v>HKD</v>
      </c>
      <c r="G17" s="8">
        <f t="shared" si="1"/>
        <v>0</v>
      </c>
      <c r="H17" t="s">
        <v>167</v>
      </c>
      <c r="I17" t="str">
        <f t="shared" si="2"/>
        <v>3988:HK</v>
      </c>
      <c r="J17" t="str">
        <f t="shared" si="3"/>
        <v>CBSG3988:HK</v>
      </c>
    </row>
    <row r="18" spans="1:11" x14ac:dyDescent="0.25">
      <c r="A18" s="29"/>
      <c r="B18" s="30" t="str">
        <f>INDEX(Stocks!A:B,MATCH(I18,Stocks!A:A,),2)</f>
        <v>China Molybdenum</v>
      </c>
      <c r="C18" s="30" t="s">
        <v>72</v>
      </c>
      <c r="D18" s="1">
        <f>SUMIF(Download!B:B,J18,Download!G:G)</f>
        <v>0</v>
      </c>
      <c r="E18" s="31">
        <f>SUMIF(Download!B:B,J18,Download!H:H)</f>
        <v>0</v>
      </c>
      <c r="F18" s="40" t="str">
        <f t="shared" si="0"/>
        <v>HKD</v>
      </c>
      <c r="G18" s="8">
        <f t="shared" si="1"/>
        <v>0</v>
      </c>
      <c r="H18" t="s">
        <v>167</v>
      </c>
      <c r="I18" t="str">
        <f t="shared" si="2"/>
        <v>3993:HK</v>
      </c>
      <c r="J18" t="str">
        <f t="shared" si="3"/>
        <v>CBSG3993:HK</v>
      </c>
    </row>
    <row r="19" spans="1:11" x14ac:dyDescent="0.25">
      <c r="A19" s="29"/>
      <c r="B19" s="30" t="str">
        <f>INDEX(Stocks!A:B,MATCH(I19,Stocks!A:A,),2)</f>
        <v>JD com</v>
      </c>
      <c r="C19" s="30" t="s">
        <v>106</v>
      </c>
      <c r="D19" s="1">
        <f>SUMIF(Download!B:B,J19,Download!G:G)</f>
        <v>0</v>
      </c>
      <c r="E19" s="31">
        <f>SUMIF(Download!B:B,J19,Download!H:H)</f>
        <v>0</v>
      </c>
      <c r="F19" s="40" t="str">
        <f t="shared" si="0"/>
        <v>HKD</v>
      </c>
      <c r="G19" s="8">
        <f t="shared" si="1"/>
        <v>0</v>
      </c>
      <c r="H19" t="s">
        <v>167</v>
      </c>
      <c r="I19" t="str">
        <f t="shared" si="2"/>
        <v>9618:HK</v>
      </c>
      <c r="J19" t="str">
        <f t="shared" si="3"/>
        <v>CBSG9618:HK</v>
      </c>
    </row>
    <row r="20" spans="1:11" x14ac:dyDescent="0.25">
      <c r="A20" s="29"/>
      <c r="B20" s="30" t="str">
        <f>INDEX(Stocks!A:B,MATCH(I20,Stocks!A:A,),2)</f>
        <v>Baidu Inc A</v>
      </c>
      <c r="C20" s="30" t="s">
        <v>79</v>
      </c>
      <c r="D20" s="1">
        <f>SUMIF(Download!B:B,J20,Download!G:G)</f>
        <v>0</v>
      </c>
      <c r="E20" s="31">
        <f>SUMIF(Download!B:B,J20,Download!H:H)</f>
        <v>0</v>
      </c>
      <c r="F20" s="40" t="str">
        <f t="shared" si="0"/>
        <v>HKD</v>
      </c>
      <c r="G20" s="8">
        <f t="shared" si="1"/>
        <v>0</v>
      </c>
      <c r="H20" t="s">
        <v>167</v>
      </c>
      <c r="I20" t="str">
        <f t="shared" si="2"/>
        <v>9888:HK</v>
      </c>
      <c r="J20" t="str">
        <f t="shared" si="3"/>
        <v>CBSG9888:HK</v>
      </c>
    </row>
    <row r="21" spans="1:11" ht="3.75" customHeight="1" x14ac:dyDescent="0.25">
      <c r="A21" s="29"/>
      <c r="B21" s="41"/>
      <c r="C21" s="41"/>
      <c r="D21" s="6"/>
      <c r="E21" s="42"/>
      <c r="F21" s="43"/>
      <c r="G21" s="7"/>
    </row>
    <row r="22" spans="1:11" x14ac:dyDescent="0.25">
      <c r="A22" s="29"/>
      <c r="B22" s="30" t="str">
        <f>INDEX(Stocks!A:B,MATCH(I22,Stocks!A:A,),2)</f>
        <v>Apple Inc</v>
      </c>
      <c r="C22" s="30" t="s">
        <v>107</v>
      </c>
      <c r="D22" s="1">
        <f>SUMIF(Download!B:B,J22,Download!G:G)</f>
        <v>0</v>
      </c>
      <c r="E22" s="31">
        <f>SUMIF(Download!B:B,J22,Download!H:H)</f>
        <v>0</v>
      </c>
      <c r="F22" s="40" t="str">
        <f>IF(RIGHT(I22,2)="JP","JPY",RIGHT(I22,2)&amp;"D")</f>
        <v>USD</v>
      </c>
      <c r="G22" s="8">
        <f>D22*E22</f>
        <v>0</v>
      </c>
      <c r="H22" t="s">
        <v>167</v>
      </c>
      <c r="I22" t="str">
        <f>C22</f>
        <v>AAPL:US</v>
      </c>
      <c r="J22" t="str">
        <f>H22&amp;I22</f>
        <v>CBSGAAPL:US</v>
      </c>
    </row>
    <row r="23" spans="1:11" x14ac:dyDescent="0.25">
      <c r="A23" s="29"/>
      <c r="B23" s="30" t="str">
        <f>INDEX(Stocks!A:B,MATCH(I23,Stocks!A:A,),2)</f>
        <v>Coinbase</v>
      </c>
      <c r="C23" s="30" t="s">
        <v>108</v>
      </c>
      <c r="D23" s="1">
        <f>SUMIF(Download!B:B,J23,Download!G:G)</f>
        <v>0</v>
      </c>
      <c r="E23" s="31">
        <f>SUMIF(Download!B:B,J23,Download!H:H)</f>
        <v>0</v>
      </c>
      <c r="F23" s="40" t="str">
        <f>IF(RIGHT(I23,2)="JP","JPY",RIGHT(I23,2)&amp;"D")</f>
        <v>USD</v>
      </c>
      <c r="G23" s="8">
        <f>D23*E23</f>
        <v>0</v>
      </c>
      <c r="H23" t="s">
        <v>167</v>
      </c>
      <c r="I23" t="str">
        <f>C23</f>
        <v>COIN:US</v>
      </c>
      <c r="J23" t="str">
        <f>H23&amp;I23</f>
        <v>CBSGCOIN:US</v>
      </c>
    </row>
    <row r="24" spans="1:11" x14ac:dyDescent="0.25">
      <c r="A24" s="29"/>
      <c r="B24" s="32"/>
      <c r="C24" s="32"/>
      <c r="D24" s="15">
        <f>SUBTOTAL(9,D5:D23)</f>
        <v>0</v>
      </c>
      <c r="E24" s="33"/>
      <c r="F24" s="33"/>
      <c r="G24" s="12"/>
    </row>
    <row r="25" spans="1:11" x14ac:dyDescent="0.25">
      <c r="D25" s="36"/>
    </row>
    <row r="26" spans="1:11" ht="18.75" hidden="1" customHeight="1" x14ac:dyDescent="0.3">
      <c r="A26" s="17" t="s">
        <v>12</v>
      </c>
      <c r="B26" s="17"/>
      <c r="C26" s="17"/>
      <c r="K26" s="23"/>
    </row>
    <row r="27" spans="1:11" hidden="1" x14ac:dyDescent="0.25">
      <c r="B27" s="26" t="s">
        <v>5</v>
      </c>
      <c r="C27" s="26" t="s">
        <v>105</v>
      </c>
      <c r="D27" s="26" t="s">
        <v>6</v>
      </c>
      <c r="E27" s="26" t="s">
        <v>7</v>
      </c>
      <c r="F27" s="63" t="s">
        <v>8</v>
      </c>
      <c r="G27" s="64"/>
      <c r="H27" s="28"/>
    </row>
    <row r="28" spans="1:11" hidden="1" x14ac:dyDescent="0.25">
      <c r="A28" s="29"/>
      <c r="B28" s="30" t="str">
        <f>INDEX(Stocks!A:B,MATCH(I28,Stocks!A:A,),2)</f>
        <v>Geely Motor</v>
      </c>
      <c r="C28" s="30" t="s">
        <v>61</v>
      </c>
      <c r="D28" s="1">
        <f>SUMIF(Download!B:B,J28,Download!G:G)</f>
        <v>0</v>
      </c>
      <c r="E28" s="31">
        <f>SUMIF(Download!B:B,J28,Download!H:H)</f>
        <v>0</v>
      </c>
      <c r="F28" s="40" t="str">
        <f t="shared" ref="F28:F44" si="4">IF(RIGHT(I28,2)="JP","JPY",RIGHT(I28,2)&amp;"D")</f>
        <v>HKD</v>
      </c>
      <c r="G28" s="8">
        <f t="shared" ref="G28:G44" si="5">D28*E28</f>
        <v>0</v>
      </c>
      <c r="H28" t="s">
        <v>13</v>
      </c>
      <c r="I28" t="str">
        <f t="shared" ref="I28:I44" si="6">C28</f>
        <v>175:HK</v>
      </c>
      <c r="J28" t="str">
        <f t="shared" ref="J28:J44" si="7">H28&amp;I28</f>
        <v>CB2175:HK</v>
      </c>
    </row>
    <row r="29" spans="1:11" hidden="1" x14ac:dyDescent="0.25">
      <c r="A29" s="29"/>
      <c r="B29" s="30" t="str">
        <f>INDEX(Stocks!A:B,MATCH(I29,Stocks!A:A,),2)</f>
        <v>Jiangxi Copper</v>
      </c>
      <c r="C29" s="30" t="s">
        <v>98</v>
      </c>
      <c r="D29" s="1">
        <f>SUMIF(Download!B:B,J29,Download!G:G)</f>
        <v>0</v>
      </c>
      <c r="E29" s="31">
        <f>SUMIF(Download!B:B,J29,Download!H:H)</f>
        <v>0</v>
      </c>
      <c r="F29" s="40" t="str">
        <f t="shared" si="4"/>
        <v>HKD</v>
      </c>
      <c r="G29" s="8">
        <f t="shared" si="5"/>
        <v>0</v>
      </c>
      <c r="H29" t="s">
        <v>13</v>
      </c>
      <c r="I29" t="str">
        <f t="shared" si="6"/>
        <v>358:HK</v>
      </c>
      <c r="J29" t="str">
        <f t="shared" si="7"/>
        <v>CB2358:HK</v>
      </c>
    </row>
    <row r="30" spans="1:11" hidden="1" x14ac:dyDescent="0.25">
      <c r="A30" s="29"/>
      <c r="B30" s="30" t="str">
        <f>INDEX(Stocks!A:B,MATCH(I30,Stocks!A:A,),2)</f>
        <v>HK Exchange</v>
      </c>
      <c r="C30" s="30" t="s">
        <v>57</v>
      </c>
      <c r="D30" s="1">
        <f>SUMIF(Download!B:B,J30,Download!G:G)</f>
        <v>0</v>
      </c>
      <c r="E30" s="31">
        <f>SUMIF(Download!B:B,J30,Download!H:H)</f>
        <v>0</v>
      </c>
      <c r="F30" s="40" t="str">
        <f t="shared" si="4"/>
        <v>HKD</v>
      </c>
      <c r="G30" s="8">
        <f t="shared" si="5"/>
        <v>0</v>
      </c>
      <c r="H30" t="s">
        <v>13</v>
      </c>
      <c r="I30" t="str">
        <f t="shared" si="6"/>
        <v>388:HK</v>
      </c>
      <c r="J30" t="str">
        <f t="shared" si="7"/>
        <v>CB2388:HK</v>
      </c>
    </row>
    <row r="31" spans="1:11" hidden="1" x14ac:dyDescent="0.25">
      <c r="A31" s="29"/>
      <c r="B31" s="30" t="str">
        <f>INDEX(Stocks!A:B,MATCH(I31,Stocks!A:A,),2)</f>
        <v>Tencent</v>
      </c>
      <c r="C31" s="30" t="s">
        <v>52</v>
      </c>
      <c r="D31" s="1">
        <f>SUMIF(Download!B:B,J31,Download!G:G)</f>
        <v>0</v>
      </c>
      <c r="E31" s="31">
        <f>SUMIF(Download!B:B,J31,Download!H:H)</f>
        <v>0</v>
      </c>
      <c r="F31" s="40" t="str">
        <f t="shared" si="4"/>
        <v>HKD</v>
      </c>
      <c r="G31" s="8">
        <f t="shared" si="5"/>
        <v>0</v>
      </c>
      <c r="H31" t="s">
        <v>13</v>
      </c>
      <c r="I31" t="str">
        <f t="shared" si="6"/>
        <v>700:HK</v>
      </c>
      <c r="J31" t="str">
        <f t="shared" si="7"/>
        <v>CB2700:HK</v>
      </c>
    </row>
    <row r="32" spans="1:11" hidden="1" x14ac:dyDescent="0.25">
      <c r="A32" s="29"/>
      <c r="B32" s="30" t="str">
        <f>INDEX(Stocks!A:B,MATCH(I32,Stocks!A:A,),2)</f>
        <v>Kuaishou Tech</v>
      </c>
      <c r="C32" s="30" t="s">
        <v>53</v>
      </c>
      <c r="D32" s="1">
        <f>SUMIF(Download!B:B,J32,Download!G:G)</f>
        <v>0</v>
      </c>
      <c r="E32" s="31">
        <f>SUMIF(Download!B:B,J32,Download!H:H)</f>
        <v>0</v>
      </c>
      <c r="F32" s="40" t="str">
        <f t="shared" si="4"/>
        <v>HKD</v>
      </c>
      <c r="G32" s="8">
        <f t="shared" si="5"/>
        <v>0</v>
      </c>
      <c r="H32" t="s">
        <v>13</v>
      </c>
      <c r="I32" t="str">
        <f t="shared" si="6"/>
        <v>1024:HK</v>
      </c>
      <c r="J32" t="str">
        <f t="shared" si="7"/>
        <v>CB21024:HK</v>
      </c>
    </row>
    <row r="33" spans="1:11" hidden="1" x14ac:dyDescent="0.25">
      <c r="A33" s="29"/>
      <c r="B33" s="30" t="str">
        <f>INDEX(Stocks!A:B,MATCH(I33,Stocks!A:A,),2)</f>
        <v>Agricultural Bank of China</v>
      </c>
      <c r="C33" s="30" t="s">
        <v>9</v>
      </c>
      <c r="D33" s="1">
        <f>SUMIF(Download!B:B,J33,Download!G:G)</f>
        <v>0</v>
      </c>
      <c r="E33" s="31">
        <f>SUMIF(Download!B:B,J33,Download!H:H)</f>
        <v>0</v>
      </c>
      <c r="F33" s="40" t="str">
        <f t="shared" si="4"/>
        <v>HKD</v>
      </c>
      <c r="G33" s="8">
        <f t="shared" si="5"/>
        <v>0</v>
      </c>
      <c r="H33" t="s">
        <v>13</v>
      </c>
      <c r="I33" t="str">
        <f t="shared" si="6"/>
        <v>1288:HK</v>
      </c>
      <c r="J33" t="str">
        <f t="shared" si="7"/>
        <v>CB21288:HK</v>
      </c>
    </row>
    <row r="34" spans="1:11" hidden="1" x14ac:dyDescent="0.25">
      <c r="A34" s="29"/>
      <c r="B34" s="30" t="str">
        <f>INDEX(Stocks!A:B,MATCH(I34,Stocks!A:A,),2)</f>
        <v>AIA Group</v>
      </c>
      <c r="C34" s="30" t="s">
        <v>86</v>
      </c>
      <c r="D34" s="1">
        <f>SUMIF(Download!B:B,J34,Download!G:G)</f>
        <v>0</v>
      </c>
      <c r="E34" s="31">
        <f>SUMIF(Download!B:B,J34,Download!H:H)</f>
        <v>0</v>
      </c>
      <c r="F34" s="40" t="str">
        <f t="shared" si="4"/>
        <v>HKD</v>
      </c>
      <c r="G34" s="8">
        <f t="shared" si="5"/>
        <v>0</v>
      </c>
      <c r="H34" t="s">
        <v>13</v>
      </c>
      <c r="I34" t="str">
        <f t="shared" si="6"/>
        <v>1299:HK</v>
      </c>
      <c r="J34" t="str">
        <f t="shared" si="7"/>
        <v>CB21299:HK</v>
      </c>
    </row>
    <row r="35" spans="1:11" hidden="1" x14ac:dyDescent="0.25">
      <c r="A35" s="29"/>
      <c r="B35" s="30" t="str">
        <f>INDEX(Stocks!A:B,MATCH(I35,Stocks!A:A,),2)</f>
        <v>Postal Savings Bank of China</v>
      </c>
      <c r="C35" s="30" t="s">
        <v>47</v>
      </c>
      <c r="D35" s="1">
        <f>SUMIF(Download!B:B,J35,Download!G:G)</f>
        <v>0</v>
      </c>
      <c r="E35" s="31">
        <f>SUMIF(Download!B:B,J35,Download!H:H)</f>
        <v>0</v>
      </c>
      <c r="F35" s="40" t="str">
        <f t="shared" si="4"/>
        <v>HKD</v>
      </c>
      <c r="G35" s="8">
        <f t="shared" si="5"/>
        <v>0</v>
      </c>
      <c r="H35" t="s">
        <v>13</v>
      </c>
      <c r="I35" t="str">
        <f t="shared" si="6"/>
        <v>1658:HK</v>
      </c>
      <c r="J35" t="str">
        <f t="shared" si="7"/>
        <v>CB21658:HK</v>
      </c>
    </row>
    <row r="36" spans="1:11" hidden="1" x14ac:dyDescent="0.25">
      <c r="A36" s="29"/>
      <c r="B36" s="30" t="str">
        <f>INDEX(Stocks!A:B,MATCH(I36,Stocks!A:A,),2)</f>
        <v>Shanghai Fosun</v>
      </c>
      <c r="C36" s="30" t="s">
        <v>95</v>
      </c>
      <c r="D36" s="1">
        <f>SUMIF(Download!B:B,J36,Download!G:G)</f>
        <v>0</v>
      </c>
      <c r="E36" s="31">
        <f>SUMIF(Download!B:B,J36,Download!H:H)</f>
        <v>0</v>
      </c>
      <c r="F36" s="40" t="str">
        <f t="shared" si="4"/>
        <v>HKD</v>
      </c>
      <c r="G36" s="8">
        <f t="shared" si="5"/>
        <v>0</v>
      </c>
      <c r="H36" t="s">
        <v>13</v>
      </c>
      <c r="I36" t="str">
        <f t="shared" si="6"/>
        <v>2196:HK</v>
      </c>
      <c r="J36" t="str">
        <f t="shared" si="7"/>
        <v>CB22196:HK</v>
      </c>
    </row>
    <row r="37" spans="1:11" hidden="1" x14ac:dyDescent="0.25">
      <c r="A37" s="29"/>
      <c r="B37" s="30" t="str">
        <f>INDEX(Stocks!A:B,MATCH(I37,Stocks!A:A,),2)</f>
        <v>Great Wall Motor</v>
      </c>
      <c r="C37" s="30" t="s">
        <v>67</v>
      </c>
      <c r="D37" s="1">
        <f>SUMIF(Download!B:B,J37,Download!G:G)</f>
        <v>0</v>
      </c>
      <c r="E37" s="31">
        <f>SUMIF(Download!B:B,J37,Download!H:H)</f>
        <v>0</v>
      </c>
      <c r="F37" s="40" t="str">
        <f t="shared" si="4"/>
        <v>HKD</v>
      </c>
      <c r="G37" s="8">
        <f t="shared" si="5"/>
        <v>0</v>
      </c>
      <c r="H37" t="s">
        <v>13</v>
      </c>
      <c r="I37" t="str">
        <f t="shared" si="6"/>
        <v>2333:HK</v>
      </c>
      <c r="J37" t="str">
        <f t="shared" si="7"/>
        <v>CB22333:HK</v>
      </c>
    </row>
    <row r="38" spans="1:11" hidden="1" x14ac:dyDescent="0.25">
      <c r="A38" s="29"/>
      <c r="B38" s="30" t="str">
        <f>INDEX(Stocks!A:B,MATCH(I38,Stocks!A:A,),2)</f>
        <v>Zijin Mining</v>
      </c>
      <c r="C38" s="30" t="s">
        <v>109</v>
      </c>
      <c r="D38" s="1">
        <f>SUMIF(Download!B:B,J38,Download!G:G)</f>
        <v>0</v>
      </c>
      <c r="E38" s="31">
        <f>SUMIF(Download!B:B,J38,Download!H:H)</f>
        <v>0</v>
      </c>
      <c r="F38" s="40" t="str">
        <f t="shared" si="4"/>
        <v>HKD</v>
      </c>
      <c r="G38" s="8">
        <f t="shared" si="5"/>
        <v>0</v>
      </c>
      <c r="H38" t="s">
        <v>13</v>
      </c>
      <c r="I38" t="str">
        <f t="shared" si="6"/>
        <v>2899:HK</v>
      </c>
      <c r="J38" t="str">
        <f t="shared" si="7"/>
        <v>CB22899:HK</v>
      </c>
    </row>
    <row r="39" spans="1:11" hidden="1" x14ac:dyDescent="0.25">
      <c r="A39" s="29"/>
      <c r="B39" s="30" t="str">
        <f>INDEX(Stocks!A:B,MATCH(I39,Stocks!A:A,),2)</f>
        <v>Bank of China</v>
      </c>
      <c r="C39" s="30" t="s">
        <v>37</v>
      </c>
      <c r="D39" s="1">
        <f>SUMIF(Download!B:B,J39,Download!G:G)</f>
        <v>0</v>
      </c>
      <c r="E39" s="31">
        <f>SUMIF(Download!B:B,J39,Download!H:H)</f>
        <v>0</v>
      </c>
      <c r="F39" s="40" t="str">
        <f t="shared" si="4"/>
        <v>HKD</v>
      </c>
      <c r="G39" s="8">
        <f t="shared" si="5"/>
        <v>0</v>
      </c>
      <c r="H39" t="s">
        <v>13</v>
      </c>
      <c r="I39" t="str">
        <f t="shared" si="6"/>
        <v>3988:HK</v>
      </c>
      <c r="J39" t="str">
        <f t="shared" si="7"/>
        <v>CB23988:HK</v>
      </c>
    </row>
    <row r="40" spans="1:11" hidden="1" x14ac:dyDescent="0.25">
      <c r="A40" s="29"/>
      <c r="B40" s="30" t="str">
        <f>INDEX(Stocks!A:B,MATCH(I40,Stocks!A:A,),2)</f>
        <v>China Molybdenum</v>
      </c>
      <c r="C40" s="30" t="s">
        <v>72</v>
      </c>
      <c r="D40" s="1">
        <f>SUMIF(Download!B:B,J40,Download!G:G)</f>
        <v>0</v>
      </c>
      <c r="E40" s="31">
        <f>SUMIF(Download!B:B,J40,Download!H:H)</f>
        <v>0</v>
      </c>
      <c r="F40" s="40" t="str">
        <f t="shared" si="4"/>
        <v>HKD</v>
      </c>
      <c r="G40" s="8">
        <f t="shared" si="5"/>
        <v>0</v>
      </c>
      <c r="H40" t="s">
        <v>13</v>
      </c>
      <c r="I40" t="str">
        <f t="shared" si="6"/>
        <v>3993:HK</v>
      </c>
      <c r="J40" t="str">
        <f t="shared" si="7"/>
        <v>CB23993:HK</v>
      </c>
    </row>
    <row r="41" spans="1:11" hidden="1" x14ac:dyDescent="0.25">
      <c r="A41" s="29"/>
      <c r="B41" s="30" t="str">
        <f>INDEX(Stocks!A:B,MATCH(I41,Stocks!A:A,),2)</f>
        <v>Citic Securities</v>
      </c>
      <c r="C41" s="30" t="s">
        <v>84</v>
      </c>
      <c r="D41" s="1">
        <f>SUMIF(Download!B:B,J41,Download!G:G)</f>
        <v>0</v>
      </c>
      <c r="E41" s="31">
        <f>SUMIF(Download!B:B,J41,Download!H:H)</f>
        <v>0</v>
      </c>
      <c r="F41" s="40" t="str">
        <f t="shared" si="4"/>
        <v>HKD</v>
      </c>
      <c r="G41" s="8">
        <f t="shared" si="5"/>
        <v>0</v>
      </c>
      <c r="H41" t="s">
        <v>13</v>
      </c>
      <c r="I41" t="str">
        <f t="shared" si="6"/>
        <v>6030:HK</v>
      </c>
      <c r="J41" t="str">
        <f t="shared" si="7"/>
        <v>CB26030:HK</v>
      </c>
    </row>
    <row r="42" spans="1:11" hidden="1" x14ac:dyDescent="0.25">
      <c r="A42" s="29"/>
      <c r="B42" s="30" t="str">
        <f>INDEX(Stocks!A:B,MATCH(I42,Stocks!A:A,),2)</f>
        <v>JD com</v>
      </c>
      <c r="C42" s="30" t="s">
        <v>106</v>
      </c>
      <c r="D42" s="1">
        <f>SUMIF(Download!B:B,J42,Download!G:G)</f>
        <v>0</v>
      </c>
      <c r="E42" s="31">
        <f>SUMIF(Download!B:B,J42,Download!H:H)</f>
        <v>0</v>
      </c>
      <c r="F42" s="40" t="str">
        <f t="shared" si="4"/>
        <v>HKD</v>
      </c>
      <c r="G42" s="8">
        <f t="shared" si="5"/>
        <v>0</v>
      </c>
      <c r="H42" t="s">
        <v>13</v>
      </c>
      <c r="I42" t="str">
        <f t="shared" si="6"/>
        <v>9618:HK</v>
      </c>
      <c r="J42" t="str">
        <f t="shared" si="7"/>
        <v>CB29618:HK</v>
      </c>
    </row>
    <row r="43" spans="1:11" hidden="1" x14ac:dyDescent="0.25">
      <c r="A43" s="29"/>
      <c r="B43" s="30" t="str">
        <f>INDEX(Stocks!A:B,MATCH(I43,Stocks!A:A,),2)</f>
        <v>Baidu Inc A</v>
      </c>
      <c r="C43" s="30" t="s">
        <v>79</v>
      </c>
      <c r="D43" s="1">
        <f>SUMIF(Download!B:B,J43,Download!G:G)</f>
        <v>0</v>
      </c>
      <c r="E43" s="31">
        <f>SUMIF(Download!B:B,J43,Download!H:H)</f>
        <v>0</v>
      </c>
      <c r="F43" s="40" t="str">
        <f t="shared" si="4"/>
        <v>HKD</v>
      </c>
      <c r="G43" s="8">
        <f t="shared" si="5"/>
        <v>0</v>
      </c>
      <c r="H43" t="s">
        <v>13</v>
      </c>
      <c r="I43" t="str">
        <f t="shared" si="6"/>
        <v>9888:HK</v>
      </c>
      <c r="J43" t="str">
        <f t="shared" si="7"/>
        <v>CB29888:HK</v>
      </c>
    </row>
    <row r="44" spans="1:11" hidden="1" x14ac:dyDescent="0.25">
      <c r="A44" s="29"/>
      <c r="B44" s="30" t="str">
        <f>INDEX(Stocks!A:B,MATCH(I44,Stocks!A:A,),2)</f>
        <v>Alibaba</v>
      </c>
      <c r="C44" s="30" t="s">
        <v>58</v>
      </c>
      <c r="D44" s="1">
        <f>SUMIF(Download!B:B,J44,Download!G:G)</f>
        <v>0</v>
      </c>
      <c r="E44" s="31">
        <f>SUMIF(Download!B:B,J44,Download!H:H)</f>
        <v>0</v>
      </c>
      <c r="F44" s="40" t="str">
        <f t="shared" si="4"/>
        <v>HKD</v>
      </c>
      <c r="G44" s="8">
        <f t="shared" si="5"/>
        <v>0</v>
      </c>
      <c r="H44" t="s">
        <v>13</v>
      </c>
      <c r="I44" t="str">
        <f t="shared" si="6"/>
        <v>9988:HK</v>
      </c>
      <c r="J44" t="str">
        <f t="shared" si="7"/>
        <v>CB29988:HK</v>
      </c>
    </row>
    <row r="45" spans="1:11" hidden="1" x14ac:dyDescent="0.25">
      <c r="A45" s="29"/>
      <c r="B45" s="32"/>
      <c r="C45" s="32"/>
      <c r="D45" s="15">
        <f>SUBTOTAL(9,D27:D44)</f>
        <v>0</v>
      </c>
      <c r="E45" s="33"/>
      <c r="F45" s="33"/>
      <c r="G45" s="12"/>
    </row>
    <row r="46" spans="1:11" hidden="1" x14ac:dyDescent="0.25">
      <c r="D46" s="36"/>
    </row>
    <row r="47" spans="1:11" ht="18.75" hidden="1" customHeight="1" x14ac:dyDescent="0.3">
      <c r="A47" s="17" t="s">
        <v>14</v>
      </c>
      <c r="B47" s="17"/>
      <c r="C47" s="17"/>
      <c r="K47" s="23"/>
    </row>
    <row r="48" spans="1:11" hidden="1" x14ac:dyDescent="0.25">
      <c r="B48" s="26" t="s">
        <v>5</v>
      </c>
      <c r="C48" s="26" t="s">
        <v>105</v>
      </c>
      <c r="D48" s="26" t="s">
        <v>6</v>
      </c>
      <c r="E48" s="26" t="s">
        <v>7</v>
      </c>
      <c r="F48" s="63" t="s">
        <v>8</v>
      </c>
      <c r="G48" s="64"/>
      <c r="H48" s="28"/>
    </row>
    <row r="49" spans="1:10" hidden="1" x14ac:dyDescent="0.25">
      <c r="A49" s="29"/>
      <c r="B49" s="30" t="str">
        <f>INDEX(Stocks!A:B,MATCH(I49,Stocks!A:A,),2)</f>
        <v>HSBC</v>
      </c>
      <c r="C49" s="30" t="s">
        <v>44</v>
      </c>
      <c r="D49" s="1">
        <f>SUMIF(Download!B:B,J49,Download!G:G)</f>
        <v>0</v>
      </c>
      <c r="E49" s="31">
        <f>SUMIF(Download!B:B,J49,Download!H:H)</f>
        <v>0</v>
      </c>
      <c r="F49" s="40" t="str">
        <f t="shared" ref="F49:F62" si="8">IF(RIGHT(I49,2)="JP","JPY",RIGHT(I49,2)&amp;"D")</f>
        <v>HKD</v>
      </c>
      <c r="G49" s="8">
        <f t="shared" ref="G49:G62" si="9">D49*E49</f>
        <v>0</v>
      </c>
      <c r="H49" t="s">
        <v>15</v>
      </c>
      <c r="I49" t="str">
        <f t="shared" ref="I49:I62" si="10">C49</f>
        <v>5:HK</v>
      </c>
      <c r="J49" t="str">
        <f t="shared" ref="J49:J62" si="11">H49&amp;I49</f>
        <v>CB35:HK</v>
      </c>
    </row>
    <row r="50" spans="1:10" hidden="1" x14ac:dyDescent="0.25">
      <c r="A50" s="29"/>
      <c r="B50" s="30" t="str">
        <f>INDEX(Stocks!A:B,MATCH(I50,Stocks!A:A,),2)</f>
        <v>Geely Motor</v>
      </c>
      <c r="C50" s="30" t="s">
        <v>61</v>
      </c>
      <c r="D50" s="1">
        <f>SUMIF(Download!B:B,J50,Download!G:G)</f>
        <v>0</v>
      </c>
      <c r="E50" s="31">
        <f>SUMIF(Download!B:B,J50,Download!H:H)</f>
        <v>0</v>
      </c>
      <c r="F50" s="40" t="str">
        <f t="shared" si="8"/>
        <v>HKD</v>
      </c>
      <c r="G50" s="8">
        <f t="shared" si="9"/>
        <v>0</v>
      </c>
      <c r="H50" t="s">
        <v>15</v>
      </c>
      <c r="I50" t="str">
        <f t="shared" si="10"/>
        <v>175:HK</v>
      </c>
      <c r="J50" t="str">
        <f t="shared" si="11"/>
        <v>CB3175:HK</v>
      </c>
    </row>
    <row r="51" spans="1:10" hidden="1" x14ac:dyDescent="0.25">
      <c r="A51" s="29"/>
      <c r="B51" s="30" t="str">
        <f>INDEX(Stocks!A:B,MATCH(I51,Stocks!A:A,),2)</f>
        <v>Cathay Pacific</v>
      </c>
      <c r="C51" s="30" t="s">
        <v>91</v>
      </c>
      <c r="D51" s="1">
        <f>SUMIF(Download!B:B,J51,Download!G:G)</f>
        <v>0</v>
      </c>
      <c r="E51" s="31">
        <f>SUMIF(Download!B:B,J51,Download!H:H)</f>
        <v>0</v>
      </c>
      <c r="F51" s="40" t="str">
        <f t="shared" si="8"/>
        <v>HKD</v>
      </c>
      <c r="G51" s="8">
        <f t="shared" si="9"/>
        <v>0</v>
      </c>
      <c r="H51" t="s">
        <v>15</v>
      </c>
      <c r="I51" t="str">
        <f t="shared" si="10"/>
        <v>293:HK</v>
      </c>
      <c r="J51" t="str">
        <f t="shared" si="11"/>
        <v>CB3293:HK</v>
      </c>
    </row>
    <row r="52" spans="1:10" hidden="1" x14ac:dyDescent="0.25">
      <c r="A52" s="29"/>
      <c r="B52" s="30" t="str">
        <f>INDEX(Stocks!A:B,MATCH(I52,Stocks!A:A,),2)</f>
        <v>Jiangxi Copper</v>
      </c>
      <c r="C52" s="30" t="s">
        <v>98</v>
      </c>
      <c r="D52" s="1">
        <f>SUMIF(Download!B:B,J52,Download!G:G)</f>
        <v>0</v>
      </c>
      <c r="E52" s="31">
        <f>SUMIF(Download!B:B,J52,Download!H:H)</f>
        <v>0</v>
      </c>
      <c r="F52" s="40" t="str">
        <f t="shared" si="8"/>
        <v>HKD</v>
      </c>
      <c r="G52" s="8">
        <f t="shared" si="9"/>
        <v>0</v>
      </c>
      <c r="H52" t="s">
        <v>15</v>
      </c>
      <c r="I52" t="str">
        <f t="shared" si="10"/>
        <v>358:HK</v>
      </c>
      <c r="J52" t="str">
        <f t="shared" si="11"/>
        <v>CB3358:HK</v>
      </c>
    </row>
    <row r="53" spans="1:10" hidden="1" x14ac:dyDescent="0.25">
      <c r="A53" s="29"/>
      <c r="B53" s="30" t="str">
        <f>INDEX(Stocks!A:B,MATCH(I53,Stocks!A:A,),2)</f>
        <v>Beijing Water</v>
      </c>
      <c r="C53" s="30" t="s">
        <v>89</v>
      </c>
      <c r="D53" s="1">
        <f>SUMIF(Download!B:B,J53,Download!G:G)</f>
        <v>0</v>
      </c>
      <c r="E53" s="31">
        <f>SUMIF(Download!B:B,J53,Download!H:H)</f>
        <v>0</v>
      </c>
      <c r="F53" s="40" t="str">
        <f t="shared" si="8"/>
        <v>HKD</v>
      </c>
      <c r="G53" s="8">
        <f t="shared" si="9"/>
        <v>0</v>
      </c>
      <c r="H53" t="s">
        <v>15</v>
      </c>
      <c r="I53" t="str">
        <f t="shared" si="10"/>
        <v>371:HK</v>
      </c>
      <c r="J53" t="str">
        <f t="shared" si="11"/>
        <v>CB3371:HK</v>
      </c>
    </row>
    <row r="54" spans="1:10" hidden="1" x14ac:dyDescent="0.25">
      <c r="A54" s="29"/>
      <c r="B54" s="30" t="str">
        <f>INDEX(Stocks!A:B,MATCH(I54,Stocks!A:A,),2)</f>
        <v>HK Exchange</v>
      </c>
      <c r="C54" s="30" t="s">
        <v>57</v>
      </c>
      <c r="D54" s="1">
        <f>SUMIF(Download!B:B,J54,Download!G:G)</f>
        <v>0</v>
      </c>
      <c r="E54" s="31">
        <f>SUMIF(Download!B:B,J54,Download!H:H)</f>
        <v>0</v>
      </c>
      <c r="F54" s="40" t="str">
        <f t="shared" si="8"/>
        <v>HKD</v>
      </c>
      <c r="G54" s="8">
        <f t="shared" si="9"/>
        <v>0</v>
      </c>
      <c r="H54" t="s">
        <v>15</v>
      </c>
      <c r="I54" t="str">
        <f t="shared" si="10"/>
        <v>388:HK</v>
      </c>
      <c r="J54" t="str">
        <f t="shared" si="11"/>
        <v>CB3388:HK</v>
      </c>
    </row>
    <row r="55" spans="1:10" hidden="1" x14ac:dyDescent="0.25">
      <c r="A55" s="29"/>
      <c r="B55" s="30" t="str">
        <f>INDEX(Stocks!A:B,MATCH(I55,Stocks!A:A,),2)</f>
        <v>Tencent</v>
      </c>
      <c r="C55" s="30" t="s">
        <v>52</v>
      </c>
      <c r="D55" s="1">
        <f>SUMIF(Download!B:B,J55,Download!G:G)</f>
        <v>0</v>
      </c>
      <c r="E55" s="31">
        <f>SUMIF(Download!B:B,J55,Download!H:H)</f>
        <v>0</v>
      </c>
      <c r="F55" s="40" t="str">
        <f t="shared" si="8"/>
        <v>HKD</v>
      </c>
      <c r="G55" s="8">
        <f t="shared" si="9"/>
        <v>0</v>
      </c>
      <c r="H55" t="s">
        <v>15</v>
      </c>
      <c r="I55" t="str">
        <f t="shared" si="10"/>
        <v>700:HK</v>
      </c>
      <c r="J55" t="str">
        <f t="shared" si="11"/>
        <v>CB3700:HK</v>
      </c>
    </row>
    <row r="56" spans="1:10" hidden="1" x14ac:dyDescent="0.25">
      <c r="A56" s="29"/>
      <c r="B56" s="30" t="str">
        <f>INDEX(Stocks!A:B,MATCH(I56,Stocks!A:A,),2)</f>
        <v>Agricultural Bank of China</v>
      </c>
      <c r="C56" s="30" t="s">
        <v>9</v>
      </c>
      <c r="D56" s="1">
        <f>SUMIF(Download!B:B,J56,Download!G:G)</f>
        <v>0</v>
      </c>
      <c r="E56" s="31">
        <f>SUMIF(Download!B:B,J56,Download!H:H)</f>
        <v>0</v>
      </c>
      <c r="F56" s="40" t="str">
        <f t="shared" si="8"/>
        <v>HKD</v>
      </c>
      <c r="G56" s="8">
        <f t="shared" si="9"/>
        <v>0</v>
      </c>
      <c r="H56" t="s">
        <v>15</v>
      </c>
      <c r="I56" t="str">
        <f t="shared" si="10"/>
        <v>1288:HK</v>
      </c>
      <c r="J56" t="str">
        <f t="shared" si="11"/>
        <v>CB31288:HK</v>
      </c>
    </row>
    <row r="57" spans="1:10" hidden="1" x14ac:dyDescent="0.25">
      <c r="A57" s="29"/>
      <c r="B57" s="30" t="str">
        <f>INDEX(Stocks!A:B,MATCH(I57,Stocks!A:A,),2)</f>
        <v>AIA Group</v>
      </c>
      <c r="C57" s="30" t="s">
        <v>86</v>
      </c>
      <c r="D57" s="1">
        <f>SUMIF(Download!B:B,J57,Download!G:G)</f>
        <v>0</v>
      </c>
      <c r="E57" s="31">
        <f>SUMIF(Download!B:B,J57,Download!H:H)</f>
        <v>0</v>
      </c>
      <c r="F57" s="40" t="str">
        <f t="shared" si="8"/>
        <v>HKD</v>
      </c>
      <c r="G57" s="8">
        <f t="shared" si="9"/>
        <v>0</v>
      </c>
      <c r="H57" t="s">
        <v>15</v>
      </c>
      <c r="I57" t="str">
        <f t="shared" si="10"/>
        <v>1299:HK</v>
      </c>
      <c r="J57" t="str">
        <f t="shared" si="11"/>
        <v>CB31299:HK</v>
      </c>
    </row>
    <row r="58" spans="1:10" hidden="1" x14ac:dyDescent="0.25">
      <c r="A58" s="29"/>
      <c r="B58" s="30" t="str">
        <f>INDEX(Stocks!A:B,MATCH(I58,Stocks!A:A,),2)</f>
        <v>Great Wall Motor</v>
      </c>
      <c r="C58" s="30" t="s">
        <v>67</v>
      </c>
      <c r="D58" s="1">
        <f>SUMIF(Download!B:B,J58,Download!G:G)</f>
        <v>0</v>
      </c>
      <c r="E58" s="31">
        <f>SUMIF(Download!B:B,J58,Download!H:H)</f>
        <v>0</v>
      </c>
      <c r="F58" s="40" t="str">
        <f t="shared" si="8"/>
        <v>HKD</v>
      </c>
      <c r="G58" s="8">
        <f t="shared" si="9"/>
        <v>0</v>
      </c>
      <c r="H58" t="s">
        <v>15</v>
      </c>
      <c r="I58" t="str">
        <f t="shared" si="10"/>
        <v>2333:HK</v>
      </c>
      <c r="J58" t="str">
        <f t="shared" si="11"/>
        <v>CB32333:HK</v>
      </c>
    </row>
    <row r="59" spans="1:10" hidden="1" x14ac:dyDescent="0.25">
      <c r="A59" s="29"/>
      <c r="B59" s="30" t="str">
        <f>INDEX(Stocks!A:B,MATCH(I59,Stocks!A:A,),2)</f>
        <v>Bank of China</v>
      </c>
      <c r="C59" s="30" t="s">
        <v>37</v>
      </c>
      <c r="D59" s="1">
        <f>SUMIF(Download!B:B,J59,Download!G:G)</f>
        <v>0</v>
      </c>
      <c r="E59" s="31">
        <f>SUMIF(Download!B:B,J59,Download!H:H)</f>
        <v>0</v>
      </c>
      <c r="F59" s="40" t="str">
        <f t="shared" si="8"/>
        <v>HKD</v>
      </c>
      <c r="G59" s="8">
        <f t="shared" si="9"/>
        <v>0</v>
      </c>
      <c r="H59" t="s">
        <v>15</v>
      </c>
      <c r="I59" t="str">
        <f t="shared" si="10"/>
        <v>3988:HK</v>
      </c>
      <c r="J59" t="str">
        <f t="shared" si="11"/>
        <v>CB33988:HK</v>
      </c>
    </row>
    <row r="60" spans="1:10" hidden="1" x14ac:dyDescent="0.25">
      <c r="A60" s="29"/>
      <c r="B60" s="30" t="str">
        <f>INDEX(Stocks!A:B,MATCH(I60,Stocks!A:A,),2)</f>
        <v>China Molybdenum</v>
      </c>
      <c r="C60" s="30" t="s">
        <v>72</v>
      </c>
      <c r="D60" s="1">
        <f>SUMIF(Download!B:B,J60,Download!G:G)</f>
        <v>0</v>
      </c>
      <c r="E60" s="31">
        <f>SUMIF(Download!B:B,J60,Download!H:H)</f>
        <v>0</v>
      </c>
      <c r="F60" s="40" t="str">
        <f t="shared" si="8"/>
        <v>HKD</v>
      </c>
      <c r="G60" s="8">
        <f t="shared" si="9"/>
        <v>0</v>
      </c>
      <c r="H60" t="s">
        <v>15</v>
      </c>
      <c r="I60" t="str">
        <f t="shared" si="10"/>
        <v>3993:HK</v>
      </c>
      <c r="J60" t="str">
        <f t="shared" si="11"/>
        <v>CB33993:HK</v>
      </c>
    </row>
    <row r="61" spans="1:10" hidden="1" x14ac:dyDescent="0.25">
      <c r="A61" s="29"/>
      <c r="B61" s="30" t="str">
        <f>INDEX(Stocks!A:B,MATCH(I61,Stocks!A:A,),2)</f>
        <v>JD com</v>
      </c>
      <c r="C61" s="30" t="s">
        <v>106</v>
      </c>
      <c r="D61" s="1">
        <f>SUMIF(Download!B:B,J61,Download!G:G)</f>
        <v>0</v>
      </c>
      <c r="E61" s="31">
        <f>SUMIF(Download!B:B,J61,Download!H:H)</f>
        <v>0</v>
      </c>
      <c r="F61" s="40" t="str">
        <f t="shared" si="8"/>
        <v>HKD</v>
      </c>
      <c r="G61" s="8">
        <f t="shared" si="9"/>
        <v>0</v>
      </c>
      <c r="H61" t="s">
        <v>15</v>
      </c>
      <c r="I61" t="str">
        <f t="shared" si="10"/>
        <v>9618:HK</v>
      </c>
      <c r="J61" t="str">
        <f t="shared" si="11"/>
        <v>CB39618:HK</v>
      </c>
    </row>
    <row r="62" spans="1:10" hidden="1" x14ac:dyDescent="0.25">
      <c r="A62" s="29"/>
      <c r="B62" s="30" t="str">
        <f>INDEX(Stocks!A:B,MATCH(I62,Stocks!A:A,),2)</f>
        <v>Baidu Inc A</v>
      </c>
      <c r="C62" s="30" t="s">
        <v>79</v>
      </c>
      <c r="D62" s="1">
        <f>SUMIF(Download!B:B,J62,Download!G:G)</f>
        <v>0</v>
      </c>
      <c r="E62" s="31">
        <f>SUMIF(Download!B:B,J62,Download!H:H)</f>
        <v>0</v>
      </c>
      <c r="F62" s="40" t="str">
        <f t="shared" si="8"/>
        <v>HKD</v>
      </c>
      <c r="G62" s="8">
        <f t="shared" si="9"/>
        <v>0</v>
      </c>
      <c r="H62" t="s">
        <v>15</v>
      </c>
      <c r="I62" t="str">
        <f t="shared" si="10"/>
        <v>9888:HK</v>
      </c>
      <c r="J62" t="str">
        <f t="shared" si="11"/>
        <v>CB39888:HK</v>
      </c>
    </row>
    <row r="63" spans="1:10" hidden="1" x14ac:dyDescent="0.25">
      <c r="A63" s="29"/>
      <c r="B63" s="32"/>
      <c r="C63" s="32"/>
      <c r="D63" s="15">
        <f>SUBTOTAL(9,D48:D62)</f>
        <v>0</v>
      </c>
      <c r="E63" s="33"/>
      <c r="F63" s="33"/>
      <c r="G63" s="12"/>
    </row>
    <row r="64" spans="1:10" hidden="1" x14ac:dyDescent="0.25">
      <c r="D64" s="36"/>
    </row>
    <row r="65" spans="1:11" ht="18.75" hidden="1" customHeight="1" x14ac:dyDescent="0.3">
      <c r="A65" s="17" t="s">
        <v>16</v>
      </c>
      <c r="B65" s="17"/>
      <c r="C65" s="17"/>
      <c r="K65" s="23"/>
    </row>
    <row r="66" spans="1:11" hidden="1" x14ac:dyDescent="0.25">
      <c r="B66" s="26" t="s">
        <v>5</v>
      </c>
      <c r="C66" s="26" t="s">
        <v>105</v>
      </c>
      <c r="D66" s="26" t="s">
        <v>6</v>
      </c>
      <c r="E66" s="26" t="s">
        <v>7</v>
      </c>
      <c r="F66" s="63" t="s">
        <v>8</v>
      </c>
      <c r="G66" s="64"/>
      <c r="H66" s="28"/>
    </row>
    <row r="67" spans="1:11" hidden="1" x14ac:dyDescent="0.25">
      <c r="A67" s="29"/>
      <c r="B67" s="30" t="str">
        <f>INDEX(Stocks!A:B,MATCH(I67,Stocks!A:A,),2)</f>
        <v>Geely Motor</v>
      </c>
      <c r="C67" s="30" t="s">
        <v>61</v>
      </c>
      <c r="D67" s="1">
        <f>SUMIF(Download!B:B,J67,Download!G:G)</f>
        <v>0</v>
      </c>
      <c r="E67" s="31">
        <f>SUMIF(Download!B:B,J67,Download!H:H)</f>
        <v>0</v>
      </c>
      <c r="F67" s="40" t="str">
        <f t="shared" ref="F67:F78" si="12">IF(RIGHT(I67,2)="JP","JPY",RIGHT(I67,2)&amp;"D")</f>
        <v>HKD</v>
      </c>
      <c r="G67" s="8">
        <f t="shared" ref="G67:G78" si="13">D67*E67</f>
        <v>0</v>
      </c>
      <c r="H67" t="s">
        <v>17</v>
      </c>
      <c r="I67" t="str">
        <f t="shared" ref="I67:I78" si="14">C67</f>
        <v>175:HK</v>
      </c>
      <c r="J67" t="str">
        <f t="shared" ref="J67:J78" si="15">H67&amp;I67</f>
        <v>CBBH175:HK</v>
      </c>
    </row>
    <row r="68" spans="1:11" hidden="1" x14ac:dyDescent="0.25">
      <c r="A68" s="29"/>
      <c r="B68" s="30" t="str">
        <f>INDEX(Stocks!A:B,MATCH(I68,Stocks!A:A,),2)</f>
        <v>HK Exchange</v>
      </c>
      <c r="C68" s="30" t="s">
        <v>57</v>
      </c>
      <c r="D68" s="1">
        <f>SUMIF(Download!B:B,J68,Download!G:G)</f>
        <v>0</v>
      </c>
      <c r="E68" s="31">
        <f>SUMIF(Download!B:B,J68,Download!H:H)</f>
        <v>0</v>
      </c>
      <c r="F68" s="40" t="str">
        <f t="shared" si="12"/>
        <v>HKD</v>
      </c>
      <c r="G68" s="8">
        <f t="shared" si="13"/>
        <v>0</v>
      </c>
      <c r="H68" t="s">
        <v>17</v>
      </c>
      <c r="I68" t="str">
        <f t="shared" si="14"/>
        <v>388:HK</v>
      </c>
      <c r="J68" t="str">
        <f t="shared" si="15"/>
        <v>CBBH388:HK</v>
      </c>
    </row>
    <row r="69" spans="1:11" hidden="1" x14ac:dyDescent="0.25">
      <c r="A69" s="29"/>
      <c r="B69" s="30" t="str">
        <f>INDEX(Stocks!A:B,MATCH(I69,Stocks!A:A,),2)</f>
        <v>Tencent</v>
      </c>
      <c r="C69" s="30" t="s">
        <v>52</v>
      </c>
      <c r="D69" s="1">
        <f>SUMIF(Download!B:B,J69,Download!G:G)</f>
        <v>0</v>
      </c>
      <c r="E69" s="31">
        <f>SUMIF(Download!B:B,J69,Download!H:H)</f>
        <v>0</v>
      </c>
      <c r="F69" s="40" t="str">
        <f t="shared" si="12"/>
        <v>HKD</v>
      </c>
      <c r="G69" s="8">
        <f t="shared" si="13"/>
        <v>0</v>
      </c>
      <c r="H69" t="s">
        <v>17</v>
      </c>
      <c r="I69" t="str">
        <f t="shared" si="14"/>
        <v>700:HK</v>
      </c>
      <c r="J69" t="str">
        <f t="shared" si="15"/>
        <v>CBBH700:HK</v>
      </c>
    </row>
    <row r="70" spans="1:11" hidden="1" x14ac:dyDescent="0.25">
      <c r="A70" s="29"/>
      <c r="B70" s="30" t="str">
        <f>INDEX(Stocks!A:B,MATCH(I70,Stocks!A:A,),2)</f>
        <v>AIA Group</v>
      </c>
      <c r="C70" s="30" t="s">
        <v>86</v>
      </c>
      <c r="D70" s="1">
        <f>SUMIF(Download!B:B,J70,Download!G:G)</f>
        <v>0</v>
      </c>
      <c r="E70" s="31">
        <f>SUMIF(Download!B:B,J70,Download!H:H)</f>
        <v>0</v>
      </c>
      <c r="F70" s="40" t="str">
        <f t="shared" si="12"/>
        <v>HKD</v>
      </c>
      <c r="G70" s="8">
        <f t="shared" si="13"/>
        <v>0</v>
      </c>
      <c r="H70" t="s">
        <v>17</v>
      </c>
      <c r="I70" t="str">
        <f t="shared" si="14"/>
        <v>1299:HK</v>
      </c>
      <c r="J70" t="str">
        <f t="shared" si="15"/>
        <v>CBBH1299:HK</v>
      </c>
    </row>
    <row r="71" spans="1:11" hidden="1" x14ac:dyDescent="0.25">
      <c r="A71" s="29"/>
      <c r="B71" s="30" t="str">
        <f>INDEX(Stocks!A:B,MATCH(I71,Stocks!A:A,),2)</f>
        <v>Xiaomi Corp</v>
      </c>
      <c r="C71" s="30" t="s">
        <v>55</v>
      </c>
      <c r="D71" s="1">
        <f>SUMIF(Download!B:B,J71,Download!G:G)</f>
        <v>0</v>
      </c>
      <c r="E71" s="31">
        <f>SUMIF(Download!B:B,J71,Download!H:H)</f>
        <v>0</v>
      </c>
      <c r="F71" s="40" t="str">
        <f t="shared" si="12"/>
        <v>HKD</v>
      </c>
      <c r="G71" s="8">
        <f t="shared" si="13"/>
        <v>0</v>
      </c>
      <c r="H71" t="s">
        <v>17</v>
      </c>
      <c r="I71" t="str">
        <f t="shared" si="14"/>
        <v>1810:HK</v>
      </c>
      <c r="J71" t="str">
        <f t="shared" si="15"/>
        <v>CBBH1810:HK</v>
      </c>
    </row>
    <row r="72" spans="1:11" hidden="1" x14ac:dyDescent="0.25">
      <c r="A72" s="29"/>
      <c r="B72" s="30" t="str">
        <f>INDEX(Stocks!A:B,MATCH(I72,Stocks!A:A,),2)</f>
        <v>Great Wall Motor</v>
      </c>
      <c r="C72" s="30" t="s">
        <v>67</v>
      </c>
      <c r="D72" s="1">
        <f>SUMIF(Download!B:B,J72,Download!G:G)</f>
        <v>0</v>
      </c>
      <c r="E72" s="31">
        <f>SUMIF(Download!B:B,J72,Download!H:H)</f>
        <v>0</v>
      </c>
      <c r="F72" s="40" t="str">
        <f t="shared" si="12"/>
        <v>HKD</v>
      </c>
      <c r="G72" s="8">
        <f t="shared" si="13"/>
        <v>0</v>
      </c>
      <c r="H72" t="s">
        <v>17</v>
      </c>
      <c r="I72" t="str">
        <f t="shared" si="14"/>
        <v>2333:HK</v>
      </c>
      <c r="J72" t="str">
        <f t="shared" si="15"/>
        <v>CBBH2333:HK</v>
      </c>
    </row>
    <row r="73" spans="1:11" hidden="1" x14ac:dyDescent="0.25">
      <c r="A73" s="29"/>
      <c r="B73" s="30" t="str">
        <f>INDEX(Stocks!A:B,MATCH(I73,Stocks!A:A,),2)</f>
        <v>China Merchant</v>
      </c>
      <c r="C73" s="30" t="s">
        <v>51</v>
      </c>
      <c r="D73" s="1">
        <f>SUMIF(Download!B:B,J73,Download!G:G)</f>
        <v>0</v>
      </c>
      <c r="E73" s="31">
        <f>SUMIF(Download!B:B,J73,Download!H:H)</f>
        <v>0</v>
      </c>
      <c r="F73" s="40" t="str">
        <f t="shared" si="12"/>
        <v>HKD</v>
      </c>
      <c r="G73" s="8">
        <f t="shared" si="13"/>
        <v>0</v>
      </c>
      <c r="H73" t="s">
        <v>17</v>
      </c>
      <c r="I73" t="str">
        <f t="shared" si="14"/>
        <v>3968:HK</v>
      </c>
      <c r="J73" t="str">
        <f t="shared" si="15"/>
        <v>CBBH3968:HK</v>
      </c>
    </row>
    <row r="74" spans="1:11" hidden="1" x14ac:dyDescent="0.25">
      <c r="A74" s="29"/>
      <c r="B74" s="30" t="str">
        <f>INDEX(Stocks!A:B,MATCH(I74,Stocks!A:A,),2)</f>
        <v>Bank of China</v>
      </c>
      <c r="C74" s="30" t="s">
        <v>37</v>
      </c>
      <c r="D74" s="1">
        <f>SUMIF(Download!B:B,J74,Download!G:G)</f>
        <v>0</v>
      </c>
      <c r="E74" s="31">
        <f>SUMIF(Download!B:B,J74,Download!H:H)</f>
        <v>0</v>
      </c>
      <c r="F74" s="40" t="str">
        <f t="shared" si="12"/>
        <v>HKD</v>
      </c>
      <c r="G74" s="8">
        <f t="shared" si="13"/>
        <v>0</v>
      </c>
      <c r="H74" t="s">
        <v>17</v>
      </c>
      <c r="I74" t="str">
        <f t="shared" si="14"/>
        <v>3988:HK</v>
      </c>
      <c r="J74" t="str">
        <f t="shared" si="15"/>
        <v>CBBH3988:HK</v>
      </c>
    </row>
    <row r="75" spans="1:11" hidden="1" x14ac:dyDescent="0.25">
      <c r="A75" s="29"/>
      <c r="B75" s="30" t="str">
        <f>INDEX(Stocks!A:B,MATCH(I75,Stocks!A:A,),2)</f>
        <v>Citic Securities</v>
      </c>
      <c r="C75" s="30" t="s">
        <v>84</v>
      </c>
      <c r="D75" s="1">
        <f>SUMIF(Download!B:B,J75,Download!G:G)</f>
        <v>0</v>
      </c>
      <c r="E75" s="31">
        <f>SUMIF(Download!B:B,J75,Download!H:H)</f>
        <v>0</v>
      </c>
      <c r="F75" s="40" t="str">
        <f t="shared" si="12"/>
        <v>HKD</v>
      </c>
      <c r="G75" s="8">
        <f t="shared" si="13"/>
        <v>0</v>
      </c>
      <c r="H75" t="s">
        <v>17</v>
      </c>
      <c r="I75" t="str">
        <f t="shared" si="14"/>
        <v>6030:HK</v>
      </c>
      <c r="J75" t="str">
        <f t="shared" si="15"/>
        <v>CBBH6030:HK</v>
      </c>
    </row>
    <row r="76" spans="1:11" hidden="1" x14ac:dyDescent="0.25">
      <c r="A76" s="29"/>
      <c r="B76" s="30" t="str">
        <f>INDEX(Stocks!A:B,MATCH(I76,Stocks!A:A,),2)</f>
        <v>JD com</v>
      </c>
      <c r="C76" s="30" t="s">
        <v>106</v>
      </c>
      <c r="D76" s="1">
        <f>SUMIF(Download!B:B,J76,Download!G:G)</f>
        <v>0</v>
      </c>
      <c r="E76" s="31">
        <f>SUMIF(Download!B:B,J76,Download!H:H)</f>
        <v>0</v>
      </c>
      <c r="F76" s="40" t="str">
        <f t="shared" si="12"/>
        <v>HKD</v>
      </c>
      <c r="G76" s="8">
        <f t="shared" si="13"/>
        <v>0</v>
      </c>
      <c r="H76" t="s">
        <v>17</v>
      </c>
      <c r="I76" t="str">
        <f t="shared" si="14"/>
        <v>9618:HK</v>
      </c>
      <c r="J76" t="str">
        <f t="shared" si="15"/>
        <v>CBBH9618:HK</v>
      </c>
    </row>
    <row r="77" spans="1:11" hidden="1" x14ac:dyDescent="0.25">
      <c r="A77" s="29"/>
      <c r="B77" s="30" t="str">
        <f>INDEX(Stocks!A:B,MATCH(I77,Stocks!A:A,),2)</f>
        <v>Baidu Inc A</v>
      </c>
      <c r="C77" s="30" t="s">
        <v>79</v>
      </c>
      <c r="D77" s="1">
        <f>SUMIF(Download!B:B,J77,Download!G:G)</f>
        <v>0</v>
      </c>
      <c r="E77" s="31">
        <f>SUMIF(Download!B:B,J77,Download!H:H)</f>
        <v>0</v>
      </c>
      <c r="F77" s="40" t="str">
        <f t="shared" si="12"/>
        <v>HKD</v>
      </c>
      <c r="G77" s="8">
        <f t="shared" si="13"/>
        <v>0</v>
      </c>
      <c r="H77" t="s">
        <v>17</v>
      </c>
      <c r="I77" t="str">
        <f t="shared" si="14"/>
        <v>9888:HK</v>
      </c>
      <c r="J77" t="str">
        <f t="shared" si="15"/>
        <v>CBBH9888:HK</v>
      </c>
    </row>
    <row r="78" spans="1:11" hidden="1" x14ac:dyDescent="0.25">
      <c r="A78" s="29"/>
      <c r="B78" s="30" t="str">
        <f>INDEX(Stocks!A:B,MATCH(I78,Stocks!A:A,),2)</f>
        <v>Alibaba</v>
      </c>
      <c r="C78" s="30" t="s">
        <v>58</v>
      </c>
      <c r="D78" s="1">
        <f>SUMIF(Download!B:B,J78,Download!G:G)</f>
        <v>0</v>
      </c>
      <c r="E78" s="31">
        <f>SUMIF(Download!B:B,J78,Download!H:H)</f>
        <v>0</v>
      </c>
      <c r="F78" s="40" t="str">
        <f t="shared" si="12"/>
        <v>HKD</v>
      </c>
      <c r="G78" s="8">
        <f t="shared" si="13"/>
        <v>0</v>
      </c>
      <c r="H78" t="s">
        <v>17</v>
      </c>
      <c r="I78" t="str">
        <f t="shared" si="14"/>
        <v>9988:HK</v>
      </c>
      <c r="J78" t="str">
        <f t="shared" si="15"/>
        <v>CBBH9988:HK</v>
      </c>
    </row>
    <row r="79" spans="1:11" ht="3.75" hidden="1" customHeight="1" x14ac:dyDescent="0.25">
      <c r="A79" s="29"/>
      <c r="B79" s="41"/>
      <c r="C79" s="41"/>
      <c r="D79" s="6"/>
      <c r="E79" s="42"/>
      <c r="F79" s="43"/>
      <c r="G79" s="7"/>
    </row>
    <row r="80" spans="1:11" hidden="1" x14ac:dyDescent="0.25">
      <c r="A80" s="29"/>
      <c r="B80" s="30" t="str">
        <f>INDEX(Stocks!A:B,MATCH(I80,Stocks!A:A,),2)</f>
        <v>Baidu Inc</v>
      </c>
      <c r="C80" s="30" t="s">
        <v>110</v>
      </c>
      <c r="D80" s="1">
        <f>SUMIF(Download!B:B,J80,Download!G:G)</f>
        <v>0</v>
      </c>
      <c r="E80" s="31">
        <f>SUMIF(Download!B:B,J80,Download!H:H)</f>
        <v>0</v>
      </c>
      <c r="F80" s="40" t="str">
        <f>IF(RIGHT(I80,2)="JP","JPY",RIGHT(I80,2)&amp;"D")</f>
        <v>USD</v>
      </c>
      <c r="G80" s="8">
        <f>D80*E80</f>
        <v>0</v>
      </c>
      <c r="H80" t="s">
        <v>17</v>
      </c>
      <c r="I80" t="str">
        <f>C80</f>
        <v>BIDU:US</v>
      </c>
      <c r="J80" t="str">
        <f>H80&amp;I80</f>
        <v>CBBHBIDU:US</v>
      </c>
    </row>
    <row r="81" spans="1:11" hidden="1" x14ac:dyDescent="0.25">
      <c r="A81" s="29"/>
      <c r="B81" s="32"/>
      <c r="C81" s="32"/>
      <c r="D81" s="15">
        <f>SUBTOTAL(9,D66:D80)</f>
        <v>0</v>
      </c>
      <c r="E81" s="33"/>
      <c r="F81" s="33"/>
      <c r="G81" s="12"/>
    </row>
    <row r="82" spans="1:11" hidden="1" x14ac:dyDescent="0.25">
      <c r="D82" s="36"/>
    </row>
    <row r="83" spans="1:11" ht="18.75" customHeight="1" x14ac:dyDescent="0.3">
      <c r="A83" s="17" t="s">
        <v>18</v>
      </c>
      <c r="B83" s="17"/>
      <c r="C83" s="17"/>
      <c r="K83" s="23"/>
    </row>
    <row r="84" spans="1:11" x14ac:dyDescent="0.25">
      <c r="B84" s="26" t="s">
        <v>5</v>
      </c>
      <c r="C84" s="26" t="s">
        <v>105</v>
      </c>
      <c r="D84" s="26" t="s">
        <v>6</v>
      </c>
      <c r="E84" s="26" t="s">
        <v>7</v>
      </c>
      <c r="F84" s="63" t="s">
        <v>8</v>
      </c>
      <c r="G84" s="64"/>
      <c r="H84" s="28"/>
    </row>
    <row r="85" spans="1:11" x14ac:dyDescent="0.25">
      <c r="A85" s="29"/>
      <c r="B85" s="30" t="str">
        <f>INDEX(Stocks!A:B,MATCH(I85,Stocks!A:A,),2)</f>
        <v>HK China Gas</v>
      </c>
      <c r="C85" s="30" t="s">
        <v>111</v>
      </c>
      <c r="D85" s="1">
        <f>SUMIF(Download!B:B,J85,Download!G:G)</f>
        <v>0</v>
      </c>
      <c r="E85" s="31">
        <f>SUMIF(Download!B:B,J85,Download!H:H)</f>
        <v>0</v>
      </c>
      <c r="F85" s="40" t="str">
        <f t="shared" ref="F85:F103" si="16">IF(RIGHT(I85,2)="JP","JPY",RIGHT(I85,2)&amp;"D")</f>
        <v>HKD</v>
      </c>
      <c r="G85" s="8">
        <f t="shared" ref="G85:G103" si="17">D85*E85</f>
        <v>0</v>
      </c>
      <c r="H85" t="s">
        <v>19</v>
      </c>
      <c r="I85" t="str">
        <f t="shared" ref="I85:I103" si="18">C85</f>
        <v>3:HK</v>
      </c>
      <c r="J85" t="str">
        <f t="shared" ref="J85:J103" si="19">H85&amp;I85</f>
        <v>BOS3:HK</v>
      </c>
    </row>
    <row r="86" spans="1:11" x14ac:dyDescent="0.25">
      <c r="A86" s="29"/>
      <c r="B86" s="30" t="str">
        <f>INDEX(Stocks!A:B,MATCH(I86,Stocks!A:A,),2)</f>
        <v>HSBC</v>
      </c>
      <c r="C86" s="30" t="s">
        <v>44</v>
      </c>
      <c r="D86" s="1">
        <f>SUMIF(Download!B:B,J86,Download!G:G)</f>
        <v>0</v>
      </c>
      <c r="E86" s="31">
        <f>SUMIF(Download!B:B,J86,Download!H:H)</f>
        <v>0</v>
      </c>
      <c r="F86" s="40" t="str">
        <f t="shared" si="16"/>
        <v>HKD</v>
      </c>
      <c r="G86" s="8">
        <f t="shared" si="17"/>
        <v>0</v>
      </c>
      <c r="H86" t="s">
        <v>19</v>
      </c>
      <c r="I86" t="str">
        <f t="shared" si="18"/>
        <v>5:HK</v>
      </c>
      <c r="J86" t="str">
        <f t="shared" si="19"/>
        <v>BOS5:HK</v>
      </c>
    </row>
    <row r="87" spans="1:11" x14ac:dyDescent="0.25">
      <c r="A87" s="29"/>
      <c r="B87" s="30" t="str">
        <f>INDEX(Stocks!A:B,MATCH(I87,Stocks!A:A,),2)</f>
        <v>Geely Motor</v>
      </c>
      <c r="C87" s="30" t="s">
        <v>61</v>
      </c>
      <c r="D87" s="1">
        <f>SUMIF(Download!B:B,J87,Download!G:G)</f>
        <v>0</v>
      </c>
      <c r="E87" s="31">
        <f>SUMIF(Download!B:B,J87,Download!H:H)</f>
        <v>0</v>
      </c>
      <c r="F87" s="40" t="str">
        <f t="shared" si="16"/>
        <v>HKD</v>
      </c>
      <c r="G87" s="8">
        <f t="shared" si="17"/>
        <v>0</v>
      </c>
      <c r="H87" t="s">
        <v>19</v>
      </c>
      <c r="I87" t="str">
        <f t="shared" si="18"/>
        <v>175:HK</v>
      </c>
      <c r="J87" t="str">
        <f t="shared" si="19"/>
        <v>BOS175:HK</v>
      </c>
    </row>
    <row r="88" spans="1:11" x14ac:dyDescent="0.25">
      <c r="A88" s="29"/>
      <c r="B88" s="30" t="str">
        <f>INDEX(Stocks!A:B,MATCH(I88,Stocks!A:A,),2)</f>
        <v>Cathay Pacific</v>
      </c>
      <c r="C88" s="30" t="s">
        <v>91</v>
      </c>
      <c r="D88" s="1">
        <f>SUMIF(Download!B:B,J88,Download!G:G)</f>
        <v>0</v>
      </c>
      <c r="E88" s="31">
        <f>SUMIF(Download!B:B,J88,Download!H:H)</f>
        <v>0</v>
      </c>
      <c r="F88" s="40" t="str">
        <f t="shared" si="16"/>
        <v>HKD</v>
      </c>
      <c r="G88" s="8">
        <f t="shared" si="17"/>
        <v>0</v>
      </c>
      <c r="H88" t="s">
        <v>19</v>
      </c>
      <c r="I88" t="str">
        <f t="shared" si="18"/>
        <v>293:HK</v>
      </c>
      <c r="J88" t="str">
        <f t="shared" si="19"/>
        <v>BOS293:HK</v>
      </c>
    </row>
    <row r="89" spans="1:11" x14ac:dyDescent="0.25">
      <c r="A89" s="29"/>
      <c r="B89" s="30" t="str">
        <f>INDEX(Stocks!A:B,MATCH(I89,Stocks!A:A,),2)</f>
        <v>Beijing Water</v>
      </c>
      <c r="C89" s="30" t="s">
        <v>89</v>
      </c>
      <c r="D89" s="1">
        <f>SUMIF(Download!B:B,J89,Download!G:G)</f>
        <v>0</v>
      </c>
      <c r="E89" s="31">
        <f>SUMIF(Download!B:B,J89,Download!H:H)</f>
        <v>0</v>
      </c>
      <c r="F89" s="40" t="str">
        <f t="shared" si="16"/>
        <v>HKD</v>
      </c>
      <c r="G89" s="8">
        <f t="shared" si="17"/>
        <v>0</v>
      </c>
      <c r="H89" t="s">
        <v>19</v>
      </c>
      <c r="I89" t="str">
        <f t="shared" si="18"/>
        <v>371:HK</v>
      </c>
      <c r="J89" t="str">
        <f t="shared" si="19"/>
        <v>BOS371:HK</v>
      </c>
    </row>
    <row r="90" spans="1:11" x14ac:dyDescent="0.25">
      <c r="A90" s="29"/>
      <c r="B90" s="30" t="str">
        <f>INDEX(Stocks!A:B,MATCH(I90,Stocks!A:A,),2)</f>
        <v>HK Exchange</v>
      </c>
      <c r="C90" s="30" t="s">
        <v>57</v>
      </c>
      <c r="D90" s="1">
        <f>SUMIF(Download!B:B,J90,Download!G:G)</f>
        <v>0</v>
      </c>
      <c r="E90" s="31">
        <f>SUMIF(Download!B:B,J90,Download!H:H)</f>
        <v>0</v>
      </c>
      <c r="F90" s="40" t="str">
        <f t="shared" si="16"/>
        <v>HKD</v>
      </c>
      <c r="G90" s="8">
        <f t="shared" si="17"/>
        <v>0</v>
      </c>
      <c r="H90" t="s">
        <v>19</v>
      </c>
      <c r="I90" t="str">
        <f t="shared" si="18"/>
        <v>388:HK</v>
      </c>
      <c r="J90" t="str">
        <f t="shared" si="19"/>
        <v>BOS388:HK</v>
      </c>
    </row>
    <row r="91" spans="1:11" x14ac:dyDescent="0.25">
      <c r="A91" s="29"/>
      <c r="B91" s="30" t="str">
        <f>INDEX(Stocks!A:B,MATCH(I91,Stocks!A:A,),2)</f>
        <v>Tencent</v>
      </c>
      <c r="C91" s="30" t="s">
        <v>52</v>
      </c>
      <c r="D91" s="1">
        <f>SUMIF(Download!B:B,J91,Download!G:G)</f>
        <v>0</v>
      </c>
      <c r="E91" s="31">
        <f>SUMIF(Download!B:B,J91,Download!H:H)</f>
        <v>0</v>
      </c>
      <c r="F91" s="40" t="str">
        <f t="shared" si="16"/>
        <v>HKD</v>
      </c>
      <c r="G91" s="8">
        <f t="shared" si="17"/>
        <v>0</v>
      </c>
      <c r="H91" t="s">
        <v>19</v>
      </c>
      <c r="I91" t="str">
        <f t="shared" si="18"/>
        <v>700:HK</v>
      </c>
      <c r="J91" t="str">
        <f t="shared" si="19"/>
        <v>BOS700:HK</v>
      </c>
    </row>
    <row r="92" spans="1:11" x14ac:dyDescent="0.25">
      <c r="A92" s="29"/>
      <c r="B92" s="30" t="str">
        <f>INDEX(Stocks!A:B,MATCH(I92,Stocks!A:A,),2)</f>
        <v>China Construction Bank</v>
      </c>
      <c r="C92" s="30" t="s">
        <v>49</v>
      </c>
      <c r="D92" s="1">
        <f>SUMIF(Download!B:B,J92,Download!G:G)</f>
        <v>0</v>
      </c>
      <c r="E92" s="31">
        <f>SUMIF(Download!B:B,J92,Download!H:H)</f>
        <v>0</v>
      </c>
      <c r="F92" s="40" t="str">
        <f t="shared" si="16"/>
        <v>HKD</v>
      </c>
      <c r="G92" s="8">
        <f t="shared" si="17"/>
        <v>0</v>
      </c>
      <c r="H92" t="s">
        <v>19</v>
      </c>
      <c r="I92" t="str">
        <f t="shared" si="18"/>
        <v>939:HK</v>
      </c>
      <c r="J92" t="str">
        <f t="shared" si="19"/>
        <v>BOS939:HK</v>
      </c>
    </row>
    <row r="93" spans="1:11" x14ac:dyDescent="0.25">
      <c r="A93" s="29"/>
      <c r="B93" s="30" t="str">
        <f>INDEX(Stocks!A:B,MATCH(I93,Stocks!A:A,),2)</f>
        <v>Semiconductor Mfg</v>
      </c>
      <c r="C93" s="30" t="s">
        <v>82</v>
      </c>
      <c r="D93" s="1">
        <f>SUMIF(Download!B:B,J93,Download!G:G)</f>
        <v>0</v>
      </c>
      <c r="E93" s="31">
        <f>SUMIF(Download!B:B,J93,Download!H:H)</f>
        <v>0</v>
      </c>
      <c r="F93" s="40" t="str">
        <f t="shared" si="16"/>
        <v>HKD</v>
      </c>
      <c r="G93" s="8">
        <f t="shared" si="17"/>
        <v>0</v>
      </c>
      <c r="H93" t="s">
        <v>19</v>
      </c>
      <c r="I93" t="str">
        <f t="shared" si="18"/>
        <v>981:HK</v>
      </c>
      <c r="J93" t="str">
        <f t="shared" si="19"/>
        <v>BOS981:HK</v>
      </c>
    </row>
    <row r="94" spans="1:11" x14ac:dyDescent="0.25">
      <c r="A94" s="29"/>
      <c r="B94" s="30" t="str">
        <f>INDEX(Stocks!A:B,MATCH(I94,Stocks!A:A,),2)</f>
        <v>Kuaishou Tech</v>
      </c>
      <c r="C94" s="30" t="s">
        <v>53</v>
      </c>
      <c r="D94" s="1">
        <f>SUMIF(Download!B:B,J94,Download!G:G)</f>
        <v>0</v>
      </c>
      <c r="E94" s="31">
        <f>SUMIF(Download!B:B,J94,Download!H:H)</f>
        <v>0</v>
      </c>
      <c r="F94" s="40" t="str">
        <f t="shared" si="16"/>
        <v>HKD</v>
      </c>
      <c r="G94" s="8">
        <f t="shared" si="17"/>
        <v>0</v>
      </c>
      <c r="H94" t="s">
        <v>19</v>
      </c>
      <c r="I94" t="str">
        <f t="shared" si="18"/>
        <v>1024:HK</v>
      </c>
      <c r="J94" t="str">
        <f t="shared" si="19"/>
        <v>BOS1024:HK</v>
      </c>
    </row>
    <row r="95" spans="1:11" x14ac:dyDescent="0.25">
      <c r="A95" s="29"/>
      <c r="B95" s="30" t="str">
        <f>INDEX(Stocks!A:B,MATCH(I95,Stocks!A:A,),2)</f>
        <v>Agricultural Bank of China</v>
      </c>
      <c r="C95" s="30" t="s">
        <v>9</v>
      </c>
      <c r="D95" s="1">
        <f>SUMIF(Download!B:B,J95,Download!G:G)</f>
        <v>0</v>
      </c>
      <c r="E95" s="31">
        <f>SUMIF(Download!B:B,J95,Download!H:H)</f>
        <v>0</v>
      </c>
      <c r="F95" s="40" t="str">
        <f t="shared" si="16"/>
        <v>HKD</v>
      </c>
      <c r="G95" s="8">
        <f t="shared" si="17"/>
        <v>0</v>
      </c>
      <c r="H95" t="s">
        <v>19</v>
      </c>
      <c r="I95" t="str">
        <f t="shared" si="18"/>
        <v>1288:HK</v>
      </c>
      <c r="J95" t="str">
        <f t="shared" si="19"/>
        <v>BOS1288:HK</v>
      </c>
    </row>
    <row r="96" spans="1:11" x14ac:dyDescent="0.25">
      <c r="A96" s="29"/>
      <c r="B96" s="30" t="str">
        <f>INDEX(Stocks!A:B,MATCH(I96,Stocks!A:A,),2)</f>
        <v>Great Wall Motor</v>
      </c>
      <c r="C96" s="30" t="s">
        <v>67</v>
      </c>
      <c r="D96" s="1">
        <f>SUMIF(Download!B:B,J96,Download!G:G)</f>
        <v>0</v>
      </c>
      <c r="E96" s="31">
        <f>SUMIF(Download!B:B,J96,Download!H:H)</f>
        <v>0</v>
      </c>
      <c r="F96" s="40" t="str">
        <f t="shared" si="16"/>
        <v>HKD</v>
      </c>
      <c r="G96" s="8">
        <f t="shared" si="17"/>
        <v>0</v>
      </c>
      <c r="H96" t="s">
        <v>19</v>
      </c>
      <c r="I96" t="str">
        <f t="shared" si="18"/>
        <v>2333:HK</v>
      </c>
      <c r="J96" t="str">
        <f t="shared" si="19"/>
        <v>BOS2333:HK</v>
      </c>
    </row>
    <row r="97" spans="1:10" x14ac:dyDescent="0.25">
      <c r="A97" s="29"/>
      <c r="B97" s="30" t="str">
        <f>INDEX(Stocks!A:B,MATCH(I97,Stocks!A:A,),2)</f>
        <v>Meituan</v>
      </c>
      <c r="C97" s="30" t="s">
        <v>169</v>
      </c>
      <c r="D97" s="1">
        <f>SUMIF(Download!B:B,J97,Download!G:G)</f>
        <v>0</v>
      </c>
      <c r="E97" s="31">
        <f>SUMIF(Download!B:B,J97,Download!H:H)</f>
        <v>0</v>
      </c>
      <c r="F97" s="40" t="str">
        <f t="shared" ref="F97" si="20">IF(RIGHT(I97,2)="JP","JPY",RIGHT(I97,2)&amp;"D")</f>
        <v>HKD</v>
      </c>
      <c r="G97" s="8">
        <f t="shared" ref="G97" si="21">D97*E97</f>
        <v>0</v>
      </c>
      <c r="H97" t="s">
        <v>19</v>
      </c>
      <c r="I97" t="str">
        <f t="shared" ref="I97" si="22">C97</f>
        <v>3690:HK</v>
      </c>
      <c r="J97" t="str">
        <f t="shared" ref="J97" si="23">H97&amp;I97</f>
        <v>BOS3690:HK</v>
      </c>
    </row>
    <row r="98" spans="1:10" x14ac:dyDescent="0.25">
      <c r="A98" s="29"/>
      <c r="B98" s="30" t="str">
        <f>INDEX(Stocks!A:B,MATCH(I98,Stocks!A:A,),2)</f>
        <v>Bank of China</v>
      </c>
      <c r="C98" s="30" t="s">
        <v>37</v>
      </c>
      <c r="D98" s="1">
        <f>SUMIF(Download!B:B,J98,Download!G:G)</f>
        <v>0</v>
      </c>
      <c r="E98" s="31">
        <f>SUMIF(Download!B:B,J98,Download!H:H)</f>
        <v>0</v>
      </c>
      <c r="F98" s="40" t="str">
        <f t="shared" si="16"/>
        <v>HKD</v>
      </c>
      <c r="G98" s="8">
        <f t="shared" si="17"/>
        <v>0</v>
      </c>
      <c r="H98" t="s">
        <v>19</v>
      </c>
      <c r="I98" t="str">
        <f t="shared" si="18"/>
        <v>3988:HK</v>
      </c>
      <c r="J98" t="str">
        <f t="shared" si="19"/>
        <v>BOS3988:HK</v>
      </c>
    </row>
    <row r="99" spans="1:10" x14ac:dyDescent="0.25">
      <c r="A99" s="29"/>
      <c r="B99" s="30" t="str">
        <f>INDEX(Stocks!A:B,MATCH(I99,Stocks!A:A,),2)</f>
        <v>China Molybdenum</v>
      </c>
      <c r="C99" s="30" t="s">
        <v>72</v>
      </c>
      <c r="D99" s="1">
        <f>SUMIF(Download!B:B,J99,Download!G:G)</f>
        <v>0</v>
      </c>
      <c r="E99" s="31">
        <f>SUMIF(Download!B:B,J99,Download!H:H)</f>
        <v>0</v>
      </c>
      <c r="F99" s="40" t="str">
        <f t="shared" si="16"/>
        <v>HKD</v>
      </c>
      <c r="G99" s="8">
        <f t="shared" si="17"/>
        <v>0</v>
      </c>
      <c r="H99" t="s">
        <v>19</v>
      </c>
      <c r="I99" t="str">
        <f t="shared" si="18"/>
        <v>3993:HK</v>
      </c>
      <c r="J99" t="str">
        <f t="shared" si="19"/>
        <v>BOS3993:HK</v>
      </c>
    </row>
    <row r="100" spans="1:10" x14ac:dyDescent="0.25">
      <c r="A100" s="29"/>
      <c r="B100" s="30" t="str">
        <f>INDEX(Stocks!A:B,MATCH(I100,Stocks!A:A,),2)</f>
        <v>Citic Securities</v>
      </c>
      <c r="C100" s="30" t="s">
        <v>84</v>
      </c>
      <c r="D100" s="1">
        <f>SUMIF(Download!B:B,J100,Download!G:G)</f>
        <v>0</v>
      </c>
      <c r="E100" s="31">
        <f>SUMIF(Download!B:B,J100,Download!H:H)</f>
        <v>0</v>
      </c>
      <c r="F100" s="40" t="str">
        <f t="shared" si="16"/>
        <v>HKD</v>
      </c>
      <c r="G100" s="8">
        <f t="shared" si="17"/>
        <v>0</v>
      </c>
      <c r="H100" t="s">
        <v>19</v>
      </c>
      <c r="I100" t="str">
        <f t="shared" si="18"/>
        <v>6030:HK</v>
      </c>
      <c r="J100" t="str">
        <f t="shared" si="19"/>
        <v>BOS6030:HK</v>
      </c>
    </row>
    <row r="101" spans="1:10" x14ac:dyDescent="0.25">
      <c r="A101" s="29"/>
      <c r="B101" s="30" t="str">
        <f>INDEX(Stocks!A:B,MATCH(I101,Stocks!A:A,),2)</f>
        <v>JD com</v>
      </c>
      <c r="C101" s="30" t="s">
        <v>106</v>
      </c>
      <c r="D101" s="1">
        <f>SUMIF(Download!B:B,J101,Download!G:G)</f>
        <v>0</v>
      </c>
      <c r="E101" s="31">
        <f>SUMIF(Download!B:B,J101,Download!H:H)</f>
        <v>0</v>
      </c>
      <c r="F101" s="40" t="str">
        <f t="shared" si="16"/>
        <v>HKD</v>
      </c>
      <c r="G101" s="8">
        <f t="shared" si="17"/>
        <v>0</v>
      </c>
      <c r="H101" t="s">
        <v>19</v>
      </c>
      <c r="I101" t="str">
        <f t="shared" si="18"/>
        <v>9618:HK</v>
      </c>
      <c r="J101" t="str">
        <f t="shared" si="19"/>
        <v>BOS9618:HK</v>
      </c>
    </row>
    <row r="102" spans="1:10" x14ac:dyDescent="0.25">
      <c r="A102" s="29"/>
      <c r="B102" s="30" t="str">
        <f>INDEX(Stocks!A:B,MATCH(I102,Stocks!A:A,),2)</f>
        <v>Baidu Inc A</v>
      </c>
      <c r="C102" s="30" t="s">
        <v>79</v>
      </c>
      <c r="D102" s="1">
        <f>SUMIF(Download!B:B,J102,Download!G:G)</f>
        <v>0</v>
      </c>
      <c r="E102" s="31">
        <f>SUMIF(Download!B:B,J102,Download!H:H)</f>
        <v>0</v>
      </c>
      <c r="F102" s="40" t="str">
        <f t="shared" si="16"/>
        <v>HKD</v>
      </c>
      <c r="G102" s="8">
        <f t="shared" si="17"/>
        <v>0</v>
      </c>
      <c r="H102" t="s">
        <v>19</v>
      </c>
      <c r="I102" t="str">
        <f t="shared" si="18"/>
        <v>9888:HK</v>
      </c>
      <c r="J102" t="str">
        <f t="shared" si="19"/>
        <v>BOS9888:HK</v>
      </c>
    </row>
    <row r="103" spans="1:10" x14ac:dyDescent="0.25">
      <c r="A103" s="29"/>
      <c r="B103" s="30" t="str">
        <f>INDEX(Stocks!A:B,MATCH(I103,Stocks!A:A,),2)</f>
        <v>Alibaba</v>
      </c>
      <c r="C103" s="30" t="s">
        <v>58</v>
      </c>
      <c r="D103" s="1">
        <f>SUMIF(Download!B:B,J103,Download!G:G)</f>
        <v>0</v>
      </c>
      <c r="E103" s="31">
        <f>SUMIF(Download!B:B,J103,Download!H:H)</f>
        <v>0</v>
      </c>
      <c r="F103" s="40" t="str">
        <f t="shared" si="16"/>
        <v>HKD</v>
      </c>
      <c r="G103" s="8">
        <f t="shared" si="17"/>
        <v>0</v>
      </c>
      <c r="H103" t="s">
        <v>19</v>
      </c>
      <c r="I103" t="str">
        <f t="shared" si="18"/>
        <v>9988:HK</v>
      </c>
      <c r="J103" t="str">
        <f t="shared" si="19"/>
        <v>BOS9988:HK</v>
      </c>
    </row>
    <row r="104" spans="1:10" ht="3.75" customHeight="1" x14ac:dyDescent="0.25">
      <c r="A104" s="29"/>
      <c r="B104" s="41"/>
      <c r="C104" s="41"/>
      <c r="D104" s="6"/>
      <c r="E104" s="42"/>
      <c r="F104" s="43"/>
      <c r="G104" s="7"/>
    </row>
    <row r="105" spans="1:10" x14ac:dyDescent="0.25">
      <c r="A105" s="29"/>
      <c r="B105" s="30" t="str">
        <f>INDEX(Stocks!A:B,MATCH(I105,Stocks!A:A,),2)</f>
        <v>Baidu Inc</v>
      </c>
      <c r="C105" s="30" t="s">
        <v>110</v>
      </c>
      <c r="D105" s="1">
        <f>SUMIF(Download!B:B,J105,Download!G:G)</f>
        <v>0</v>
      </c>
      <c r="E105" s="31">
        <f>SUMIF(Download!B:B,J105,Download!H:H)</f>
        <v>0</v>
      </c>
      <c r="F105" s="40" t="str">
        <f>IF(RIGHT(I105,2)="JP","JPY",RIGHT(I105,2)&amp;"D")</f>
        <v>USD</v>
      </c>
      <c r="G105" s="8">
        <f>D105*E105</f>
        <v>0</v>
      </c>
      <c r="H105" t="s">
        <v>19</v>
      </c>
      <c r="I105" t="str">
        <f>C105</f>
        <v>BIDU:US</v>
      </c>
      <c r="J105" t="str">
        <f>H105&amp;I105</f>
        <v>BOSBIDU:US</v>
      </c>
    </row>
    <row r="106" spans="1:10" x14ac:dyDescent="0.25">
      <c r="A106" s="29"/>
      <c r="B106" s="30" t="str">
        <f>INDEX(Stocks!A:B,MATCH(I106,Stocks!A:A,),2)</f>
        <v>Coinbase</v>
      </c>
      <c r="C106" s="30" t="s">
        <v>108</v>
      </c>
      <c r="D106" s="1">
        <f>SUMIF(Download!B:B,J106,Download!G:G)</f>
        <v>0</v>
      </c>
      <c r="E106" s="31">
        <f>SUMIF(Download!B:B,J106,Download!H:H)</f>
        <v>0</v>
      </c>
      <c r="F106" s="40" t="str">
        <f>IF(RIGHT(I106,2)="JP","JPY",RIGHT(I106,2)&amp;"D")</f>
        <v>USD</v>
      </c>
      <c r="G106" s="8">
        <f>D106*E106</f>
        <v>0</v>
      </c>
      <c r="H106" t="s">
        <v>19</v>
      </c>
      <c r="I106" t="str">
        <f>C106</f>
        <v>COIN:US</v>
      </c>
      <c r="J106" t="str">
        <f>H106&amp;I106</f>
        <v>BOSCOIN:US</v>
      </c>
    </row>
    <row r="107" spans="1:10" x14ac:dyDescent="0.25">
      <c r="A107" s="29"/>
      <c r="B107" s="30" t="str">
        <f>INDEX(Stocks!A:B,MATCH(I107,Stocks!A:A,),2)</f>
        <v>General Motor</v>
      </c>
      <c r="C107" s="30" t="s">
        <v>112</v>
      </c>
      <c r="D107" s="1">
        <f>SUMIF(Download!B:B,J107,Download!G:G)</f>
        <v>0</v>
      </c>
      <c r="E107" s="31">
        <f>SUMIF(Download!B:B,J107,Download!H:H)</f>
        <v>0</v>
      </c>
      <c r="F107" s="40" t="str">
        <f>IF(RIGHT(I107,2)="JP","JPY",RIGHT(I107,2)&amp;"D")</f>
        <v>USD</v>
      </c>
      <c r="G107" s="8">
        <f>D107*E107</f>
        <v>0</v>
      </c>
      <c r="H107" t="s">
        <v>19</v>
      </c>
      <c r="I107" t="str">
        <f>C107</f>
        <v>GE:US</v>
      </c>
      <c r="J107" t="str">
        <f>H107&amp;I107</f>
        <v>BOSGE:US</v>
      </c>
    </row>
    <row r="108" spans="1:10" ht="3.75" customHeight="1" x14ac:dyDescent="0.25">
      <c r="A108" s="29"/>
      <c r="B108" s="41"/>
      <c r="C108" s="41"/>
      <c r="D108" s="6"/>
      <c r="E108" s="42"/>
      <c r="F108" s="43"/>
      <c r="G108" s="7"/>
    </row>
    <row r="109" spans="1:10" x14ac:dyDescent="0.25">
      <c r="A109" s="29"/>
      <c r="B109" s="30" t="str">
        <f>INDEX(Stocks!A:B,MATCH(I109,Stocks!A:A,),2)</f>
        <v>Nomura</v>
      </c>
      <c r="C109" s="30" t="s">
        <v>113</v>
      </c>
      <c r="D109" s="1">
        <f>SUMIF(Download!B:B,J109,Download!G:G)</f>
        <v>0</v>
      </c>
      <c r="E109" s="31">
        <f>SUMIF(Download!B:B,J109,Download!H:H)</f>
        <v>0</v>
      </c>
      <c r="F109" s="40" t="str">
        <f>IF(RIGHT(I109,2)="JP","JPY",RIGHT(I109,2)&amp;"D")</f>
        <v>JPY</v>
      </c>
      <c r="G109" s="8">
        <f>D109*E109</f>
        <v>0</v>
      </c>
      <c r="H109" t="s">
        <v>19</v>
      </c>
      <c r="I109" t="str">
        <f>C109</f>
        <v>8604:JP</v>
      </c>
      <c r="J109" t="str">
        <f>H109&amp;I109</f>
        <v>BOS8604:JP</v>
      </c>
    </row>
    <row r="110" spans="1:10" ht="3.75" customHeight="1" x14ac:dyDescent="0.25">
      <c r="A110" s="29"/>
      <c r="B110" s="41"/>
      <c r="C110" s="41"/>
      <c r="D110" s="6"/>
      <c r="E110" s="42"/>
      <c r="F110" s="43"/>
      <c r="G110" s="7"/>
    </row>
    <row r="111" spans="1:10" x14ac:dyDescent="0.25">
      <c r="A111" s="29"/>
      <c r="B111" s="30" t="str">
        <f>INDEX(Stocks!A:B,MATCH(I111,Stocks!A:A,),2)</f>
        <v>DBS Group</v>
      </c>
      <c r="C111" s="30" t="s">
        <v>114</v>
      </c>
      <c r="D111" s="1">
        <f>SUMIF(Download!B:B,J111,Download!G:G)</f>
        <v>0</v>
      </c>
      <c r="E111" s="31">
        <f>SUMIF(Download!B:B,J111,Download!H:H)</f>
        <v>0</v>
      </c>
      <c r="F111" s="40" t="str">
        <f>IF(RIGHT(I111,2)="JP","JPY",RIGHT(I111,2)&amp;"D")</f>
        <v>SGD</v>
      </c>
      <c r="G111" s="8">
        <f>D111*E111</f>
        <v>0</v>
      </c>
      <c r="H111" t="s">
        <v>19</v>
      </c>
      <c r="I111" t="str">
        <f>C111</f>
        <v>DBS:SG</v>
      </c>
      <c r="J111" t="str">
        <f>H111&amp;I111</f>
        <v>BOSDBS:SG</v>
      </c>
    </row>
    <row r="112" spans="1:10" x14ac:dyDescent="0.25">
      <c r="A112" s="29"/>
      <c r="B112" s="32"/>
      <c r="C112" s="32"/>
      <c r="D112" s="15">
        <f>SUBTOTAL(9,D84:D107)</f>
        <v>0</v>
      </c>
      <c r="E112" s="33"/>
      <c r="F112" s="33"/>
      <c r="G112" s="12"/>
    </row>
    <row r="113" spans="1:11" x14ac:dyDescent="0.25">
      <c r="D113" s="36"/>
    </row>
    <row r="114" spans="1:11" ht="18.75" customHeight="1" x14ac:dyDescent="0.3">
      <c r="A114" s="17" t="s">
        <v>20</v>
      </c>
      <c r="B114" s="17"/>
      <c r="C114" s="17"/>
      <c r="K114" s="23"/>
    </row>
    <row r="115" spans="1:11" x14ac:dyDescent="0.25">
      <c r="B115" s="26" t="s">
        <v>5</v>
      </c>
      <c r="C115" s="26" t="s">
        <v>105</v>
      </c>
      <c r="D115" s="26" t="s">
        <v>6</v>
      </c>
      <c r="E115" s="26" t="s">
        <v>7</v>
      </c>
      <c r="F115" s="63" t="s">
        <v>8</v>
      </c>
      <c r="G115" s="64"/>
      <c r="H115" s="28"/>
    </row>
    <row r="116" spans="1:11" x14ac:dyDescent="0.25">
      <c r="A116" s="29"/>
      <c r="B116" s="30" t="str">
        <f>INDEX(Stocks!A:B,MATCH(I116,Stocks!A:A,),2)</f>
        <v>Geely Motor</v>
      </c>
      <c r="C116" s="30" t="s">
        <v>61</v>
      </c>
      <c r="D116" s="1">
        <f>SUMIF(Download!B:B,J116,Download!G:G)</f>
        <v>0</v>
      </c>
      <c r="E116" s="31">
        <f>SUMIF(Download!B:B,J116,Download!H:H)</f>
        <v>0</v>
      </c>
      <c r="F116" s="40" t="str">
        <f t="shared" ref="F116:F132" si="24">IF(RIGHT(I116,2)="JP","JPY",RIGHT(I116,2)&amp;"D")</f>
        <v>HKD</v>
      </c>
      <c r="G116" s="8">
        <f t="shared" ref="G116:G132" si="25">D116*E116</f>
        <v>0</v>
      </c>
      <c r="H116" t="s">
        <v>21</v>
      </c>
      <c r="I116" t="str">
        <f t="shared" ref="I116:I132" si="26">C116</f>
        <v>175:HK</v>
      </c>
      <c r="J116" t="str">
        <f t="shared" ref="J116:J132" si="27">H116&amp;I116</f>
        <v>DBPe175:HK</v>
      </c>
    </row>
    <row r="117" spans="1:11" x14ac:dyDescent="0.25">
      <c r="A117" s="29"/>
      <c r="B117" s="30" t="str">
        <f>INDEX(Stocks!A:B,MATCH(I117,Stocks!A:A,),2)</f>
        <v>Beijing Water</v>
      </c>
      <c r="C117" s="30" t="s">
        <v>89</v>
      </c>
      <c r="D117" s="1">
        <f>SUMIF(Download!B:B,J117,Download!G:G)</f>
        <v>0</v>
      </c>
      <c r="E117" s="31">
        <f>SUMIF(Download!B:B,J117,Download!H:H)</f>
        <v>0</v>
      </c>
      <c r="F117" s="40" t="str">
        <f t="shared" si="24"/>
        <v>HKD</v>
      </c>
      <c r="G117" s="8">
        <f t="shared" si="25"/>
        <v>0</v>
      </c>
      <c r="H117" t="s">
        <v>21</v>
      </c>
      <c r="I117" t="str">
        <f t="shared" si="26"/>
        <v>371:HK</v>
      </c>
      <c r="J117" t="str">
        <f t="shared" si="27"/>
        <v>DBPe371:HK</v>
      </c>
    </row>
    <row r="118" spans="1:11" x14ac:dyDescent="0.25">
      <c r="A118" s="29"/>
      <c r="B118" s="30" t="str">
        <f>INDEX(Stocks!A:B,MATCH(I118,Stocks!A:A,),2)</f>
        <v>HK Exchange</v>
      </c>
      <c r="C118" s="30" t="s">
        <v>57</v>
      </c>
      <c r="D118" s="1">
        <f>SUMIF(Download!B:B,J118,Download!G:G)</f>
        <v>0</v>
      </c>
      <c r="E118" s="31">
        <f>SUMIF(Download!B:B,J118,Download!H:H)</f>
        <v>0</v>
      </c>
      <c r="F118" s="40" t="str">
        <f t="shared" si="24"/>
        <v>HKD</v>
      </c>
      <c r="G118" s="8">
        <f t="shared" si="25"/>
        <v>0</v>
      </c>
      <c r="H118" t="s">
        <v>21</v>
      </c>
      <c r="I118" t="str">
        <f t="shared" si="26"/>
        <v>388:HK</v>
      </c>
      <c r="J118" t="str">
        <f t="shared" si="27"/>
        <v>DBPe388:HK</v>
      </c>
    </row>
    <row r="119" spans="1:11" x14ac:dyDescent="0.25">
      <c r="A119" s="29"/>
      <c r="B119" s="30" t="str">
        <f>INDEX(Stocks!A:B,MATCH(I119,Stocks!A:A,),2)</f>
        <v>Tencent</v>
      </c>
      <c r="C119" s="30" t="s">
        <v>52</v>
      </c>
      <c r="D119" s="1">
        <f>SUMIF(Download!B:B,J119,Download!G:G)</f>
        <v>0</v>
      </c>
      <c r="E119" s="31">
        <f>SUMIF(Download!B:B,J119,Download!H:H)</f>
        <v>0</v>
      </c>
      <c r="F119" s="40" t="str">
        <f t="shared" si="24"/>
        <v>HKD</v>
      </c>
      <c r="G119" s="8">
        <f t="shared" si="25"/>
        <v>0</v>
      </c>
      <c r="H119" t="s">
        <v>21</v>
      </c>
      <c r="I119" t="str">
        <f t="shared" si="26"/>
        <v>700:HK</v>
      </c>
      <c r="J119" t="str">
        <f t="shared" si="27"/>
        <v>DBPe700:HK</v>
      </c>
    </row>
    <row r="120" spans="1:11" x14ac:dyDescent="0.25">
      <c r="A120" s="29"/>
      <c r="B120" s="30" t="str">
        <f>INDEX(Stocks!A:B,MATCH(I120,Stocks!A:A,),2)</f>
        <v>Semiconductor Mfg</v>
      </c>
      <c r="C120" s="30" t="s">
        <v>82</v>
      </c>
      <c r="D120" s="1">
        <f>SUMIF(Download!B:B,J120,Download!G:G)</f>
        <v>0</v>
      </c>
      <c r="E120" s="31">
        <f>SUMIF(Download!B:B,J120,Download!H:H)</f>
        <v>0</v>
      </c>
      <c r="F120" s="40" t="str">
        <f t="shared" si="24"/>
        <v>HKD</v>
      </c>
      <c r="G120" s="8">
        <f t="shared" si="25"/>
        <v>0</v>
      </c>
      <c r="H120" t="s">
        <v>21</v>
      </c>
      <c r="I120" t="str">
        <f t="shared" si="26"/>
        <v>981:HK</v>
      </c>
      <c r="J120" t="str">
        <f t="shared" si="27"/>
        <v>DBPe981:HK</v>
      </c>
    </row>
    <row r="121" spans="1:11" x14ac:dyDescent="0.25">
      <c r="A121" s="29"/>
      <c r="B121" s="30" t="str">
        <f>INDEX(Stocks!A:B,MATCH(I121,Stocks!A:A,),2)</f>
        <v>Kuaishou Tech</v>
      </c>
      <c r="C121" s="30" t="s">
        <v>53</v>
      </c>
      <c r="D121" s="1">
        <f>SUMIF(Download!B:B,J121,Download!G:G)</f>
        <v>0</v>
      </c>
      <c r="E121" s="31">
        <f>SUMIF(Download!B:B,J121,Download!H:H)</f>
        <v>0</v>
      </c>
      <c r="F121" s="40" t="str">
        <f t="shared" si="24"/>
        <v>HKD</v>
      </c>
      <c r="G121" s="8">
        <f t="shared" si="25"/>
        <v>0</v>
      </c>
      <c r="H121" t="s">
        <v>21</v>
      </c>
      <c r="I121" t="str">
        <f t="shared" si="26"/>
        <v>1024:HK</v>
      </c>
      <c r="J121" t="str">
        <f t="shared" si="27"/>
        <v>DBPe1024:HK</v>
      </c>
    </row>
    <row r="122" spans="1:11" x14ac:dyDescent="0.25">
      <c r="A122" s="29"/>
      <c r="B122" s="30" t="str">
        <f>INDEX(Stocks!A:B,MATCH(I122,Stocks!A:A,),2)</f>
        <v>Agricultural Bank of China</v>
      </c>
      <c r="C122" s="30" t="s">
        <v>9</v>
      </c>
      <c r="D122" s="1">
        <f>SUMIF(Download!B:B,J122,Download!G:G)</f>
        <v>0</v>
      </c>
      <c r="E122" s="31">
        <f>SUMIF(Download!B:B,J122,Download!H:H)</f>
        <v>0</v>
      </c>
      <c r="F122" s="40" t="str">
        <f t="shared" si="24"/>
        <v>HKD</v>
      </c>
      <c r="G122" s="8">
        <f t="shared" si="25"/>
        <v>0</v>
      </c>
      <c r="H122" t="s">
        <v>21</v>
      </c>
      <c r="I122" t="str">
        <f t="shared" si="26"/>
        <v>1288:HK</v>
      </c>
      <c r="J122" t="str">
        <f t="shared" si="27"/>
        <v>DBPe1288:HK</v>
      </c>
    </row>
    <row r="123" spans="1:11" x14ac:dyDescent="0.25">
      <c r="A123" s="29"/>
      <c r="B123" s="30" t="str">
        <f>INDEX(Stocks!A:B,MATCH(I123,Stocks!A:A,),2)</f>
        <v>Xiaomi Corp</v>
      </c>
      <c r="C123" s="30" t="s">
        <v>55</v>
      </c>
      <c r="D123" s="1">
        <f>SUMIF(Download!B:B,J123,Download!G:G)</f>
        <v>0</v>
      </c>
      <c r="E123" s="31">
        <f>SUMIF(Download!B:B,J123,Download!H:H)</f>
        <v>0</v>
      </c>
      <c r="F123" s="40" t="str">
        <f t="shared" si="24"/>
        <v>HKD</v>
      </c>
      <c r="G123" s="8">
        <f t="shared" si="25"/>
        <v>0</v>
      </c>
      <c r="H123" t="s">
        <v>21</v>
      </c>
      <c r="I123" t="str">
        <f t="shared" si="26"/>
        <v>1810:HK</v>
      </c>
      <c r="J123" t="str">
        <f t="shared" si="27"/>
        <v>DBPe1810:HK</v>
      </c>
    </row>
    <row r="124" spans="1:11" x14ac:dyDescent="0.25">
      <c r="A124" s="29"/>
      <c r="B124" s="30" t="str">
        <f>INDEX(Stocks!A:B,MATCH(I124,Stocks!A:A,),2)</f>
        <v>Postal Savings Bank of China</v>
      </c>
      <c r="C124" s="30" t="s">
        <v>47</v>
      </c>
      <c r="D124" s="1">
        <f>SUMIF(Download!B:B,J124,Download!G:G)</f>
        <v>0</v>
      </c>
      <c r="E124" s="31">
        <f>SUMIF(Download!B:B,J124,Download!H:H)</f>
        <v>0</v>
      </c>
      <c r="F124" s="40" t="str">
        <f t="shared" si="24"/>
        <v>HKD</v>
      </c>
      <c r="G124" s="8">
        <f t="shared" si="25"/>
        <v>0</v>
      </c>
      <c r="H124" t="s">
        <v>21</v>
      </c>
      <c r="I124" t="str">
        <f t="shared" si="26"/>
        <v>1658:HK</v>
      </c>
      <c r="J124" t="str">
        <f t="shared" si="27"/>
        <v>DBPe1658:HK</v>
      </c>
    </row>
    <row r="125" spans="1:11" x14ac:dyDescent="0.25">
      <c r="A125" s="29"/>
      <c r="B125" s="30" t="str">
        <f>INDEX(Stocks!A:B,MATCH(I125,Stocks!A:A,),2)</f>
        <v>Great Wall Motor</v>
      </c>
      <c r="C125" s="30" t="s">
        <v>67</v>
      </c>
      <c r="D125" s="1">
        <f>SUMIF(Download!B:B,J125,Download!G:G)</f>
        <v>0</v>
      </c>
      <c r="E125" s="31">
        <f>SUMIF(Download!B:B,J125,Download!H:H)</f>
        <v>0</v>
      </c>
      <c r="F125" s="40" t="str">
        <f t="shared" si="24"/>
        <v>HKD</v>
      </c>
      <c r="G125" s="8">
        <f t="shared" si="25"/>
        <v>0</v>
      </c>
      <c r="H125" t="s">
        <v>21</v>
      </c>
      <c r="I125" t="str">
        <f t="shared" si="26"/>
        <v>2333:HK</v>
      </c>
      <c r="J125" t="str">
        <f t="shared" si="27"/>
        <v>DBPe2333:HK</v>
      </c>
    </row>
    <row r="126" spans="1:11" x14ac:dyDescent="0.25">
      <c r="A126" s="29"/>
      <c r="B126" s="30" t="str">
        <f>INDEX(Stocks!A:B,MATCH(I126,Stocks!A:A,),2)</f>
        <v>Meituan</v>
      </c>
      <c r="C126" s="30" t="s">
        <v>169</v>
      </c>
      <c r="D126" s="1">
        <f>SUMIF(Download!B:B,J126,Download!G:G)</f>
        <v>0</v>
      </c>
      <c r="E126" s="31">
        <f>SUMIF(Download!B:B,J126,Download!H:H)</f>
        <v>0</v>
      </c>
      <c r="F126" s="40" t="str">
        <f t="shared" ref="F126" si="28">IF(RIGHT(I126,2)="JP","JPY",RIGHT(I126,2)&amp;"D")</f>
        <v>HKD</v>
      </c>
      <c r="G126" s="8">
        <f t="shared" ref="G126" si="29">D126*E126</f>
        <v>0</v>
      </c>
      <c r="H126" t="s">
        <v>21</v>
      </c>
      <c r="I126" t="str">
        <f t="shared" ref="I126" si="30">C126</f>
        <v>3690:HK</v>
      </c>
      <c r="J126" t="str">
        <f t="shared" ref="J126" si="31">H126&amp;I126</f>
        <v>DBPe3690:HK</v>
      </c>
    </row>
    <row r="127" spans="1:11" x14ac:dyDescent="0.25">
      <c r="A127" s="29"/>
      <c r="B127" s="30" t="str">
        <f>INDEX(Stocks!A:B,MATCH(I127,Stocks!A:A,),2)</f>
        <v>Bank of China</v>
      </c>
      <c r="C127" s="30" t="s">
        <v>37</v>
      </c>
      <c r="D127" s="1">
        <f>SUMIF(Download!B:B,J127,Download!G:G)</f>
        <v>0</v>
      </c>
      <c r="E127" s="31">
        <f>SUMIF(Download!B:B,J127,Download!H:H)</f>
        <v>0</v>
      </c>
      <c r="F127" s="40" t="str">
        <f t="shared" si="24"/>
        <v>HKD</v>
      </c>
      <c r="G127" s="8">
        <f t="shared" si="25"/>
        <v>0</v>
      </c>
      <c r="H127" t="s">
        <v>21</v>
      </c>
      <c r="I127" t="str">
        <f t="shared" si="26"/>
        <v>3988:HK</v>
      </c>
      <c r="J127" t="str">
        <f t="shared" si="27"/>
        <v>DBPe3988:HK</v>
      </c>
    </row>
    <row r="128" spans="1:11" x14ac:dyDescent="0.25">
      <c r="A128" s="29"/>
      <c r="B128" s="30" t="str">
        <f>INDEX(Stocks!A:B,MATCH(I128,Stocks!A:A,),2)</f>
        <v>China Molybdenum</v>
      </c>
      <c r="C128" s="30" t="s">
        <v>72</v>
      </c>
      <c r="D128" s="1">
        <f>SUMIF(Download!B:B,J128,Download!G:G)</f>
        <v>0</v>
      </c>
      <c r="E128" s="31">
        <f>SUMIF(Download!B:B,J128,Download!H:H)</f>
        <v>0</v>
      </c>
      <c r="F128" s="40" t="str">
        <f t="shared" si="24"/>
        <v>HKD</v>
      </c>
      <c r="G128" s="8">
        <f t="shared" si="25"/>
        <v>0</v>
      </c>
      <c r="H128" t="s">
        <v>21</v>
      </c>
      <c r="I128" t="str">
        <f t="shared" si="26"/>
        <v>3993:HK</v>
      </c>
      <c r="J128" t="str">
        <f t="shared" si="27"/>
        <v>DBPe3993:HK</v>
      </c>
    </row>
    <row r="129" spans="1:11" x14ac:dyDescent="0.25">
      <c r="A129" s="29"/>
      <c r="B129" s="30" t="str">
        <f>INDEX(Stocks!A:B,MATCH(I129,Stocks!A:A,),2)</f>
        <v>Citic Securities</v>
      </c>
      <c r="C129" s="30" t="s">
        <v>84</v>
      </c>
      <c r="D129" s="1">
        <f>SUMIF(Download!B:B,J129,Download!G:G)</f>
        <v>0</v>
      </c>
      <c r="E129" s="31">
        <f>SUMIF(Download!B:B,J129,Download!H:H)</f>
        <v>0</v>
      </c>
      <c r="F129" s="40" t="str">
        <f t="shared" si="24"/>
        <v>HKD</v>
      </c>
      <c r="G129" s="8">
        <f t="shared" si="25"/>
        <v>0</v>
      </c>
      <c r="H129" t="s">
        <v>21</v>
      </c>
      <c r="I129" t="str">
        <f t="shared" si="26"/>
        <v>6030:HK</v>
      </c>
      <c r="J129" t="str">
        <f t="shared" si="27"/>
        <v>DBPe6030:HK</v>
      </c>
    </row>
    <row r="130" spans="1:11" x14ac:dyDescent="0.25">
      <c r="A130" s="29"/>
      <c r="B130" s="30" t="str">
        <f>INDEX(Stocks!A:B,MATCH(I130,Stocks!A:A,),2)</f>
        <v>JD com</v>
      </c>
      <c r="C130" s="30" t="s">
        <v>106</v>
      </c>
      <c r="D130" s="1">
        <f>SUMIF(Download!B:B,J130,Download!G:G)</f>
        <v>0</v>
      </c>
      <c r="E130" s="31">
        <f>SUMIF(Download!B:B,J130,Download!H:H)</f>
        <v>0</v>
      </c>
      <c r="F130" s="40" t="str">
        <f t="shared" si="24"/>
        <v>HKD</v>
      </c>
      <c r="G130" s="8">
        <f t="shared" si="25"/>
        <v>0</v>
      </c>
      <c r="H130" t="s">
        <v>21</v>
      </c>
      <c r="I130" t="str">
        <f t="shared" si="26"/>
        <v>9618:HK</v>
      </c>
      <c r="J130" t="str">
        <f t="shared" si="27"/>
        <v>DBPe9618:HK</v>
      </c>
    </row>
    <row r="131" spans="1:11" x14ac:dyDescent="0.25">
      <c r="A131" s="29"/>
      <c r="B131" s="30" t="str">
        <f>INDEX(Stocks!A:B,MATCH(I131,Stocks!A:A,),2)</f>
        <v>Baidu Inc A</v>
      </c>
      <c r="C131" s="30" t="s">
        <v>79</v>
      </c>
      <c r="D131" s="1">
        <f>SUMIF(Download!B:B,J131,Download!G:G)</f>
        <v>0</v>
      </c>
      <c r="E131" s="31">
        <f>SUMIF(Download!B:B,J131,Download!H:H)</f>
        <v>0</v>
      </c>
      <c r="F131" s="40" t="str">
        <f t="shared" si="24"/>
        <v>HKD</v>
      </c>
      <c r="G131" s="8">
        <f t="shared" si="25"/>
        <v>0</v>
      </c>
      <c r="H131" t="s">
        <v>21</v>
      </c>
      <c r="I131" t="str">
        <f t="shared" si="26"/>
        <v>9888:HK</v>
      </c>
      <c r="J131" t="str">
        <f t="shared" si="27"/>
        <v>DBPe9888:HK</v>
      </c>
    </row>
    <row r="132" spans="1:11" x14ac:dyDescent="0.25">
      <c r="A132" s="29"/>
      <c r="B132" s="30" t="str">
        <f>INDEX(Stocks!A:B,MATCH(I132,Stocks!A:A,),2)</f>
        <v>Alibaba</v>
      </c>
      <c r="C132" s="30" t="s">
        <v>58</v>
      </c>
      <c r="D132" s="1">
        <f>SUMIF(Download!B:B,J132,Download!G:G)</f>
        <v>0</v>
      </c>
      <c r="E132" s="31">
        <f>SUMIF(Download!B:B,J132,Download!H:H)</f>
        <v>0</v>
      </c>
      <c r="F132" s="40" t="str">
        <f t="shared" si="24"/>
        <v>HKD</v>
      </c>
      <c r="G132" s="8">
        <f t="shared" si="25"/>
        <v>0</v>
      </c>
      <c r="H132" t="s">
        <v>21</v>
      </c>
      <c r="I132" t="str">
        <f t="shared" si="26"/>
        <v>9988:HK</v>
      </c>
      <c r="J132" t="str">
        <f t="shared" si="27"/>
        <v>DBPe9988:HK</v>
      </c>
    </row>
    <row r="133" spans="1:11" ht="3.75" customHeight="1" x14ac:dyDescent="0.25">
      <c r="A133" s="29"/>
      <c r="B133" s="41"/>
      <c r="C133" s="41"/>
      <c r="D133" s="6"/>
      <c r="E133" s="42"/>
      <c r="F133" s="43"/>
      <c r="G133" s="7"/>
    </row>
    <row r="134" spans="1:11" x14ac:dyDescent="0.25">
      <c r="A134" s="29"/>
      <c r="B134" s="30" t="str">
        <f>INDEX(Stocks!A:B,MATCH(I134,Stocks!A:A,),2)</f>
        <v>Citigroup</v>
      </c>
      <c r="C134" s="30" t="s">
        <v>115</v>
      </c>
      <c r="D134" s="1">
        <f>SUMIF(Download!B:B,J134,Download!G:G)</f>
        <v>0</v>
      </c>
      <c r="E134" s="31">
        <f>SUMIF(Download!B:B,J134,Download!H:H)</f>
        <v>0</v>
      </c>
      <c r="F134" s="40" t="str">
        <f>IF(RIGHT(I134,2)="JP","JPY",RIGHT(I134,2)&amp;"D")</f>
        <v>USD</v>
      </c>
      <c r="G134" s="8">
        <f>D134*E134</f>
        <v>0</v>
      </c>
      <c r="H134" t="s">
        <v>21</v>
      </c>
      <c r="I134" t="str">
        <f>C134</f>
        <v>C:US</v>
      </c>
      <c r="J134" t="str">
        <f>H134&amp;I134</f>
        <v>DBPeC:US</v>
      </c>
    </row>
    <row r="135" spans="1:11" ht="3.75" customHeight="1" x14ac:dyDescent="0.25">
      <c r="A135" s="29"/>
      <c r="B135" s="41"/>
      <c r="C135" s="41"/>
      <c r="D135" s="6"/>
      <c r="E135" s="42"/>
      <c r="F135" s="43"/>
      <c r="G135" s="7"/>
    </row>
    <row r="136" spans="1:11" x14ac:dyDescent="0.25">
      <c r="A136" s="29"/>
      <c r="B136" s="30" t="str">
        <f>INDEX(Stocks!A:B,MATCH(I136,Stocks!A:A,),2)</f>
        <v>DBS Group</v>
      </c>
      <c r="C136" s="30" t="s">
        <v>114</v>
      </c>
      <c r="D136" s="1">
        <f>SUMIF(Download!B:B,J136,Download!G:G)</f>
        <v>0</v>
      </c>
      <c r="E136" s="31">
        <f>SUMIF(Download!B:B,J136,Download!H:H)</f>
        <v>0</v>
      </c>
      <c r="F136" s="40" t="str">
        <f>IF(RIGHT(I136,2)="JP","JPY",RIGHT(I136,2)&amp;"D")</f>
        <v>SGD</v>
      </c>
      <c r="G136" s="8">
        <f>D136*E136</f>
        <v>0</v>
      </c>
      <c r="H136" t="s">
        <v>21</v>
      </c>
      <c r="I136" t="str">
        <f>C136</f>
        <v>DBS:SG</v>
      </c>
      <c r="J136" t="str">
        <f>H136&amp;I136</f>
        <v>DBPeDBS:SG</v>
      </c>
    </row>
    <row r="137" spans="1:11" x14ac:dyDescent="0.25">
      <c r="A137" s="29"/>
      <c r="B137" s="32"/>
      <c r="C137" s="32"/>
      <c r="D137" s="15">
        <f>SUBTOTAL(9,D115:D136)</f>
        <v>0</v>
      </c>
      <c r="E137" s="33"/>
      <c r="F137" s="33"/>
      <c r="G137" s="12"/>
    </row>
    <row r="138" spans="1:11" x14ac:dyDescent="0.25">
      <c r="D138" s="36"/>
    </row>
    <row r="139" spans="1:11" ht="18.75" customHeight="1" x14ac:dyDescent="0.3">
      <c r="A139" s="17" t="s">
        <v>22</v>
      </c>
      <c r="B139" s="17"/>
      <c r="C139" s="17"/>
      <c r="K139" s="23"/>
    </row>
    <row r="140" spans="1:11" x14ac:dyDescent="0.25">
      <c r="B140" s="26" t="s">
        <v>5</v>
      </c>
      <c r="C140" s="26" t="s">
        <v>105</v>
      </c>
      <c r="D140" s="26" t="s">
        <v>6</v>
      </c>
      <c r="E140" s="26" t="s">
        <v>7</v>
      </c>
      <c r="F140" s="63" t="s">
        <v>8</v>
      </c>
      <c r="G140" s="64"/>
      <c r="H140" s="28"/>
    </row>
    <row r="141" spans="1:11" x14ac:dyDescent="0.25">
      <c r="A141" s="29"/>
      <c r="B141" s="30" t="str">
        <f>INDEX(Stocks!A:B,MATCH(I141,Stocks!A:A,),2)</f>
        <v>Geely Motor</v>
      </c>
      <c r="C141" s="30" t="s">
        <v>61</v>
      </c>
      <c r="D141" s="1">
        <f>SUMIF(Download!B:B,J141,Download!G:G)</f>
        <v>0</v>
      </c>
      <c r="E141" s="31">
        <f>SUMIF(Download!B:B,J141,Download!H:H)</f>
        <v>0</v>
      </c>
      <c r="F141" s="40" t="str">
        <f t="shared" ref="F141:F158" si="32">IF(RIGHT(I141,2)="JP","JPY",RIGHT(I141,2)&amp;"D")</f>
        <v>HKD</v>
      </c>
      <c r="G141" s="8">
        <f t="shared" ref="G141:G158" si="33">D141*E141</f>
        <v>0</v>
      </c>
      <c r="H141" t="s">
        <v>23</v>
      </c>
      <c r="I141" t="str">
        <f t="shared" ref="I141:I158" si="34">C141</f>
        <v>175:HK</v>
      </c>
      <c r="J141" t="str">
        <f t="shared" ref="J141:J158" si="35">H141&amp;I141</f>
        <v>DBPL175:HK</v>
      </c>
    </row>
    <row r="142" spans="1:11" x14ac:dyDescent="0.25">
      <c r="A142" s="29"/>
      <c r="B142" s="30" t="str">
        <f>INDEX(Stocks!A:B,MATCH(I142,Stocks!A:A,),2)</f>
        <v>Beijing Water</v>
      </c>
      <c r="C142" s="30" t="s">
        <v>89</v>
      </c>
      <c r="D142" s="1">
        <f>SUMIF(Download!B:B,J142,Download!G:G)</f>
        <v>0</v>
      </c>
      <c r="E142" s="31">
        <f>SUMIF(Download!B:B,J142,Download!H:H)</f>
        <v>0</v>
      </c>
      <c r="F142" s="40" t="str">
        <f t="shared" si="32"/>
        <v>HKD</v>
      </c>
      <c r="G142" s="8">
        <f t="shared" si="33"/>
        <v>0</v>
      </c>
      <c r="H142" t="s">
        <v>23</v>
      </c>
      <c r="I142" t="str">
        <f t="shared" si="34"/>
        <v>371:HK</v>
      </c>
      <c r="J142" t="str">
        <f t="shared" si="35"/>
        <v>DBPL371:HK</v>
      </c>
    </row>
    <row r="143" spans="1:11" x14ac:dyDescent="0.25">
      <c r="A143" s="29"/>
      <c r="B143" s="30" t="str">
        <f>INDEX(Stocks!A:B,MATCH(I143,Stocks!A:A,),2)</f>
        <v>HK Exchange</v>
      </c>
      <c r="C143" s="30" t="s">
        <v>57</v>
      </c>
      <c r="D143" s="1">
        <f>SUMIF(Download!B:B,J143,Download!G:G)</f>
        <v>0</v>
      </c>
      <c r="E143" s="31">
        <f>SUMIF(Download!B:B,J143,Download!H:H)</f>
        <v>0</v>
      </c>
      <c r="F143" s="40" t="str">
        <f t="shared" si="32"/>
        <v>HKD</v>
      </c>
      <c r="G143" s="8">
        <f t="shared" si="33"/>
        <v>0</v>
      </c>
      <c r="H143" t="s">
        <v>23</v>
      </c>
      <c r="I143" t="str">
        <f t="shared" si="34"/>
        <v>388:HK</v>
      </c>
      <c r="J143" t="str">
        <f t="shared" si="35"/>
        <v>DBPL388:HK</v>
      </c>
    </row>
    <row r="144" spans="1:11" x14ac:dyDescent="0.25">
      <c r="A144" s="29"/>
      <c r="B144" s="30" t="str">
        <f>INDEX(Stocks!A:B,MATCH(I144,Stocks!A:A,),2)</f>
        <v>Tencent</v>
      </c>
      <c r="C144" s="30" t="s">
        <v>52</v>
      </c>
      <c r="D144" s="1">
        <f>SUMIF(Download!B:B,J144,Download!G:G)</f>
        <v>0</v>
      </c>
      <c r="E144" s="31">
        <f>SUMIF(Download!B:B,J144,Download!H:H)</f>
        <v>0</v>
      </c>
      <c r="F144" s="40" t="str">
        <f t="shared" si="32"/>
        <v>HKD</v>
      </c>
      <c r="G144" s="8">
        <f t="shared" si="33"/>
        <v>0</v>
      </c>
      <c r="H144" t="s">
        <v>23</v>
      </c>
      <c r="I144" t="str">
        <f t="shared" si="34"/>
        <v>700:HK</v>
      </c>
      <c r="J144" t="str">
        <f t="shared" si="35"/>
        <v>DBPL700:HK</v>
      </c>
    </row>
    <row r="145" spans="1:10" x14ac:dyDescent="0.25">
      <c r="A145" s="29"/>
      <c r="B145" s="30" t="str">
        <f>INDEX(Stocks!A:B,MATCH(I145,Stocks!A:A,),2)</f>
        <v>China Construction Bank</v>
      </c>
      <c r="C145" s="30" t="s">
        <v>49</v>
      </c>
      <c r="D145" s="1">
        <f>SUMIF(Download!B:B,J145,Download!G:G)</f>
        <v>0</v>
      </c>
      <c r="E145" s="31">
        <f>SUMIF(Download!B:B,J145,Download!H:H)</f>
        <v>0</v>
      </c>
      <c r="F145" s="40" t="str">
        <f t="shared" si="32"/>
        <v>HKD</v>
      </c>
      <c r="G145" s="8">
        <f t="shared" si="33"/>
        <v>0</v>
      </c>
      <c r="H145" t="s">
        <v>23</v>
      </c>
      <c r="I145" t="str">
        <f t="shared" si="34"/>
        <v>939:HK</v>
      </c>
      <c r="J145" t="str">
        <f t="shared" si="35"/>
        <v>DBPL939:HK</v>
      </c>
    </row>
    <row r="146" spans="1:10" x14ac:dyDescent="0.25">
      <c r="A146" s="29"/>
      <c r="B146" s="30" t="str">
        <f>INDEX(Stocks!A:B,MATCH(I146,Stocks!A:A,),2)</f>
        <v>Semiconductor Mfg</v>
      </c>
      <c r="C146" s="30" t="s">
        <v>82</v>
      </c>
      <c r="D146" s="1">
        <f>SUMIF(Download!B:B,J146,Download!G:G)</f>
        <v>0</v>
      </c>
      <c r="E146" s="31">
        <f>SUMIF(Download!B:B,J146,Download!H:H)</f>
        <v>0</v>
      </c>
      <c r="F146" s="40" t="str">
        <f t="shared" si="32"/>
        <v>HKD</v>
      </c>
      <c r="G146" s="8">
        <f t="shared" si="33"/>
        <v>0</v>
      </c>
      <c r="H146" t="s">
        <v>23</v>
      </c>
      <c r="I146" t="str">
        <f t="shared" si="34"/>
        <v>981:HK</v>
      </c>
      <c r="J146" t="str">
        <f t="shared" si="35"/>
        <v>DBPL981:HK</v>
      </c>
    </row>
    <row r="147" spans="1:10" x14ac:dyDescent="0.25">
      <c r="A147" s="29"/>
      <c r="B147" s="30" t="str">
        <f>INDEX(Stocks!A:B,MATCH(I147,Stocks!A:A,),2)</f>
        <v>Kuaishou Tech</v>
      </c>
      <c r="C147" s="30" t="s">
        <v>53</v>
      </c>
      <c r="D147" s="1">
        <f>SUMIF(Download!B:B,J147,Download!G:G)</f>
        <v>0</v>
      </c>
      <c r="E147" s="31">
        <f>SUMIF(Download!B:B,J147,Download!H:H)</f>
        <v>0</v>
      </c>
      <c r="F147" s="40" t="str">
        <f t="shared" si="32"/>
        <v>HKD</v>
      </c>
      <c r="G147" s="8">
        <f t="shared" si="33"/>
        <v>0</v>
      </c>
      <c r="H147" t="s">
        <v>23</v>
      </c>
      <c r="I147" t="str">
        <f t="shared" si="34"/>
        <v>1024:HK</v>
      </c>
      <c r="J147" t="str">
        <f t="shared" si="35"/>
        <v>DBPL1024:HK</v>
      </c>
    </row>
    <row r="148" spans="1:10" x14ac:dyDescent="0.25">
      <c r="A148" s="29"/>
      <c r="B148" s="30" t="str">
        <f>INDEX(Stocks!A:B,MATCH(I148,Stocks!A:A,),2)</f>
        <v>Agricultural Bank of China</v>
      </c>
      <c r="C148" s="30" t="s">
        <v>9</v>
      </c>
      <c r="D148" s="1">
        <f>SUMIF(Download!B:B,J148,Download!G:G)</f>
        <v>0</v>
      </c>
      <c r="E148" s="31">
        <f>SUMIF(Download!B:B,J148,Download!H:H)</f>
        <v>0</v>
      </c>
      <c r="F148" s="40" t="str">
        <f t="shared" si="32"/>
        <v>HKD</v>
      </c>
      <c r="G148" s="8">
        <f t="shared" si="33"/>
        <v>0</v>
      </c>
      <c r="H148" t="s">
        <v>23</v>
      </c>
      <c r="I148" t="str">
        <f t="shared" si="34"/>
        <v>1288:HK</v>
      </c>
      <c r="J148" t="str">
        <f t="shared" si="35"/>
        <v>DBPL1288:HK</v>
      </c>
    </row>
    <row r="149" spans="1:10" x14ac:dyDescent="0.25">
      <c r="A149" s="29"/>
      <c r="B149" s="30" t="str">
        <f>INDEX(Stocks!A:B,MATCH(I149,Stocks!A:A,),2)</f>
        <v>Postal Savings Bank of China</v>
      </c>
      <c r="C149" s="30" t="s">
        <v>47</v>
      </c>
      <c r="D149" s="1">
        <f>SUMIF(Download!B:B,J149,Download!G:G)</f>
        <v>0</v>
      </c>
      <c r="E149" s="31">
        <f>SUMIF(Download!B:B,J149,Download!H:H)</f>
        <v>0</v>
      </c>
      <c r="F149" s="40" t="str">
        <f t="shared" si="32"/>
        <v>HKD</v>
      </c>
      <c r="G149" s="8">
        <f t="shared" si="33"/>
        <v>0</v>
      </c>
      <c r="H149" t="s">
        <v>23</v>
      </c>
      <c r="I149" t="str">
        <f t="shared" si="34"/>
        <v>1658:HK</v>
      </c>
      <c r="J149" t="str">
        <f t="shared" si="35"/>
        <v>DBPL1658:HK</v>
      </c>
    </row>
    <row r="150" spans="1:10" x14ac:dyDescent="0.25">
      <c r="A150" s="29"/>
      <c r="B150" s="30" t="str">
        <f>INDEX(Stocks!A:B,MATCH(I150,Stocks!A:A,),2)</f>
        <v>Xiaomi Corp</v>
      </c>
      <c r="C150" s="30" t="s">
        <v>55</v>
      </c>
      <c r="D150" s="1">
        <f>SUMIF(Download!B:B,J150,Download!G:G)</f>
        <v>0</v>
      </c>
      <c r="E150" s="31">
        <f>SUMIF(Download!B:B,J150,Download!H:H)</f>
        <v>0</v>
      </c>
      <c r="F150" s="40" t="str">
        <f t="shared" si="32"/>
        <v>HKD</v>
      </c>
      <c r="G150" s="8">
        <f t="shared" si="33"/>
        <v>0</v>
      </c>
      <c r="H150" t="s">
        <v>23</v>
      </c>
      <c r="I150" t="str">
        <f t="shared" si="34"/>
        <v>1810:HK</v>
      </c>
      <c r="J150" t="str">
        <f t="shared" si="35"/>
        <v>DBPL1810:HK</v>
      </c>
    </row>
    <row r="151" spans="1:10" x14ac:dyDescent="0.25">
      <c r="A151" s="29"/>
      <c r="B151" s="30" t="str">
        <f>INDEX(Stocks!A:B,MATCH(I151,Stocks!A:A,),2)</f>
        <v>Great Wall Motor</v>
      </c>
      <c r="C151" s="30" t="s">
        <v>67</v>
      </c>
      <c r="D151" s="1">
        <f>SUMIF(Download!B:B,J151,Download!G:G)</f>
        <v>0</v>
      </c>
      <c r="E151" s="31">
        <f>SUMIF(Download!B:B,J151,Download!H:H)</f>
        <v>0</v>
      </c>
      <c r="F151" s="40" t="str">
        <f t="shared" si="32"/>
        <v>HKD</v>
      </c>
      <c r="G151" s="8">
        <f t="shared" si="33"/>
        <v>0</v>
      </c>
      <c r="H151" t="s">
        <v>23</v>
      </c>
      <c r="I151" t="str">
        <f t="shared" si="34"/>
        <v>2333:HK</v>
      </c>
      <c r="J151" t="str">
        <f t="shared" si="35"/>
        <v>DBPL2333:HK</v>
      </c>
    </row>
    <row r="152" spans="1:10" x14ac:dyDescent="0.25">
      <c r="A152" s="29"/>
      <c r="B152" s="30" t="str">
        <f>INDEX(Stocks!A:B,MATCH(I152,Stocks!A:A,),2)</f>
        <v>CSOP Hang Seng Tech Index</v>
      </c>
      <c r="C152" s="30" t="s">
        <v>104</v>
      </c>
      <c r="D152" s="1">
        <f>SUMIF(Download!B:B,J152,Download!G:G)</f>
        <v>0</v>
      </c>
      <c r="E152" s="31">
        <f>SUMIF(Download!B:B,J152,Download!H:H)</f>
        <v>0</v>
      </c>
      <c r="F152" s="40" t="str">
        <f t="shared" si="32"/>
        <v>HKD</v>
      </c>
      <c r="G152" s="8">
        <f t="shared" si="33"/>
        <v>0</v>
      </c>
      <c r="H152" t="s">
        <v>23</v>
      </c>
      <c r="I152" t="str">
        <f t="shared" si="34"/>
        <v>3033:HK</v>
      </c>
      <c r="J152" t="str">
        <f t="shared" si="35"/>
        <v>DBPL3033:HK</v>
      </c>
    </row>
    <row r="153" spans="1:10" x14ac:dyDescent="0.25">
      <c r="A153" s="29"/>
      <c r="B153" s="30" t="str">
        <f>INDEX(Stocks!A:B,MATCH(I153,Stocks!A:A,),2)</f>
        <v>Meituan</v>
      </c>
      <c r="C153" s="30" t="s">
        <v>169</v>
      </c>
      <c r="D153" s="1">
        <f>SUMIF(Download!B:B,J153,Download!G:G)</f>
        <v>0</v>
      </c>
      <c r="E153" s="31">
        <f>SUMIF(Download!B:B,J153,Download!H:H)</f>
        <v>0</v>
      </c>
      <c r="F153" s="40" t="str">
        <f t="shared" ref="F153" si="36">IF(RIGHT(I153,2)="JP","JPY",RIGHT(I153,2)&amp;"D")</f>
        <v>HKD</v>
      </c>
      <c r="G153" s="8">
        <f t="shared" ref="G153" si="37">D153*E153</f>
        <v>0</v>
      </c>
      <c r="H153" t="s">
        <v>23</v>
      </c>
      <c r="I153" t="str">
        <f t="shared" ref="I153" si="38">C153</f>
        <v>3690:HK</v>
      </c>
      <c r="J153" t="str">
        <f t="shared" ref="J153" si="39">H153&amp;I153</f>
        <v>DBPL3690:HK</v>
      </c>
    </row>
    <row r="154" spans="1:10" x14ac:dyDescent="0.25">
      <c r="A154" s="29"/>
      <c r="B154" s="30" t="str">
        <f>INDEX(Stocks!A:B,MATCH(I154,Stocks!A:A,),2)</f>
        <v>Bank of China</v>
      </c>
      <c r="C154" s="30" t="s">
        <v>37</v>
      </c>
      <c r="D154" s="1">
        <f>SUMIF(Download!B:B,J154,Download!G:G)</f>
        <v>0</v>
      </c>
      <c r="E154" s="31">
        <f>SUMIF(Download!B:B,J154,Download!H:H)</f>
        <v>0</v>
      </c>
      <c r="F154" s="40" t="str">
        <f t="shared" si="32"/>
        <v>HKD</v>
      </c>
      <c r="G154" s="8">
        <f t="shared" si="33"/>
        <v>0</v>
      </c>
      <c r="H154" t="s">
        <v>23</v>
      </c>
      <c r="I154" t="str">
        <f t="shared" si="34"/>
        <v>3988:HK</v>
      </c>
      <c r="J154" t="str">
        <f t="shared" si="35"/>
        <v>DBPL3988:HK</v>
      </c>
    </row>
    <row r="155" spans="1:10" x14ac:dyDescent="0.25">
      <c r="A155" s="29"/>
      <c r="B155" s="30" t="str">
        <f>INDEX(Stocks!A:B,MATCH(I155,Stocks!A:A,),2)</f>
        <v>China Molybdenum</v>
      </c>
      <c r="C155" s="30" t="s">
        <v>72</v>
      </c>
      <c r="D155" s="1">
        <f>SUMIF(Download!B:B,J155,Download!G:G)</f>
        <v>0</v>
      </c>
      <c r="E155" s="31">
        <f>SUMIF(Download!B:B,J155,Download!H:H)</f>
        <v>0</v>
      </c>
      <c r="F155" s="40" t="str">
        <f t="shared" si="32"/>
        <v>HKD</v>
      </c>
      <c r="G155" s="8">
        <f t="shared" si="33"/>
        <v>0</v>
      </c>
      <c r="H155" t="s">
        <v>23</v>
      </c>
      <c r="I155" t="str">
        <f t="shared" si="34"/>
        <v>3993:HK</v>
      </c>
      <c r="J155" t="str">
        <f t="shared" si="35"/>
        <v>DBPL3993:HK</v>
      </c>
    </row>
    <row r="156" spans="1:10" x14ac:dyDescent="0.25">
      <c r="A156" s="29"/>
      <c r="B156" s="30" t="str">
        <f>INDEX(Stocks!A:B,MATCH(I156,Stocks!A:A,),2)</f>
        <v>Citic Securities</v>
      </c>
      <c r="C156" s="30" t="s">
        <v>84</v>
      </c>
      <c r="D156" s="1">
        <f>SUMIF(Download!B:B,J156,Download!G:G)</f>
        <v>0</v>
      </c>
      <c r="E156" s="31">
        <f>SUMIF(Download!B:B,J156,Download!H:H)</f>
        <v>0</v>
      </c>
      <c r="F156" s="40" t="str">
        <f t="shared" si="32"/>
        <v>HKD</v>
      </c>
      <c r="G156" s="8">
        <f t="shared" si="33"/>
        <v>0</v>
      </c>
      <c r="H156" t="s">
        <v>23</v>
      </c>
      <c r="I156" t="str">
        <f t="shared" si="34"/>
        <v>6030:HK</v>
      </c>
      <c r="J156" t="str">
        <f t="shared" si="35"/>
        <v>DBPL6030:HK</v>
      </c>
    </row>
    <row r="157" spans="1:10" x14ac:dyDescent="0.25">
      <c r="A157" s="29"/>
      <c r="B157" s="30" t="str">
        <f>INDEX(Stocks!A:B,MATCH(I157,Stocks!A:A,),2)</f>
        <v>JD com</v>
      </c>
      <c r="C157" s="30" t="s">
        <v>106</v>
      </c>
      <c r="D157" s="1">
        <f>SUMIF(Download!B:B,J157,Download!G:G)</f>
        <v>0</v>
      </c>
      <c r="E157" s="31">
        <f>SUMIF(Download!B:B,J157,Download!H:H)</f>
        <v>0</v>
      </c>
      <c r="F157" s="40" t="str">
        <f t="shared" si="32"/>
        <v>HKD</v>
      </c>
      <c r="G157" s="8">
        <f t="shared" si="33"/>
        <v>0</v>
      </c>
      <c r="H157" t="s">
        <v>23</v>
      </c>
      <c r="I157" t="str">
        <f t="shared" si="34"/>
        <v>9618:HK</v>
      </c>
      <c r="J157" t="str">
        <f t="shared" si="35"/>
        <v>DBPL9618:HK</v>
      </c>
    </row>
    <row r="158" spans="1:10" x14ac:dyDescent="0.25">
      <c r="A158" s="29"/>
      <c r="B158" s="30" t="str">
        <f>INDEX(Stocks!A:B,MATCH(I158,Stocks!A:A,),2)</f>
        <v>Alibaba</v>
      </c>
      <c r="C158" s="30" t="s">
        <v>58</v>
      </c>
      <c r="D158" s="1">
        <f>SUMIF(Download!B:B,J158,Download!G:G)</f>
        <v>0</v>
      </c>
      <c r="E158" s="31">
        <f>SUMIF(Download!B:B,J158,Download!H:H)</f>
        <v>0</v>
      </c>
      <c r="F158" s="40" t="str">
        <f t="shared" si="32"/>
        <v>HKD</v>
      </c>
      <c r="G158" s="8">
        <f t="shared" si="33"/>
        <v>0</v>
      </c>
      <c r="H158" t="s">
        <v>23</v>
      </c>
      <c r="I158" t="str">
        <f t="shared" si="34"/>
        <v>9988:HK</v>
      </c>
      <c r="J158" t="str">
        <f t="shared" si="35"/>
        <v>DBPL9988:HK</v>
      </c>
    </row>
    <row r="159" spans="1:10" ht="3.75" customHeight="1" x14ac:dyDescent="0.25">
      <c r="A159" s="29"/>
      <c r="B159" s="41"/>
      <c r="C159" s="41"/>
      <c r="D159" s="6"/>
      <c r="E159" s="42"/>
      <c r="F159" s="43"/>
      <c r="G159" s="7"/>
    </row>
    <row r="160" spans="1:10" x14ac:dyDescent="0.25">
      <c r="A160" s="29"/>
      <c r="B160" s="30" t="str">
        <f>INDEX(Stocks!A:B,MATCH(I160,Stocks!A:A,),2)</f>
        <v>NVIDIA Corp</v>
      </c>
      <c r="C160" s="30" t="s">
        <v>116</v>
      </c>
      <c r="D160" s="1">
        <f>SUMIF(Download!B:B,J160,Download!G:G)</f>
        <v>0</v>
      </c>
      <c r="E160" s="31">
        <f>SUMIF(Download!B:B,J160,Download!H:H)</f>
        <v>0</v>
      </c>
      <c r="F160" s="40" t="str">
        <f>IF(RIGHT(I160,2)="JP","JPY",RIGHT(I160,2)&amp;"D")</f>
        <v>USD</v>
      </c>
      <c r="G160" s="8">
        <f>D160*E160</f>
        <v>0</v>
      </c>
      <c r="H160" t="s">
        <v>23</v>
      </c>
      <c r="I160" t="str">
        <f>C160</f>
        <v>NVDA:US</v>
      </c>
      <c r="J160" t="str">
        <f>H160&amp;I160</f>
        <v>DBPLNVDA:US</v>
      </c>
    </row>
    <row r="161" spans="1:11" x14ac:dyDescent="0.25">
      <c r="A161" s="29"/>
      <c r="B161" s="32"/>
      <c r="C161" s="32"/>
      <c r="D161" s="15">
        <f>SUBTOTAL(9,D140:D158)</f>
        <v>0</v>
      </c>
      <c r="E161" s="33"/>
      <c r="F161" s="33"/>
      <c r="G161" s="12"/>
    </row>
    <row r="162" spans="1:11" x14ac:dyDescent="0.25">
      <c r="D162" s="36"/>
    </row>
    <row r="163" spans="1:11" ht="18.75" customHeight="1" x14ac:dyDescent="0.3">
      <c r="A163" s="17" t="s">
        <v>24</v>
      </c>
      <c r="B163" s="17"/>
      <c r="C163" s="17"/>
      <c r="K163" s="23"/>
    </row>
    <row r="164" spans="1:11" x14ac:dyDescent="0.25">
      <c r="B164" s="26" t="s">
        <v>5</v>
      </c>
      <c r="C164" s="26" t="s">
        <v>105</v>
      </c>
      <c r="D164" s="26" t="s">
        <v>6</v>
      </c>
      <c r="E164" s="26" t="s">
        <v>7</v>
      </c>
      <c r="F164" s="63" t="s">
        <v>8</v>
      </c>
      <c r="G164" s="64"/>
      <c r="H164" s="28"/>
    </row>
    <row r="165" spans="1:11" x14ac:dyDescent="0.25">
      <c r="A165" s="29"/>
      <c r="B165" s="30" t="str">
        <f>INDEX(Stocks!A:B,MATCH(I165,Stocks!A:A,),2)</f>
        <v>Geely Motor</v>
      </c>
      <c r="C165" s="30" t="s">
        <v>61</v>
      </c>
      <c r="D165" s="1">
        <f>SUMIF(Download!B:B,J165,Download!G:G)</f>
        <v>0</v>
      </c>
      <c r="E165" s="31">
        <f>SUMIF(Download!B:B,J165,Download!H:H)</f>
        <v>0</v>
      </c>
      <c r="F165" s="40" t="str">
        <f t="shared" ref="F165:F176" si="40">IF(RIGHT(I165,2)="JP","JPY",RIGHT(I165,2)&amp;"D")</f>
        <v>HKD</v>
      </c>
      <c r="G165" s="8">
        <f t="shared" ref="G165:G176" si="41">D165*E165</f>
        <v>0</v>
      </c>
      <c r="H165" t="s">
        <v>25</v>
      </c>
      <c r="I165" t="str">
        <f t="shared" ref="I165:I176" si="42">C165</f>
        <v>175:HK</v>
      </c>
      <c r="J165" t="str">
        <f t="shared" ref="J165:J176" si="43">H165&amp;I165</f>
        <v>SC175:HK</v>
      </c>
    </row>
    <row r="166" spans="1:11" x14ac:dyDescent="0.25">
      <c r="A166" s="29"/>
      <c r="B166" s="30" t="str">
        <f>INDEX(Stocks!A:B,MATCH(I166,Stocks!A:A,),2)</f>
        <v>HK Exchange</v>
      </c>
      <c r="C166" s="30" t="s">
        <v>57</v>
      </c>
      <c r="D166" s="1">
        <f>SUMIF(Download!B:B,J166,Download!G:G)</f>
        <v>0</v>
      </c>
      <c r="E166" s="31">
        <f>SUMIF(Download!B:B,J166,Download!H:H)</f>
        <v>0</v>
      </c>
      <c r="F166" s="40" t="str">
        <f t="shared" si="40"/>
        <v>HKD</v>
      </c>
      <c r="G166" s="8">
        <f t="shared" si="41"/>
        <v>0</v>
      </c>
      <c r="H166" t="s">
        <v>25</v>
      </c>
      <c r="I166" t="str">
        <f t="shared" si="42"/>
        <v>388:HK</v>
      </c>
      <c r="J166" t="str">
        <f t="shared" si="43"/>
        <v>SC388:HK</v>
      </c>
    </row>
    <row r="167" spans="1:11" x14ac:dyDescent="0.25">
      <c r="A167" s="29"/>
      <c r="B167" s="30" t="str">
        <f>INDEX(Stocks!A:B,MATCH(I167,Stocks!A:A,),2)</f>
        <v>Tencent</v>
      </c>
      <c r="C167" s="30" t="s">
        <v>52</v>
      </c>
      <c r="D167" s="1">
        <f>SUMIF(Download!B:B,J167,Download!G:G)</f>
        <v>0</v>
      </c>
      <c r="E167" s="31">
        <f>SUMIF(Download!B:B,J167,Download!H:H)</f>
        <v>0</v>
      </c>
      <c r="F167" s="40" t="str">
        <f t="shared" si="40"/>
        <v>HKD</v>
      </c>
      <c r="G167" s="8">
        <f t="shared" si="41"/>
        <v>0</v>
      </c>
      <c r="H167" t="s">
        <v>25</v>
      </c>
      <c r="I167" t="str">
        <f t="shared" si="42"/>
        <v>700:HK</v>
      </c>
      <c r="J167" t="str">
        <f t="shared" si="43"/>
        <v>SC700:HK</v>
      </c>
    </row>
    <row r="168" spans="1:11" x14ac:dyDescent="0.25">
      <c r="A168" s="29"/>
      <c r="B168" s="30" t="str">
        <f>INDEX(Stocks!A:B,MATCH(I168,Stocks!A:A,),2)</f>
        <v>Semiconductor Mfg</v>
      </c>
      <c r="C168" s="30" t="s">
        <v>82</v>
      </c>
      <c r="D168" s="1">
        <f>SUMIF(Download!B:B,J168,Download!G:G)</f>
        <v>0</v>
      </c>
      <c r="E168" s="31">
        <f>SUMIF(Download!B:B,J168,Download!H:H)</f>
        <v>0</v>
      </c>
      <c r="F168" s="40" t="str">
        <f t="shared" si="40"/>
        <v>HKD</v>
      </c>
      <c r="G168" s="8">
        <f t="shared" si="41"/>
        <v>0</v>
      </c>
      <c r="H168" t="s">
        <v>25</v>
      </c>
      <c r="I168" t="str">
        <f t="shared" si="42"/>
        <v>981:HK</v>
      </c>
      <c r="J168" t="str">
        <f t="shared" si="43"/>
        <v>SC981:HK</v>
      </c>
    </row>
    <row r="169" spans="1:11" x14ac:dyDescent="0.25">
      <c r="A169" s="29"/>
      <c r="B169" s="30" t="str">
        <f>INDEX(Stocks!A:B,MATCH(I169,Stocks!A:A,),2)</f>
        <v>Kuaishou Tech</v>
      </c>
      <c r="C169" s="30" t="s">
        <v>53</v>
      </c>
      <c r="D169" s="1">
        <f>SUMIF(Download!B:B,J169,Download!G:G)</f>
        <v>0</v>
      </c>
      <c r="E169" s="31">
        <f>SUMIF(Download!B:B,J169,Download!H:H)</f>
        <v>0</v>
      </c>
      <c r="F169" s="40" t="str">
        <f t="shared" si="40"/>
        <v>HKD</v>
      </c>
      <c r="G169" s="8">
        <f t="shared" si="41"/>
        <v>0</v>
      </c>
      <c r="H169" t="s">
        <v>25</v>
      </c>
      <c r="I169" t="str">
        <f t="shared" si="42"/>
        <v>1024:HK</v>
      </c>
      <c r="J169" t="str">
        <f t="shared" si="43"/>
        <v>SC1024:HK</v>
      </c>
    </row>
    <row r="170" spans="1:11" x14ac:dyDescent="0.25">
      <c r="A170" s="29"/>
      <c r="B170" s="30" t="str">
        <f>INDEX(Stocks!A:B,MATCH(I170,Stocks!A:A,),2)</f>
        <v>Agricultural Bank of China</v>
      </c>
      <c r="C170" s="30" t="s">
        <v>9</v>
      </c>
      <c r="D170" s="1">
        <f>SUMIF(Download!B:B,J170,Download!G:G)</f>
        <v>0</v>
      </c>
      <c r="E170" s="31">
        <f>SUMIF(Download!B:B,J170,Download!H:H)</f>
        <v>0</v>
      </c>
      <c r="F170" s="40" t="str">
        <f t="shared" si="40"/>
        <v>HKD</v>
      </c>
      <c r="G170" s="8">
        <f t="shared" si="41"/>
        <v>0</v>
      </c>
      <c r="H170" t="s">
        <v>25</v>
      </c>
      <c r="I170" t="str">
        <f t="shared" si="42"/>
        <v>1288:HK</v>
      </c>
      <c r="J170" t="str">
        <f t="shared" si="43"/>
        <v>SC1288:HK</v>
      </c>
    </row>
    <row r="171" spans="1:11" x14ac:dyDescent="0.25">
      <c r="A171" s="29"/>
      <c r="B171" s="30" t="str">
        <f>INDEX(Stocks!A:B,MATCH(I171,Stocks!A:A,),2)</f>
        <v>Postal Savings Bank of China</v>
      </c>
      <c r="C171" s="30" t="s">
        <v>47</v>
      </c>
      <c r="D171" s="1">
        <f>SUMIF(Download!B:B,J171,Download!G:G)</f>
        <v>0</v>
      </c>
      <c r="E171" s="31">
        <f>SUMIF(Download!B:B,J171,Download!H:H)</f>
        <v>0</v>
      </c>
      <c r="F171" s="40" t="str">
        <f t="shared" si="40"/>
        <v>HKD</v>
      </c>
      <c r="G171" s="8">
        <f t="shared" si="41"/>
        <v>0</v>
      </c>
      <c r="H171" t="s">
        <v>25</v>
      </c>
      <c r="I171" t="str">
        <f t="shared" si="42"/>
        <v>1658:HK</v>
      </c>
      <c r="J171" t="str">
        <f t="shared" si="43"/>
        <v>SC1658:HK</v>
      </c>
    </row>
    <row r="172" spans="1:11" x14ac:dyDescent="0.25">
      <c r="A172" s="29"/>
      <c r="B172" s="30" t="str">
        <f>INDEX(Stocks!A:B,MATCH(I172,Stocks!A:A,),2)</f>
        <v>Xiaomi Corp</v>
      </c>
      <c r="C172" s="30" t="s">
        <v>55</v>
      </c>
      <c r="D172" s="1">
        <f>SUMIF(Download!B:B,J172,Download!G:G)</f>
        <v>0</v>
      </c>
      <c r="E172" s="31">
        <f>SUMIF(Download!B:B,J172,Download!H:H)</f>
        <v>0</v>
      </c>
      <c r="F172" s="40" t="str">
        <f t="shared" si="40"/>
        <v>HKD</v>
      </c>
      <c r="G172" s="8">
        <f t="shared" si="41"/>
        <v>0</v>
      </c>
      <c r="H172" t="s">
        <v>25</v>
      </c>
      <c r="I172" t="str">
        <f t="shared" si="42"/>
        <v>1810:HK</v>
      </c>
      <c r="J172" t="str">
        <f t="shared" si="43"/>
        <v>SC1810:HK</v>
      </c>
    </row>
    <row r="173" spans="1:11" x14ac:dyDescent="0.25">
      <c r="A173" s="29"/>
      <c r="B173" s="30" t="str">
        <f>INDEX(Stocks!A:B,MATCH(I173,Stocks!A:A,),2)</f>
        <v>Great Wall Motor</v>
      </c>
      <c r="C173" s="30" t="s">
        <v>67</v>
      </c>
      <c r="D173" s="1">
        <f>SUMIF(Download!B:B,J173,Download!G:G)</f>
        <v>0</v>
      </c>
      <c r="E173" s="31">
        <f>SUMIF(Download!B:B,J173,Download!H:H)</f>
        <v>0</v>
      </c>
      <c r="F173" s="40" t="str">
        <f t="shared" si="40"/>
        <v>HKD</v>
      </c>
      <c r="G173" s="8">
        <f t="shared" si="41"/>
        <v>0</v>
      </c>
      <c r="H173" t="s">
        <v>25</v>
      </c>
      <c r="I173" t="str">
        <f t="shared" si="42"/>
        <v>2333:HK</v>
      </c>
      <c r="J173" t="str">
        <f t="shared" si="43"/>
        <v>SC2333:HK</v>
      </c>
    </row>
    <row r="174" spans="1:11" x14ac:dyDescent="0.25">
      <c r="A174" s="29"/>
      <c r="B174" s="30" t="str">
        <f>INDEX(Stocks!A:B,MATCH(I174,Stocks!A:A,),2)</f>
        <v>Bank of China</v>
      </c>
      <c r="C174" s="30" t="s">
        <v>37</v>
      </c>
      <c r="D174" s="1">
        <f>SUMIF(Download!B:B,J174,Download!G:G)</f>
        <v>0</v>
      </c>
      <c r="E174" s="31">
        <f>SUMIF(Download!B:B,J174,Download!H:H)</f>
        <v>0</v>
      </c>
      <c r="F174" s="40" t="str">
        <f t="shared" si="40"/>
        <v>HKD</v>
      </c>
      <c r="G174" s="8">
        <f t="shared" si="41"/>
        <v>0</v>
      </c>
      <c r="H174" t="s">
        <v>25</v>
      </c>
      <c r="I174" t="str">
        <f t="shared" si="42"/>
        <v>3988:HK</v>
      </c>
      <c r="J174" t="str">
        <f t="shared" si="43"/>
        <v>SC3988:HK</v>
      </c>
    </row>
    <row r="175" spans="1:11" x14ac:dyDescent="0.25">
      <c r="A175" s="29"/>
      <c r="B175" s="30" t="str">
        <f>INDEX(Stocks!A:B,MATCH(I175,Stocks!A:A,),2)</f>
        <v>JD com</v>
      </c>
      <c r="C175" s="30" t="s">
        <v>106</v>
      </c>
      <c r="D175" s="1">
        <f>SUMIF(Download!B:B,J175,Download!G:G)</f>
        <v>0</v>
      </c>
      <c r="E175" s="31">
        <f>SUMIF(Download!B:B,J175,Download!H:H)</f>
        <v>0</v>
      </c>
      <c r="F175" s="40" t="str">
        <f t="shared" si="40"/>
        <v>HKD</v>
      </c>
      <c r="G175" s="8">
        <f t="shared" si="41"/>
        <v>0</v>
      </c>
      <c r="H175" t="s">
        <v>25</v>
      </c>
      <c r="I175" t="str">
        <f t="shared" si="42"/>
        <v>9618:HK</v>
      </c>
      <c r="J175" t="str">
        <f t="shared" si="43"/>
        <v>SC9618:HK</v>
      </c>
    </row>
    <row r="176" spans="1:11" x14ac:dyDescent="0.25">
      <c r="A176" s="29"/>
      <c r="B176" s="30" t="str">
        <f>INDEX(Stocks!A:B,MATCH(I176,Stocks!A:A,),2)</f>
        <v>Alibaba</v>
      </c>
      <c r="C176" s="30" t="s">
        <v>58</v>
      </c>
      <c r="D176" s="1">
        <f>SUMIF(Download!B:B,J176,Download!G:G)</f>
        <v>0</v>
      </c>
      <c r="E176" s="31">
        <f>SUMIF(Download!B:B,J176,Download!H:H)</f>
        <v>0</v>
      </c>
      <c r="F176" s="40" t="str">
        <f t="shared" si="40"/>
        <v>HKD</v>
      </c>
      <c r="G176" s="8">
        <f t="shared" si="41"/>
        <v>0</v>
      </c>
      <c r="H176" t="s">
        <v>25</v>
      </c>
      <c r="I176" t="str">
        <f t="shared" si="42"/>
        <v>9988:HK</v>
      </c>
      <c r="J176" t="str">
        <f t="shared" si="43"/>
        <v>SC9988:HK</v>
      </c>
    </row>
    <row r="177" spans="1:11" x14ac:dyDescent="0.25">
      <c r="A177" s="29"/>
      <c r="B177" s="32"/>
      <c r="C177" s="32"/>
      <c r="D177" s="15">
        <f>SUBTOTAL(9,D164:D176)</f>
        <v>0</v>
      </c>
      <c r="E177" s="33"/>
      <c r="F177" s="33"/>
      <c r="G177" s="12"/>
    </row>
    <row r="178" spans="1:11" x14ac:dyDescent="0.25">
      <c r="D178" s="36"/>
    </row>
    <row r="179" spans="1:11" ht="18.75" customHeight="1" x14ac:dyDescent="0.3">
      <c r="A179" s="17" t="s">
        <v>26</v>
      </c>
      <c r="B179" s="17"/>
      <c r="C179" s="17"/>
      <c r="K179" s="23"/>
    </row>
    <row r="180" spans="1:11" x14ac:dyDescent="0.25">
      <c r="B180" s="26" t="s">
        <v>5</v>
      </c>
      <c r="C180" s="26" t="s">
        <v>105</v>
      </c>
      <c r="D180" s="26" t="s">
        <v>6</v>
      </c>
      <c r="E180" s="26" t="s">
        <v>7</v>
      </c>
      <c r="F180" s="63" t="s">
        <v>8</v>
      </c>
      <c r="G180" s="64"/>
      <c r="H180" s="28"/>
    </row>
    <row r="181" spans="1:11" x14ac:dyDescent="0.25">
      <c r="A181" s="29"/>
      <c r="B181" s="30" t="str">
        <f>INDEX(Stocks!A:B,MATCH(I181,Stocks!A:A,),2)</f>
        <v>HSBC</v>
      </c>
      <c r="C181" s="30" t="s">
        <v>44</v>
      </c>
      <c r="D181" s="1">
        <f>SUMIF(Download!B:B,J181,Download!G:G)</f>
        <v>0</v>
      </c>
      <c r="E181" s="31">
        <f>SUMIF(Download!B:B,J181,Download!H:H)</f>
        <v>0</v>
      </c>
      <c r="F181" s="40" t="str">
        <f t="shared" ref="F181:F198" si="44">IF(RIGHT(I181,2)="JP","JPY",RIGHT(I181,2)&amp;"D")</f>
        <v>HKD</v>
      </c>
      <c r="G181" s="8">
        <f t="shared" ref="G181:G198" si="45">D181*E181</f>
        <v>0</v>
      </c>
      <c r="H181" t="s">
        <v>27</v>
      </c>
      <c r="I181" t="str">
        <f t="shared" ref="I181:I198" si="46">C181</f>
        <v>5:HK</v>
      </c>
      <c r="J181" t="str">
        <f t="shared" ref="J181:J198" si="47">H181&amp;I181</f>
        <v>SHK5:HK</v>
      </c>
    </row>
    <row r="182" spans="1:11" x14ac:dyDescent="0.25">
      <c r="A182" s="29"/>
      <c r="B182" s="30" t="str">
        <f>INDEX(Stocks!A:B,MATCH(I182,Stocks!A:A,),2)</f>
        <v>Geely Motor</v>
      </c>
      <c r="C182" s="30" t="s">
        <v>61</v>
      </c>
      <c r="D182" s="1">
        <f>SUMIF(Download!B:B,J182,Download!G:G)</f>
        <v>0</v>
      </c>
      <c r="E182" s="31">
        <f>SUMIF(Download!B:B,J182,Download!H:H)</f>
        <v>0</v>
      </c>
      <c r="F182" s="40" t="str">
        <f t="shared" si="44"/>
        <v>HKD</v>
      </c>
      <c r="G182" s="8">
        <f t="shared" si="45"/>
        <v>0</v>
      </c>
      <c r="H182" t="s">
        <v>27</v>
      </c>
      <c r="I182" t="str">
        <f t="shared" si="46"/>
        <v>175:HK</v>
      </c>
      <c r="J182" t="str">
        <f t="shared" si="47"/>
        <v>SHK175:HK</v>
      </c>
    </row>
    <row r="183" spans="1:11" x14ac:dyDescent="0.25">
      <c r="A183" s="29"/>
      <c r="B183" s="30" t="str">
        <f>INDEX(Stocks!A:B,MATCH(I183,Stocks!A:A,),2)</f>
        <v>Cathay Pacific</v>
      </c>
      <c r="C183" s="30" t="s">
        <v>91</v>
      </c>
      <c r="D183" s="1">
        <f>SUMIF(Download!B:B,J183,Download!G:G)</f>
        <v>0</v>
      </c>
      <c r="E183" s="31">
        <f>SUMIF(Download!B:B,J183,Download!H:H)</f>
        <v>0</v>
      </c>
      <c r="F183" s="40" t="str">
        <f t="shared" si="44"/>
        <v>HKD</v>
      </c>
      <c r="G183" s="8">
        <f t="shared" si="45"/>
        <v>0</v>
      </c>
      <c r="H183" t="s">
        <v>27</v>
      </c>
      <c r="I183" t="str">
        <f t="shared" si="46"/>
        <v>293:HK</v>
      </c>
      <c r="J183" t="str">
        <f t="shared" si="47"/>
        <v>SHK293:HK</v>
      </c>
    </row>
    <row r="184" spans="1:11" x14ac:dyDescent="0.25">
      <c r="A184" s="29"/>
      <c r="B184" s="30" t="str">
        <f>INDEX(Stocks!A:B,MATCH(I184,Stocks!A:A,),2)</f>
        <v>Beijing Water</v>
      </c>
      <c r="C184" s="30" t="s">
        <v>89</v>
      </c>
      <c r="D184" s="1">
        <f>SUMIF(Download!B:B,J184,Download!G:G)</f>
        <v>0</v>
      </c>
      <c r="E184" s="31">
        <f>SUMIF(Download!B:B,J184,Download!H:H)</f>
        <v>0</v>
      </c>
      <c r="F184" s="40" t="str">
        <f t="shared" si="44"/>
        <v>HKD</v>
      </c>
      <c r="G184" s="8">
        <f t="shared" si="45"/>
        <v>0</v>
      </c>
      <c r="H184" t="s">
        <v>27</v>
      </c>
      <c r="I184" t="str">
        <f t="shared" si="46"/>
        <v>371:HK</v>
      </c>
      <c r="J184" t="str">
        <f t="shared" si="47"/>
        <v>SHK371:HK</v>
      </c>
    </row>
    <row r="185" spans="1:11" x14ac:dyDescent="0.25">
      <c r="A185" s="29"/>
      <c r="B185" s="30" t="str">
        <f>INDEX(Stocks!A:B,MATCH(I185,Stocks!A:A,),2)</f>
        <v>HK Exchange</v>
      </c>
      <c r="C185" s="30" t="s">
        <v>57</v>
      </c>
      <c r="D185" s="1">
        <f>SUMIF(Download!B:B,J185,Download!G:G)</f>
        <v>0</v>
      </c>
      <c r="E185" s="31">
        <f>SUMIF(Download!B:B,J185,Download!H:H)</f>
        <v>0</v>
      </c>
      <c r="F185" s="40" t="str">
        <f t="shared" si="44"/>
        <v>HKD</v>
      </c>
      <c r="G185" s="8">
        <f t="shared" si="45"/>
        <v>0</v>
      </c>
      <c r="H185" t="s">
        <v>27</v>
      </c>
      <c r="I185" t="str">
        <f t="shared" si="46"/>
        <v>388:HK</v>
      </c>
      <c r="J185" t="str">
        <f t="shared" si="47"/>
        <v>SHK388:HK</v>
      </c>
    </row>
    <row r="186" spans="1:11" x14ac:dyDescent="0.25">
      <c r="A186" s="29"/>
      <c r="B186" s="30" t="str">
        <f>INDEX(Stocks!A:B,MATCH(I186,Stocks!A:A,),2)</f>
        <v>Tencent</v>
      </c>
      <c r="C186" s="30" t="s">
        <v>52</v>
      </c>
      <c r="D186" s="1">
        <f>SUMIF(Download!B:B,J186,Download!G:G)</f>
        <v>0</v>
      </c>
      <c r="E186" s="31">
        <f>SUMIF(Download!B:B,J186,Download!H:H)</f>
        <v>0</v>
      </c>
      <c r="F186" s="40" t="str">
        <f t="shared" si="44"/>
        <v>HKD</v>
      </c>
      <c r="G186" s="8">
        <f t="shared" si="45"/>
        <v>0</v>
      </c>
      <c r="H186" t="s">
        <v>27</v>
      </c>
      <c r="I186" t="str">
        <f t="shared" si="46"/>
        <v>700:HK</v>
      </c>
      <c r="J186" t="str">
        <f t="shared" si="47"/>
        <v>SHK700:HK</v>
      </c>
    </row>
    <row r="187" spans="1:11" x14ac:dyDescent="0.25">
      <c r="A187" s="29"/>
      <c r="B187" s="30" t="str">
        <f>INDEX(Stocks!A:B,MATCH(I187,Stocks!A:A,),2)</f>
        <v>Semiconductor Mfg</v>
      </c>
      <c r="C187" s="30" t="s">
        <v>82</v>
      </c>
      <c r="D187" s="1">
        <f>SUMIF(Download!B:B,J187,Download!G:G)</f>
        <v>0</v>
      </c>
      <c r="E187" s="31">
        <f>SUMIF(Download!B:B,J187,Download!H:H)</f>
        <v>0</v>
      </c>
      <c r="F187" s="40" t="str">
        <f t="shared" si="44"/>
        <v>HKD</v>
      </c>
      <c r="G187" s="8">
        <f t="shared" si="45"/>
        <v>0</v>
      </c>
      <c r="H187" t="s">
        <v>27</v>
      </c>
      <c r="I187" t="str">
        <f t="shared" si="46"/>
        <v>981:HK</v>
      </c>
      <c r="J187" t="str">
        <f t="shared" si="47"/>
        <v>SHK981:HK</v>
      </c>
    </row>
    <row r="188" spans="1:11" x14ac:dyDescent="0.25">
      <c r="A188" s="29"/>
      <c r="B188" s="30" t="str">
        <f>INDEX(Stocks!A:B,MATCH(I188,Stocks!A:A,),2)</f>
        <v>Kuaishou Tech</v>
      </c>
      <c r="C188" s="30" t="s">
        <v>53</v>
      </c>
      <c r="D188" s="1">
        <f>SUMIF(Download!B:B,J188,Download!G:G)</f>
        <v>0</v>
      </c>
      <c r="E188" s="31">
        <f>SUMIF(Download!B:B,J188,Download!H:H)</f>
        <v>0</v>
      </c>
      <c r="F188" s="40" t="str">
        <f t="shared" ref="F188" si="48">IF(RIGHT(I188,2)="JP","JPY",RIGHT(I188,2)&amp;"D")</f>
        <v>HKD</v>
      </c>
      <c r="G188" s="8">
        <f t="shared" ref="G188" si="49">D188*E188</f>
        <v>0</v>
      </c>
      <c r="H188" t="s">
        <v>27</v>
      </c>
      <c r="I188" t="str">
        <f t="shared" ref="I188" si="50">C188</f>
        <v>1024:HK</v>
      </c>
      <c r="J188" t="str">
        <f t="shared" ref="J188" si="51">H188&amp;I188</f>
        <v>SHK1024:HK</v>
      </c>
    </row>
    <row r="189" spans="1:11" x14ac:dyDescent="0.25">
      <c r="A189" s="29"/>
      <c r="B189" s="30" t="str">
        <f>INDEX(Stocks!A:B,MATCH(I189,Stocks!A:A,),2)</f>
        <v>Agricultural Bank of China</v>
      </c>
      <c r="C189" s="30" t="s">
        <v>9</v>
      </c>
      <c r="D189" s="1">
        <f>SUMIF(Download!B:B,J189,Download!G:G)</f>
        <v>0</v>
      </c>
      <c r="E189" s="31">
        <f>SUMIF(Download!B:B,J189,Download!H:H)</f>
        <v>0</v>
      </c>
      <c r="F189" s="40" t="str">
        <f t="shared" si="44"/>
        <v>HKD</v>
      </c>
      <c r="G189" s="8">
        <f t="shared" si="45"/>
        <v>0</v>
      </c>
      <c r="H189" t="s">
        <v>27</v>
      </c>
      <c r="I189" t="str">
        <f t="shared" si="46"/>
        <v>1288:HK</v>
      </c>
      <c r="J189" t="str">
        <f t="shared" si="47"/>
        <v>SHK1288:HK</v>
      </c>
    </row>
    <row r="190" spans="1:11" x14ac:dyDescent="0.25">
      <c r="A190" s="29"/>
      <c r="B190" s="30" t="str">
        <f>INDEX(Stocks!A:B,MATCH(I190,Stocks!A:A,),2)</f>
        <v>Xiaomi Corp</v>
      </c>
      <c r="C190" s="30" t="s">
        <v>55</v>
      </c>
      <c r="D190" s="1">
        <f>SUMIF(Download!B:B,J190,Download!G:G)</f>
        <v>0</v>
      </c>
      <c r="E190" s="31">
        <f>SUMIF(Download!B:B,J190,Download!H:H)</f>
        <v>0</v>
      </c>
      <c r="F190" s="40" t="str">
        <f t="shared" si="44"/>
        <v>HKD</v>
      </c>
      <c r="G190" s="8">
        <f t="shared" si="45"/>
        <v>0</v>
      </c>
      <c r="H190" t="s">
        <v>27</v>
      </c>
      <c r="I190" t="str">
        <f t="shared" si="46"/>
        <v>1810:HK</v>
      </c>
      <c r="J190" t="str">
        <f t="shared" si="47"/>
        <v>SHK1810:HK</v>
      </c>
    </row>
    <row r="191" spans="1:11" x14ac:dyDescent="0.25">
      <c r="A191" s="29"/>
      <c r="B191" s="30" t="str">
        <f>INDEX(Stocks!A:B,MATCH(I191,Stocks!A:A,),2)</f>
        <v>Shanghai Fosun</v>
      </c>
      <c r="C191" s="30" t="s">
        <v>95</v>
      </c>
      <c r="D191" s="1">
        <f>SUMIF(Download!B:B,J191,Download!G:G)</f>
        <v>0</v>
      </c>
      <c r="E191" s="31">
        <f>SUMIF(Download!B:B,J191,Download!H:H)</f>
        <v>0</v>
      </c>
      <c r="F191" s="40" t="str">
        <f t="shared" si="44"/>
        <v>HKD</v>
      </c>
      <c r="G191" s="8">
        <f t="shared" si="45"/>
        <v>0</v>
      </c>
      <c r="H191" t="s">
        <v>27</v>
      </c>
      <c r="I191" t="str">
        <f t="shared" si="46"/>
        <v>2196:HK</v>
      </c>
      <c r="J191" t="str">
        <f t="shared" si="47"/>
        <v>SHK2196:HK</v>
      </c>
    </row>
    <row r="192" spans="1:11" x14ac:dyDescent="0.25">
      <c r="A192" s="29"/>
      <c r="B192" s="30" t="str">
        <f>INDEX(Stocks!A:B,MATCH(I192,Stocks!A:A,),2)</f>
        <v>Great Wall Motor</v>
      </c>
      <c r="C192" s="30" t="s">
        <v>67</v>
      </c>
      <c r="D192" s="1">
        <f>SUMIF(Download!B:B,J192,Download!G:G)</f>
        <v>0</v>
      </c>
      <c r="E192" s="31">
        <f>SUMIF(Download!B:B,J192,Download!H:H)</f>
        <v>0</v>
      </c>
      <c r="F192" s="40" t="str">
        <f t="shared" si="44"/>
        <v>HKD</v>
      </c>
      <c r="G192" s="8">
        <f t="shared" si="45"/>
        <v>0</v>
      </c>
      <c r="H192" t="s">
        <v>27</v>
      </c>
      <c r="I192" t="str">
        <f t="shared" si="46"/>
        <v>2333:HK</v>
      </c>
      <c r="J192" t="str">
        <f t="shared" si="47"/>
        <v>SHK2333:HK</v>
      </c>
    </row>
    <row r="193" spans="1:11" x14ac:dyDescent="0.25">
      <c r="A193" s="29"/>
      <c r="B193" s="30" t="str">
        <f>INDEX(Stocks!A:B,MATCH(I193,Stocks!A:A,),2)</f>
        <v>Meituan</v>
      </c>
      <c r="C193" s="30" t="s">
        <v>169</v>
      </c>
      <c r="D193" s="1">
        <f>SUMIF(Download!B:B,J193,Download!G:G)</f>
        <v>0</v>
      </c>
      <c r="E193" s="31">
        <f>SUMIF(Download!B:B,J193,Download!H:H)</f>
        <v>0</v>
      </c>
      <c r="F193" s="40" t="str">
        <f t="shared" ref="F193" si="52">IF(RIGHT(I193,2)="JP","JPY",RIGHT(I193,2)&amp;"D")</f>
        <v>HKD</v>
      </c>
      <c r="G193" s="8">
        <f t="shared" ref="G193" si="53">D193*E193</f>
        <v>0</v>
      </c>
      <c r="H193" t="s">
        <v>27</v>
      </c>
      <c r="I193" t="str">
        <f t="shared" ref="I193" si="54">C193</f>
        <v>3690:HK</v>
      </c>
      <c r="J193" t="str">
        <f t="shared" ref="J193" si="55">H193&amp;I193</f>
        <v>SHK3690:HK</v>
      </c>
    </row>
    <row r="194" spans="1:11" x14ac:dyDescent="0.25">
      <c r="A194" s="29"/>
      <c r="B194" s="30" t="str">
        <f>INDEX(Stocks!A:B,MATCH(I194,Stocks!A:A,),2)</f>
        <v>Bank of China</v>
      </c>
      <c r="C194" s="30" t="s">
        <v>37</v>
      </c>
      <c r="D194" s="1">
        <f>SUMIF(Download!B:B,J194,Download!G:G)</f>
        <v>0</v>
      </c>
      <c r="E194" s="31">
        <f>SUMIF(Download!B:B,J194,Download!H:H)</f>
        <v>0</v>
      </c>
      <c r="F194" s="40" t="str">
        <f t="shared" si="44"/>
        <v>HKD</v>
      </c>
      <c r="G194" s="8">
        <f t="shared" si="45"/>
        <v>0</v>
      </c>
      <c r="H194" t="s">
        <v>27</v>
      </c>
      <c r="I194" t="str">
        <f t="shared" si="46"/>
        <v>3988:HK</v>
      </c>
      <c r="J194" t="str">
        <f t="shared" si="47"/>
        <v>SHK3988:HK</v>
      </c>
    </row>
    <row r="195" spans="1:11" x14ac:dyDescent="0.25">
      <c r="A195" s="29"/>
      <c r="B195" s="30" t="str">
        <f>INDEX(Stocks!A:B,MATCH(I195,Stocks!A:A,),2)</f>
        <v>China Molybdenum</v>
      </c>
      <c r="C195" s="30" t="s">
        <v>72</v>
      </c>
      <c r="D195" s="1">
        <f>SUMIF(Download!B:B,J195,Download!G:G)</f>
        <v>0</v>
      </c>
      <c r="E195" s="31">
        <f>SUMIF(Download!B:B,J195,Download!H:H)</f>
        <v>0</v>
      </c>
      <c r="F195" s="40" t="str">
        <f t="shared" si="44"/>
        <v>HKD</v>
      </c>
      <c r="G195" s="8">
        <f t="shared" si="45"/>
        <v>0</v>
      </c>
      <c r="H195" t="s">
        <v>27</v>
      </c>
      <c r="I195" t="str">
        <f t="shared" si="46"/>
        <v>3993:HK</v>
      </c>
      <c r="J195" t="str">
        <f t="shared" si="47"/>
        <v>SHK3993:HK</v>
      </c>
    </row>
    <row r="196" spans="1:11" x14ac:dyDescent="0.25">
      <c r="A196" s="29"/>
      <c r="B196" s="30" t="str">
        <f>INDEX(Stocks!A:B,MATCH(I196,Stocks!A:A,),2)</f>
        <v>Citic Securities</v>
      </c>
      <c r="C196" s="30" t="s">
        <v>84</v>
      </c>
      <c r="D196" s="1">
        <f>SUMIF(Download!B:B,J196,Download!G:G)</f>
        <v>0</v>
      </c>
      <c r="E196" s="31">
        <f>SUMIF(Download!B:B,J196,Download!H:H)</f>
        <v>0</v>
      </c>
      <c r="F196" s="40" t="str">
        <f t="shared" si="44"/>
        <v>HKD</v>
      </c>
      <c r="G196" s="8">
        <f t="shared" si="45"/>
        <v>0</v>
      </c>
      <c r="H196" t="s">
        <v>27</v>
      </c>
      <c r="I196" t="str">
        <f t="shared" si="46"/>
        <v>6030:HK</v>
      </c>
      <c r="J196" t="str">
        <f t="shared" si="47"/>
        <v>SHK6030:HK</v>
      </c>
    </row>
    <row r="197" spans="1:11" x14ac:dyDescent="0.25">
      <c r="A197" s="29"/>
      <c r="B197" s="30" t="str">
        <f>INDEX(Stocks!A:B,MATCH(I197,Stocks!A:A,),2)</f>
        <v>Baidu Inc A</v>
      </c>
      <c r="C197" s="30" t="s">
        <v>79</v>
      </c>
      <c r="D197" s="1">
        <f>SUMIF(Download!B:B,J197,Download!G:G)</f>
        <v>0</v>
      </c>
      <c r="E197" s="31">
        <f>SUMIF(Download!B:B,J197,Download!H:H)</f>
        <v>0</v>
      </c>
      <c r="F197" s="40" t="str">
        <f t="shared" ref="F197" si="56">IF(RIGHT(I197,2)="JP","JPY",RIGHT(I197,2)&amp;"D")</f>
        <v>HKD</v>
      </c>
      <c r="G197" s="8">
        <f t="shared" ref="G197" si="57">D197*E197</f>
        <v>0</v>
      </c>
      <c r="H197" t="s">
        <v>27</v>
      </c>
      <c r="I197" t="str">
        <f t="shared" ref="I197" si="58">C197</f>
        <v>9888:HK</v>
      </c>
      <c r="J197" t="str">
        <f t="shared" ref="J197" si="59">H197&amp;I197</f>
        <v>SHK9888:HK</v>
      </c>
    </row>
    <row r="198" spans="1:11" x14ac:dyDescent="0.25">
      <c r="A198" s="29"/>
      <c r="B198" s="30" t="str">
        <f>INDEX(Stocks!A:B,MATCH(I198,Stocks!A:A,),2)</f>
        <v>Alibaba</v>
      </c>
      <c r="C198" s="30" t="s">
        <v>58</v>
      </c>
      <c r="D198" s="1">
        <f>SUMIF(Download!B:B,J198,Download!G:G)</f>
        <v>0</v>
      </c>
      <c r="E198" s="31">
        <f>SUMIF(Download!B:B,J198,Download!H:H)</f>
        <v>0</v>
      </c>
      <c r="F198" s="40" t="str">
        <f t="shared" si="44"/>
        <v>HKD</v>
      </c>
      <c r="G198" s="8">
        <f t="shared" si="45"/>
        <v>0</v>
      </c>
      <c r="H198" t="s">
        <v>27</v>
      </c>
      <c r="I198" t="str">
        <f t="shared" si="46"/>
        <v>9988:HK</v>
      </c>
      <c r="J198" t="str">
        <f t="shared" si="47"/>
        <v>SHK9988:HK</v>
      </c>
    </row>
    <row r="199" spans="1:11" ht="3.75" customHeight="1" x14ac:dyDescent="0.25">
      <c r="A199" s="29"/>
      <c r="B199" s="41"/>
      <c r="C199" s="41"/>
      <c r="D199" s="6"/>
      <c r="E199" s="42"/>
      <c r="F199" s="43"/>
      <c r="G199" s="7"/>
    </row>
    <row r="200" spans="1:11" x14ac:dyDescent="0.25">
      <c r="A200" s="29"/>
      <c r="B200" s="30" t="str">
        <f>INDEX(Stocks!A:B,MATCH(I200,Stocks!A:A,),2)</f>
        <v>Coinbase</v>
      </c>
      <c r="C200" s="30" t="s">
        <v>108</v>
      </c>
      <c r="D200" s="1">
        <f>SUMIF(Download!B:B,J200,Download!G:G)</f>
        <v>0</v>
      </c>
      <c r="E200" s="31">
        <f>SUMIF(Download!B:B,J200,Download!H:H)</f>
        <v>0</v>
      </c>
      <c r="F200" s="40" t="str">
        <f>IF(RIGHT(I200,2)="JP","JPY",RIGHT(I200,2)&amp;"D")</f>
        <v>USD</v>
      </c>
      <c r="G200" s="8">
        <f>D200*E200</f>
        <v>0</v>
      </c>
      <c r="H200" t="s">
        <v>27</v>
      </c>
      <c r="I200" t="str">
        <f>C200</f>
        <v>COIN:US</v>
      </c>
      <c r="J200" t="str">
        <f>H200&amp;I200</f>
        <v>SHKCOIN:US</v>
      </c>
    </row>
    <row r="201" spans="1:11" x14ac:dyDescent="0.25">
      <c r="A201" s="29"/>
      <c r="B201" s="32"/>
      <c r="C201" s="32"/>
      <c r="D201" s="15">
        <f>SUBTOTAL(9,D180:D200)</f>
        <v>0</v>
      </c>
      <c r="E201" s="33"/>
      <c r="F201" s="33"/>
      <c r="G201" s="12"/>
    </row>
    <row r="202" spans="1:11" x14ac:dyDescent="0.25">
      <c r="D202" s="36"/>
    </row>
    <row r="203" spans="1:11" ht="18.75" customHeight="1" x14ac:dyDescent="0.3">
      <c r="A203" s="17" t="s">
        <v>28</v>
      </c>
      <c r="B203" s="17"/>
      <c r="C203" s="17"/>
      <c r="K203" s="23"/>
    </row>
    <row r="204" spans="1:11" x14ac:dyDescent="0.25">
      <c r="B204" s="26" t="s">
        <v>5</v>
      </c>
      <c r="C204" s="26" t="s">
        <v>105</v>
      </c>
      <c r="D204" s="26" t="s">
        <v>6</v>
      </c>
      <c r="E204" s="26" t="s">
        <v>7</v>
      </c>
      <c r="F204" s="63" t="s">
        <v>8</v>
      </c>
      <c r="G204" s="64"/>
      <c r="H204" s="28"/>
    </row>
    <row r="205" spans="1:11" x14ac:dyDescent="0.25">
      <c r="A205" s="29"/>
      <c r="B205" s="30" t="str">
        <f>INDEX(Stocks!A:B,MATCH(I205,Stocks!A:A,),2)</f>
        <v>HSBC</v>
      </c>
      <c r="C205" s="30" t="s">
        <v>44</v>
      </c>
      <c r="D205" s="1">
        <f>SUMIF(Download!B:B,J205,Download!G:G)</f>
        <v>0</v>
      </c>
      <c r="E205" s="31">
        <f>SUMIF(Download!B:B,J205,Download!H:H)</f>
        <v>0</v>
      </c>
      <c r="F205" s="40" t="str">
        <f t="shared" ref="F205:F219" si="60">IF(RIGHT(I205,2)="JP","JPY",RIGHT(I205,2)&amp;"D")</f>
        <v>HKD</v>
      </c>
      <c r="G205" s="8">
        <f t="shared" ref="G205:G219" si="61">D205*E205</f>
        <v>0</v>
      </c>
      <c r="H205" t="s">
        <v>29</v>
      </c>
      <c r="I205" t="str">
        <f t="shared" ref="I205:I219" si="62">C205</f>
        <v>5:HK</v>
      </c>
      <c r="J205" t="str">
        <f t="shared" ref="J205:J219" si="63">H205&amp;I205</f>
        <v>MST15:HK</v>
      </c>
    </row>
    <row r="206" spans="1:11" x14ac:dyDescent="0.25">
      <c r="A206" s="29"/>
      <c r="B206" s="30" t="str">
        <f>INDEX(Stocks!A:B,MATCH(I206,Stocks!A:A,),2)</f>
        <v>Geely Motor</v>
      </c>
      <c r="C206" s="30" t="s">
        <v>61</v>
      </c>
      <c r="D206" s="1">
        <f>SUMIF(Download!B:B,J206,Download!G:G)</f>
        <v>0</v>
      </c>
      <c r="E206" s="31">
        <f>SUMIF(Download!B:B,J206,Download!H:H)</f>
        <v>0</v>
      </c>
      <c r="F206" s="40" t="str">
        <f t="shared" si="60"/>
        <v>HKD</v>
      </c>
      <c r="G206" s="8">
        <f t="shared" si="61"/>
        <v>0</v>
      </c>
      <c r="H206" t="s">
        <v>29</v>
      </c>
      <c r="I206" t="str">
        <f t="shared" si="62"/>
        <v>175:HK</v>
      </c>
      <c r="J206" t="str">
        <f t="shared" si="63"/>
        <v>MST1175:HK</v>
      </c>
    </row>
    <row r="207" spans="1:11" x14ac:dyDescent="0.25">
      <c r="A207" s="29"/>
      <c r="B207" s="30" t="str">
        <f>INDEX(Stocks!A:B,MATCH(I207,Stocks!A:A,),2)</f>
        <v>Cathay Pacific</v>
      </c>
      <c r="C207" s="30" t="s">
        <v>91</v>
      </c>
      <c r="D207" s="1">
        <f>SUMIF(Download!B:B,J207,Download!G:G)</f>
        <v>0</v>
      </c>
      <c r="E207" s="31">
        <f>SUMIF(Download!B:B,J207,Download!H:H)</f>
        <v>0</v>
      </c>
      <c r="F207" s="40" t="str">
        <f t="shared" si="60"/>
        <v>HKD</v>
      </c>
      <c r="G207" s="8">
        <f t="shared" si="61"/>
        <v>0</v>
      </c>
      <c r="H207" t="s">
        <v>29</v>
      </c>
      <c r="I207" t="str">
        <f t="shared" si="62"/>
        <v>293:HK</v>
      </c>
      <c r="J207" t="str">
        <f t="shared" si="63"/>
        <v>MST1293:HK</v>
      </c>
    </row>
    <row r="208" spans="1:11" x14ac:dyDescent="0.25">
      <c r="A208" s="29"/>
      <c r="B208" s="30" t="str">
        <f>INDEX(Stocks!A:B,MATCH(I208,Stocks!A:A,),2)</f>
        <v>Beijing Water</v>
      </c>
      <c r="C208" s="30" t="s">
        <v>89</v>
      </c>
      <c r="D208" s="1">
        <f>SUMIF(Download!B:B,J208,Download!G:G)</f>
        <v>0</v>
      </c>
      <c r="E208" s="31">
        <f>SUMIF(Download!B:B,J208,Download!H:H)</f>
        <v>0</v>
      </c>
      <c r="F208" s="40" t="str">
        <f t="shared" si="60"/>
        <v>HKD</v>
      </c>
      <c r="G208" s="8">
        <f t="shared" si="61"/>
        <v>0</v>
      </c>
      <c r="H208" t="s">
        <v>29</v>
      </c>
      <c r="I208" t="str">
        <f t="shared" si="62"/>
        <v>371:HK</v>
      </c>
      <c r="J208" t="str">
        <f t="shared" si="63"/>
        <v>MST1371:HK</v>
      </c>
    </row>
    <row r="209" spans="1:11" x14ac:dyDescent="0.25">
      <c r="A209" s="29"/>
      <c r="B209" s="30" t="str">
        <f>INDEX(Stocks!A:B,MATCH(I209,Stocks!A:A,),2)</f>
        <v>HK Exchange</v>
      </c>
      <c r="C209" s="30" t="s">
        <v>57</v>
      </c>
      <c r="D209" s="1">
        <f>SUMIF(Download!B:B,J209,Download!G:G)</f>
        <v>0</v>
      </c>
      <c r="E209" s="31">
        <f>SUMIF(Download!B:B,J209,Download!H:H)</f>
        <v>0</v>
      </c>
      <c r="F209" s="40" t="str">
        <f t="shared" si="60"/>
        <v>HKD</v>
      </c>
      <c r="G209" s="8">
        <f t="shared" si="61"/>
        <v>0</v>
      </c>
      <c r="H209" t="s">
        <v>29</v>
      </c>
      <c r="I209" t="str">
        <f t="shared" si="62"/>
        <v>388:HK</v>
      </c>
      <c r="J209" t="str">
        <f t="shared" si="63"/>
        <v>MST1388:HK</v>
      </c>
    </row>
    <row r="210" spans="1:11" x14ac:dyDescent="0.25">
      <c r="A210" s="29"/>
      <c r="B210" s="30" t="str">
        <f>INDEX(Stocks!A:B,MATCH(I210,Stocks!A:A,),2)</f>
        <v>Tencent</v>
      </c>
      <c r="C210" s="30" t="s">
        <v>52</v>
      </c>
      <c r="D210" s="1">
        <f>SUMIF(Download!B:B,J210,Download!G:G)</f>
        <v>0</v>
      </c>
      <c r="E210" s="31">
        <f>SUMIF(Download!B:B,J210,Download!H:H)</f>
        <v>0</v>
      </c>
      <c r="F210" s="40" t="str">
        <f t="shared" si="60"/>
        <v>HKD</v>
      </c>
      <c r="G210" s="8">
        <f t="shared" si="61"/>
        <v>0</v>
      </c>
      <c r="H210" t="s">
        <v>29</v>
      </c>
      <c r="I210" t="str">
        <f t="shared" si="62"/>
        <v>700:HK</v>
      </c>
      <c r="J210" t="str">
        <f t="shared" si="63"/>
        <v>MST1700:HK</v>
      </c>
    </row>
    <row r="211" spans="1:11" x14ac:dyDescent="0.25">
      <c r="A211" s="29"/>
      <c r="B211" s="30" t="str">
        <f>INDEX(Stocks!A:B,MATCH(I211,Stocks!A:A,),2)</f>
        <v>Agricultural Bank of China</v>
      </c>
      <c r="C211" s="30" t="s">
        <v>9</v>
      </c>
      <c r="D211" s="1">
        <f>SUMIF(Download!B:B,J211,Download!G:G)</f>
        <v>0</v>
      </c>
      <c r="E211" s="31">
        <f>SUMIF(Download!B:B,J211,Download!H:H)</f>
        <v>0</v>
      </c>
      <c r="F211" s="40" t="str">
        <f t="shared" si="60"/>
        <v>HKD</v>
      </c>
      <c r="G211" s="8">
        <f t="shared" si="61"/>
        <v>0</v>
      </c>
      <c r="H211" t="s">
        <v>29</v>
      </c>
      <c r="I211" t="str">
        <f t="shared" si="62"/>
        <v>1288:HK</v>
      </c>
      <c r="J211" t="str">
        <f t="shared" si="63"/>
        <v>MST11288:HK</v>
      </c>
    </row>
    <row r="212" spans="1:11" x14ac:dyDescent="0.25">
      <c r="A212" s="29"/>
      <c r="B212" s="30" t="str">
        <f>INDEX(Stocks!A:B,MATCH(I212,Stocks!A:A,),2)</f>
        <v>Great Wall Motor</v>
      </c>
      <c r="C212" s="30" t="s">
        <v>67</v>
      </c>
      <c r="D212" s="1">
        <f>SUMIF(Download!B:B,J212,Download!G:G)</f>
        <v>0</v>
      </c>
      <c r="E212" s="31">
        <f>SUMIF(Download!B:B,J212,Download!H:H)</f>
        <v>0</v>
      </c>
      <c r="F212" s="40" t="str">
        <f t="shared" si="60"/>
        <v>HKD</v>
      </c>
      <c r="G212" s="8">
        <f t="shared" si="61"/>
        <v>0</v>
      </c>
      <c r="H212" t="s">
        <v>29</v>
      </c>
      <c r="I212" t="str">
        <f t="shared" si="62"/>
        <v>2333:HK</v>
      </c>
      <c r="J212" t="str">
        <f t="shared" si="63"/>
        <v>MST12333:HK</v>
      </c>
    </row>
    <row r="213" spans="1:11" x14ac:dyDescent="0.25">
      <c r="A213" s="29"/>
      <c r="B213" s="30" t="str">
        <f>INDEX(Stocks!A:B,MATCH(I213,Stocks!A:A,),2)</f>
        <v>Meituan</v>
      </c>
      <c r="C213" s="30" t="s">
        <v>169</v>
      </c>
      <c r="D213" s="1">
        <f>SUMIF(Download!B:B,J213,Download!G:G)</f>
        <v>0</v>
      </c>
      <c r="E213" s="31">
        <f>SUMIF(Download!B:B,J213,Download!H:H)</f>
        <v>0</v>
      </c>
      <c r="F213" s="40" t="str">
        <f t="shared" ref="F213" si="64">IF(RIGHT(I213,2)="JP","JPY",RIGHT(I213,2)&amp;"D")</f>
        <v>HKD</v>
      </c>
      <c r="G213" s="8">
        <f t="shared" ref="G213" si="65">D213*E213</f>
        <v>0</v>
      </c>
      <c r="H213" t="s">
        <v>29</v>
      </c>
      <c r="I213" t="str">
        <f t="shared" ref="I213" si="66">C213</f>
        <v>3690:HK</v>
      </c>
      <c r="J213" t="str">
        <f t="shared" ref="J213" si="67">H213&amp;I213</f>
        <v>MST13690:HK</v>
      </c>
    </row>
    <row r="214" spans="1:11" x14ac:dyDescent="0.25">
      <c r="A214" s="29"/>
      <c r="B214" s="30" t="str">
        <f>INDEX(Stocks!A:B,MATCH(I214,Stocks!A:A,),2)</f>
        <v>Bank of China</v>
      </c>
      <c r="C214" s="30" t="s">
        <v>37</v>
      </c>
      <c r="D214" s="1">
        <f>SUMIF(Download!B:B,J214,Download!G:G)</f>
        <v>0</v>
      </c>
      <c r="E214" s="31">
        <f>SUMIF(Download!B:B,J214,Download!H:H)</f>
        <v>0</v>
      </c>
      <c r="F214" s="40" t="str">
        <f t="shared" si="60"/>
        <v>HKD</v>
      </c>
      <c r="G214" s="8">
        <f t="shared" si="61"/>
        <v>0</v>
      </c>
      <c r="H214" t="s">
        <v>29</v>
      </c>
      <c r="I214" t="str">
        <f t="shared" si="62"/>
        <v>3988:HK</v>
      </c>
      <c r="J214" t="str">
        <f t="shared" si="63"/>
        <v>MST13988:HK</v>
      </c>
    </row>
    <row r="215" spans="1:11" x14ac:dyDescent="0.25">
      <c r="A215" s="29"/>
      <c r="B215" s="30" t="str">
        <f>INDEX(Stocks!A:B,MATCH(I215,Stocks!A:A,),2)</f>
        <v>China Molybdenum</v>
      </c>
      <c r="C215" s="30" t="s">
        <v>72</v>
      </c>
      <c r="D215" s="1">
        <f>SUMIF(Download!B:B,J215,Download!G:G)</f>
        <v>0</v>
      </c>
      <c r="E215" s="31">
        <f>SUMIF(Download!B:B,J215,Download!H:H)</f>
        <v>0</v>
      </c>
      <c r="F215" s="40" t="str">
        <f t="shared" si="60"/>
        <v>HKD</v>
      </c>
      <c r="G215" s="8">
        <f t="shared" si="61"/>
        <v>0</v>
      </c>
      <c r="H215" t="s">
        <v>29</v>
      </c>
      <c r="I215" t="str">
        <f t="shared" si="62"/>
        <v>3993:HK</v>
      </c>
      <c r="J215" t="str">
        <f t="shared" si="63"/>
        <v>MST13993:HK</v>
      </c>
    </row>
    <row r="216" spans="1:11" x14ac:dyDescent="0.25">
      <c r="A216" s="29"/>
      <c r="B216" s="30" t="str">
        <f>INDEX(Stocks!A:B,MATCH(I216,Stocks!A:A,),2)</f>
        <v>Citic Securities</v>
      </c>
      <c r="C216" s="30" t="s">
        <v>84</v>
      </c>
      <c r="D216" s="1">
        <f>SUMIF(Download!B:B,J216,Download!G:G)</f>
        <v>0</v>
      </c>
      <c r="E216" s="31">
        <f>SUMIF(Download!B:B,J216,Download!H:H)</f>
        <v>0</v>
      </c>
      <c r="F216" s="40" t="str">
        <f t="shared" si="60"/>
        <v>HKD</v>
      </c>
      <c r="G216" s="8">
        <f t="shared" si="61"/>
        <v>0</v>
      </c>
      <c r="H216" t="s">
        <v>29</v>
      </c>
      <c r="I216" t="str">
        <f t="shared" si="62"/>
        <v>6030:HK</v>
      </c>
      <c r="J216" t="str">
        <f t="shared" si="63"/>
        <v>MST16030:HK</v>
      </c>
    </row>
    <row r="217" spans="1:11" x14ac:dyDescent="0.25">
      <c r="A217" s="29"/>
      <c r="B217" s="30" t="str">
        <f>INDEX(Stocks!A:B,MATCH(I217,Stocks!A:A,),2)</f>
        <v>JD com</v>
      </c>
      <c r="C217" s="30" t="s">
        <v>106</v>
      </c>
      <c r="D217" s="1">
        <f>SUMIF(Download!B:B,J217,Download!G:G)</f>
        <v>0</v>
      </c>
      <c r="E217" s="31">
        <f>SUMIF(Download!B:B,J217,Download!H:H)</f>
        <v>0</v>
      </c>
      <c r="F217" s="40" t="str">
        <f t="shared" si="60"/>
        <v>HKD</v>
      </c>
      <c r="G217" s="8">
        <f t="shared" si="61"/>
        <v>0</v>
      </c>
      <c r="H217" t="s">
        <v>29</v>
      </c>
      <c r="I217" t="str">
        <f t="shared" si="62"/>
        <v>9618:HK</v>
      </c>
      <c r="J217" t="str">
        <f t="shared" si="63"/>
        <v>MST19618:HK</v>
      </c>
    </row>
    <row r="218" spans="1:11" x14ac:dyDescent="0.25">
      <c r="A218" s="29"/>
      <c r="B218" s="30" t="str">
        <f>INDEX(Stocks!A:B,MATCH(I218,Stocks!A:A,),2)</f>
        <v>Baidu Inc A</v>
      </c>
      <c r="C218" s="30" t="s">
        <v>79</v>
      </c>
      <c r="D218" s="1">
        <f>SUMIF(Download!B:B,J218,Download!G:G)</f>
        <v>0</v>
      </c>
      <c r="E218" s="31">
        <f>SUMIF(Download!B:B,J218,Download!H:H)</f>
        <v>0</v>
      </c>
      <c r="F218" s="40" t="str">
        <f t="shared" si="60"/>
        <v>HKD</v>
      </c>
      <c r="G218" s="8">
        <f t="shared" si="61"/>
        <v>0</v>
      </c>
      <c r="H218" t="s">
        <v>29</v>
      </c>
      <c r="I218" t="str">
        <f t="shared" si="62"/>
        <v>9888:HK</v>
      </c>
      <c r="J218" t="str">
        <f t="shared" si="63"/>
        <v>MST19888:HK</v>
      </c>
    </row>
    <row r="219" spans="1:11" x14ac:dyDescent="0.25">
      <c r="A219" s="29"/>
      <c r="B219" s="30" t="str">
        <f>INDEX(Stocks!A:B,MATCH(I219,Stocks!A:A,),2)</f>
        <v>Alibaba</v>
      </c>
      <c r="C219" s="30" t="s">
        <v>58</v>
      </c>
      <c r="D219" s="1">
        <f>SUMIF(Download!B:B,J219,Download!G:G)</f>
        <v>0</v>
      </c>
      <c r="E219" s="31">
        <f>SUMIF(Download!B:B,J219,Download!H:H)</f>
        <v>0</v>
      </c>
      <c r="F219" s="40" t="str">
        <f t="shared" si="60"/>
        <v>HKD</v>
      </c>
      <c r="G219" s="8">
        <f t="shared" si="61"/>
        <v>0</v>
      </c>
      <c r="H219" t="s">
        <v>29</v>
      </c>
      <c r="I219" t="str">
        <f t="shared" si="62"/>
        <v>9988:HK</v>
      </c>
      <c r="J219" t="str">
        <f t="shared" si="63"/>
        <v>MST19988:HK</v>
      </c>
    </row>
    <row r="220" spans="1:11" ht="3.75" customHeight="1" x14ac:dyDescent="0.25">
      <c r="A220" s="29"/>
      <c r="B220" s="41"/>
      <c r="C220" s="41"/>
      <c r="D220" s="6"/>
      <c r="E220" s="42"/>
      <c r="F220" s="43"/>
      <c r="G220" s="7"/>
    </row>
    <row r="221" spans="1:11" x14ac:dyDescent="0.25">
      <c r="A221" s="29"/>
      <c r="B221" s="30" t="str">
        <f>INDEX(Stocks!A:B,MATCH(I221,Stocks!A:A,),2)</f>
        <v>DBS Group</v>
      </c>
      <c r="C221" s="30" t="s">
        <v>114</v>
      </c>
      <c r="D221" s="1">
        <f>SUMIF(Download!B:B,J221,Download!G:G)</f>
        <v>0</v>
      </c>
      <c r="E221" s="31">
        <f>SUMIF(Download!B:B,J221,Download!H:H)</f>
        <v>0</v>
      </c>
      <c r="F221" s="40" t="str">
        <f>IF(RIGHT(I221,2)="JP","JPY",RIGHT(I221,2)&amp;"D")</f>
        <v>SGD</v>
      </c>
      <c r="G221" s="8">
        <f>D221*E221</f>
        <v>0</v>
      </c>
      <c r="H221" t="s">
        <v>29</v>
      </c>
      <c r="I221" t="str">
        <f>C221</f>
        <v>DBS:SG</v>
      </c>
      <c r="J221" t="str">
        <f>H221&amp;I221</f>
        <v>MST1DBS:SG</v>
      </c>
    </row>
    <row r="222" spans="1:11" x14ac:dyDescent="0.25">
      <c r="A222" s="29"/>
      <c r="B222" s="32"/>
      <c r="C222" s="32"/>
      <c r="D222" s="15">
        <f>SUBTOTAL(9,D204:D221)</f>
        <v>0</v>
      </c>
      <c r="E222" s="33"/>
      <c r="F222" s="33"/>
      <c r="G222" s="12"/>
    </row>
    <row r="223" spans="1:11" x14ac:dyDescent="0.25">
      <c r="D223" s="36"/>
    </row>
    <row r="224" spans="1:11" ht="18.75" customHeight="1" x14ac:dyDescent="0.3">
      <c r="A224" s="17" t="s">
        <v>30</v>
      </c>
      <c r="B224" s="17"/>
      <c r="C224" s="17"/>
      <c r="K224" s="23"/>
    </row>
    <row r="225" spans="1:11" x14ac:dyDescent="0.25">
      <c r="B225" s="26" t="s">
        <v>5</v>
      </c>
      <c r="C225" s="26" t="s">
        <v>105</v>
      </c>
      <c r="D225" s="26" t="s">
        <v>6</v>
      </c>
      <c r="E225" s="26" t="s">
        <v>7</v>
      </c>
      <c r="F225" s="63" t="s">
        <v>8</v>
      </c>
      <c r="G225" s="64"/>
      <c r="H225" s="28"/>
    </row>
    <row r="226" spans="1:11" x14ac:dyDescent="0.25">
      <c r="A226" s="29"/>
      <c r="B226" s="30" t="str">
        <f>INDEX(Stocks!A:B,MATCH(I226,Stocks!A:A,),2)</f>
        <v>HSBC</v>
      </c>
      <c r="C226" s="30" t="s">
        <v>44</v>
      </c>
      <c r="D226" s="1">
        <f>SUMIF(Download!B:B,J226,Download!G:G)</f>
        <v>0</v>
      </c>
      <c r="E226" s="31">
        <f>SUMIF(Download!B:B,J226,Download!H:H)</f>
        <v>0</v>
      </c>
      <c r="F226" s="40" t="str">
        <f t="shared" ref="F226:F237" si="68">IF(RIGHT(I226,2)="JP","JPY",RIGHT(I226,2)&amp;"D")</f>
        <v>HKD</v>
      </c>
      <c r="G226" s="8">
        <f t="shared" ref="G226:G237" si="69">D226*E226</f>
        <v>0</v>
      </c>
      <c r="H226" t="s">
        <v>32</v>
      </c>
      <c r="I226" t="str">
        <f t="shared" ref="I226:I237" si="70">C226</f>
        <v>5:HK</v>
      </c>
      <c r="J226" t="str">
        <f t="shared" ref="J226:J237" si="71">H226&amp;I226</f>
        <v>MST25:HK</v>
      </c>
    </row>
    <row r="227" spans="1:11" x14ac:dyDescent="0.25">
      <c r="A227" s="29"/>
      <c r="B227" s="30" t="str">
        <f>INDEX(Stocks!A:B,MATCH(I227,Stocks!A:A,),2)</f>
        <v>Geely Motor</v>
      </c>
      <c r="C227" s="30" t="s">
        <v>61</v>
      </c>
      <c r="D227" s="1">
        <f>SUMIF(Download!B:B,J227,Download!G:G)</f>
        <v>0</v>
      </c>
      <c r="E227" s="31">
        <f>SUMIF(Download!B:B,J227,Download!H:H)</f>
        <v>0</v>
      </c>
      <c r="F227" s="40" t="str">
        <f t="shared" si="68"/>
        <v>HKD</v>
      </c>
      <c r="G227" s="8">
        <f t="shared" si="69"/>
        <v>0</v>
      </c>
      <c r="H227" t="s">
        <v>32</v>
      </c>
      <c r="I227" t="str">
        <f t="shared" si="70"/>
        <v>175:HK</v>
      </c>
      <c r="J227" t="str">
        <f t="shared" si="71"/>
        <v>MST2175:HK</v>
      </c>
    </row>
    <row r="228" spans="1:11" x14ac:dyDescent="0.25">
      <c r="A228" s="29"/>
      <c r="B228" s="30" t="str">
        <f>INDEX(Stocks!A:B,MATCH(I228,Stocks!A:A,),2)</f>
        <v>Cathay Pacific</v>
      </c>
      <c r="C228" s="30" t="s">
        <v>91</v>
      </c>
      <c r="D228" s="1">
        <f>SUMIF(Download!B:B,J228,Download!G:G)</f>
        <v>0</v>
      </c>
      <c r="E228" s="31">
        <f>SUMIF(Download!B:B,J228,Download!H:H)</f>
        <v>0</v>
      </c>
      <c r="F228" s="40" t="str">
        <f t="shared" si="68"/>
        <v>HKD</v>
      </c>
      <c r="G228" s="8">
        <f t="shared" si="69"/>
        <v>0</v>
      </c>
      <c r="H228" t="s">
        <v>32</v>
      </c>
      <c r="I228" t="str">
        <f t="shared" si="70"/>
        <v>293:HK</v>
      </c>
      <c r="J228" t="str">
        <f t="shared" si="71"/>
        <v>MST2293:HK</v>
      </c>
    </row>
    <row r="229" spans="1:11" x14ac:dyDescent="0.25">
      <c r="A229" s="29"/>
      <c r="B229" s="30" t="str">
        <f>INDEX(Stocks!A:B,MATCH(I229,Stocks!A:A,),2)</f>
        <v>Beijing Water</v>
      </c>
      <c r="C229" s="30" t="s">
        <v>89</v>
      </c>
      <c r="D229" s="1">
        <f>SUMIF(Download!B:B,J229,Download!G:G)</f>
        <v>0</v>
      </c>
      <c r="E229" s="31">
        <f>SUMIF(Download!B:B,J229,Download!H:H)</f>
        <v>0</v>
      </c>
      <c r="F229" s="40" t="str">
        <f t="shared" si="68"/>
        <v>HKD</v>
      </c>
      <c r="G229" s="8">
        <f t="shared" si="69"/>
        <v>0</v>
      </c>
      <c r="H229" t="s">
        <v>32</v>
      </c>
      <c r="I229" t="str">
        <f t="shared" si="70"/>
        <v>371:HK</v>
      </c>
      <c r="J229" t="str">
        <f t="shared" si="71"/>
        <v>MST2371:HK</v>
      </c>
    </row>
    <row r="230" spans="1:11" x14ac:dyDescent="0.25">
      <c r="A230" s="29"/>
      <c r="B230" s="30" t="str">
        <f>INDEX(Stocks!A:B,MATCH(I230,Stocks!A:A,),2)</f>
        <v>HK Exchange</v>
      </c>
      <c r="C230" s="30" t="s">
        <v>57</v>
      </c>
      <c r="D230" s="1">
        <f>SUMIF(Download!B:B,J230,Download!G:G)</f>
        <v>0</v>
      </c>
      <c r="E230" s="31">
        <f>SUMIF(Download!B:B,J230,Download!H:H)</f>
        <v>0</v>
      </c>
      <c r="F230" s="40" t="str">
        <f t="shared" si="68"/>
        <v>HKD</v>
      </c>
      <c r="G230" s="8">
        <f t="shared" si="69"/>
        <v>0</v>
      </c>
      <c r="H230" t="s">
        <v>32</v>
      </c>
      <c r="I230" t="str">
        <f t="shared" si="70"/>
        <v>388:HK</v>
      </c>
      <c r="J230" t="str">
        <f t="shared" si="71"/>
        <v>MST2388:HK</v>
      </c>
    </row>
    <row r="231" spans="1:11" x14ac:dyDescent="0.25">
      <c r="A231" s="29"/>
      <c r="B231" s="30" t="str">
        <f>INDEX(Stocks!A:B,MATCH(I231,Stocks!A:A,),2)</f>
        <v>Tencent</v>
      </c>
      <c r="C231" s="30" t="s">
        <v>52</v>
      </c>
      <c r="D231" s="1">
        <f>SUMIF(Download!B:B,J231,Download!G:G)</f>
        <v>0</v>
      </c>
      <c r="E231" s="31">
        <f>SUMIF(Download!B:B,J231,Download!H:H)</f>
        <v>0</v>
      </c>
      <c r="F231" s="40" t="str">
        <f t="shared" si="68"/>
        <v>HKD</v>
      </c>
      <c r="G231" s="8">
        <f t="shared" si="69"/>
        <v>0</v>
      </c>
      <c r="H231" t="s">
        <v>32</v>
      </c>
      <c r="I231" t="str">
        <f t="shared" si="70"/>
        <v>700:HK</v>
      </c>
      <c r="J231" t="str">
        <f t="shared" si="71"/>
        <v>MST2700:HK</v>
      </c>
    </row>
    <row r="232" spans="1:11" x14ac:dyDescent="0.25">
      <c r="A232" s="29"/>
      <c r="B232" s="30" t="str">
        <f>INDEX(Stocks!A:B,MATCH(I232,Stocks!A:A,),2)</f>
        <v>Agricultural Bank of China</v>
      </c>
      <c r="C232" s="30" t="s">
        <v>9</v>
      </c>
      <c r="D232" s="1">
        <f>SUMIF(Download!B:B,J232,Download!G:G)</f>
        <v>0</v>
      </c>
      <c r="E232" s="31">
        <f>SUMIF(Download!B:B,J232,Download!H:H)</f>
        <v>0</v>
      </c>
      <c r="F232" s="40" t="str">
        <f t="shared" si="68"/>
        <v>HKD</v>
      </c>
      <c r="G232" s="8">
        <f t="shared" si="69"/>
        <v>0</v>
      </c>
      <c r="H232" t="s">
        <v>32</v>
      </c>
      <c r="I232" t="str">
        <f t="shared" si="70"/>
        <v>1288:HK</v>
      </c>
      <c r="J232" t="str">
        <f t="shared" si="71"/>
        <v>MST21288:HK</v>
      </c>
    </row>
    <row r="233" spans="1:11" x14ac:dyDescent="0.25">
      <c r="A233" s="29"/>
      <c r="B233" s="30" t="str">
        <f>INDEX(Stocks!A:B,MATCH(I233,Stocks!A:A,),2)</f>
        <v>AIA Group</v>
      </c>
      <c r="C233" s="30" t="s">
        <v>86</v>
      </c>
      <c r="D233" s="1">
        <f>SUMIF(Download!B:B,J233,Download!G:G)</f>
        <v>0</v>
      </c>
      <c r="E233" s="31">
        <f>SUMIF(Download!B:B,J233,Download!H:H)</f>
        <v>0</v>
      </c>
      <c r="F233" s="40" t="str">
        <f t="shared" si="68"/>
        <v>HKD</v>
      </c>
      <c r="G233" s="8">
        <f t="shared" si="69"/>
        <v>0</v>
      </c>
      <c r="H233" t="s">
        <v>32</v>
      </c>
      <c r="I233" t="str">
        <f t="shared" si="70"/>
        <v>1299:HK</v>
      </c>
      <c r="J233" t="str">
        <f t="shared" si="71"/>
        <v>MST21299:HK</v>
      </c>
    </row>
    <row r="234" spans="1:11" x14ac:dyDescent="0.25">
      <c r="A234" s="29"/>
      <c r="B234" s="30" t="str">
        <f>INDEX(Stocks!A:B,MATCH(I234,Stocks!A:A,),2)</f>
        <v>Great Wall Motor</v>
      </c>
      <c r="C234" s="30" t="s">
        <v>67</v>
      </c>
      <c r="D234" s="1">
        <f>SUMIF(Download!B:B,J234,Download!G:G)</f>
        <v>0</v>
      </c>
      <c r="E234" s="31">
        <f>SUMIF(Download!B:B,J234,Download!H:H)</f>
        <v>0</v>
      </c>
      <c r="F234" s="40" t="str">
        <f t="shared" si="68"/>
        <v>HKD</v>
      </c>
      <c r="G234" s="8">
        <f t="shared" si="69"/>
        <v>0</v>
      </c>
      <c r="H234" t="s">
        <v>32</v>
      </c>
      <c r="I234" t="str">
        <f t="shared" si="70"/>
        <v>2333:HK</v>
      </c>
      <c r="J234" t="str">
        <f t="shared" si="71"/>
        <v>MST22333:HK</v>
      </c>
    </row>
    <row r="235" spans="1:11" x14ac:dyDescent="0.25">
      <c r="A235" s="29"/>
      <c r="B235" s="30" t="str">
        <f>INDEX(Stocks!A:B,MATCH(I235,Stocks!A:A,),2)</f>
        <v>Bank of China</v>
      </c>
      <c r="C235" s="30" t="s">
        <v>37</v>
      </c>
      <c r="D235" s="1">
        <f>SUMIF(Download!B:B,J235,Download!G:G)</f>
        <v>0</v>
      </c>
      <c r="E235" s="31">
        <f>SUMIF(Download!B:B,J235,Download!H:H)</f>
        <v>0</v>
      </c>
      <c r="F235" s="40" t="str">
        <f t="shared" si="68"/>
        <v>HKD</v>
      </c>
      <c r="G235" s="8">
        <f t="shared" si="69"/>
        <v>0</v>
      </c>
      <c r="H235" t="s">
        <v>32</v>
      </c>
      <c r="I235" t="str">
        <f t="shared" si="70"/>
        <v>3988:HK</v>
      </c>
      <c r="J235" t="str">
        <f t="shared" si="71"/>
        <v>MST23988:HK</v>
      </c>
    </row>
    <row r="236" spans="1:11" x14ac:dyDescent="0.25">
      <c r="A236" s="29"/>
      <c r="B236" s="30" t="str">
        <f>INDEX(Stocks!A:B,MATCH(I236,Stocks!A:A,),2)</f>
        <v>China Molybdenum</v>
      </c>
      <c r="C236" s="30" t="s">
        <v>72</v>
      </c>
      <c r="D236" s="1">
        <f>SUMIF(Download!B:B,J236,Download!G:G)</f>
        <v>0</v>
      </c>
      <c r="E236" s="31">
        <f>SUMIF(Download!B:B,J236,Download!H:H)</f>
        <v>0</v>
      </c>
      <c r="F236" s="40" t="str">
        <f t="shared" si="68"/>
        <v>HKD</v>
      </c>
      <c r="G236" s="8">
        <f t="shared" si="69"/>
        <v>0</v>
      </c>
      <c r="H236" t="s">
        <v>32</v>
      </c>
      <c r="I236" t="str">
        <f t="shared" si="70"/>
        <v>3993:HK</v>
      </c>
      <c r="J236" t="str">
        <f t="shared" si="71"/>
        <v>MST23993:HK</v>
      </c>
    </row>
    <row r="237" spans="1:11" x14ac:dyDescent="0.25">
      <c r="A237" s="29"/>
      <c r="B237" s="30" t="str">
        <f>INDEX(Stocks!A:B,MATCH(I237,Stocks!A:A,),2)</f>
        <v>JD com</v>
      </c>
      <c r="C237" s="30" t="s">
        <v>106</v>
      </c>
      <c r="D237" s="1">
        <f>SUMIF(Download!B:B,J237,Download!G:G)</f>
        <v>0</v>
      </c>
      <c r="E237" s="31">
        <f>SUMIF(Download!B:B,J237,Download!H:H)</f>
        <v>0</v>
      </c>
      <c r="F237" s="40" t="str">
        <f t="shared" si="68"/>
        <v>HKD</v>
      </c>
      <c r="G237" s="8">
        <f t="shared" si="69"/>
        <v>0</v>
      </c>
      <c r="H237" t="s">
        <v>32</v>
      </c>
      <c r="I237" t="str">
        <f t="shared" si="70"/>
        <v>9618:HK</v>
      </c>
      <c r="J237" t="str">
        <f t="shared" si="71"/>
        <v>MST29618:HK</v>
      </c>
    </row>
    <row r="238" spans="1:11" x14ac:dyDescent="0.25">
      <c r="A238" s="29"/>
      <c r="B238" s="32"/>
      <c r="C238" s="32"/>
      <c r="D238" s="15">
        <f>SUBTOTAL(9,D225:D237)</f>
        <v>0</v>
      </c>
      <c r="E238" s="33"/>
      <c r="F238" s="33"/>
      <c r="G238" s="12"/>
    </row>
    <row r="239" spans="1:11" x14ac:dyDescent="0.25">
      <c r="D239" s="36"/>
    </row>
    <row r="240" spans="1:11" ht="18.75" customHeight="1" x14ac:dyDescent="0.3">
      <c r="A240" s="17" t="s">
        <v>33</v>
      </c>
      <c r="B240" s="17"/>
      <c r="C240" s="17"/>
      <c r="K240" s="23"/>
    </row>
    <row r="241" spans="1:10" x14ac:dyDescent="0.25">
      <c r="B241" s="26" t="s">
        <v>5</v>
      </c>
      <c r="C241" s="26" t="s">
        <v>105</v>
      </c>
      <c r="D241" s="26" t="s">
        <v>6</v>
      </c>
      <c r="E241" s="26" t="s">
        <v>7</v>
      </c>
      <c r="F241" s="63" t="s">
        <v>8</v>
      </c>
      <c r="G241" s="64"/>
      <c r="H241" s="28"/>
    </row>
    <row r="242" spans="1:10" x14ac:dyDescent="0.25">
      <c r="A242" s="29"/>
      <c r="B242" s="30" t="str">
        <f>INDEX(Stocks!A:B,MATCH(I242,Stocks!A:A,),2)</f>
        <v>HSBC</v>
      </c>
      <c r="C242" s="30" t="s">
        <v>44</v>
      </c>
      <c r="D242" s="1">
        <f>SUMIF(Download!B:B,J242,Download!G:G)</f>
        <v>0</v>
      </c>
      <c r="E242" s="31">
        <f>SUMIF(Download!B:B,J242,Download!H:H)</f>
        <v>0</v>
      </c>
      <c r="F242" s="40" t="str">
        <f t="shared" ref="F242:F254" si="72">IF(RIGHT(I242,2)="JP","JPY",RIGHT(I242,2)&amp;"D")</f>
        <v>HKD</v>
      </c>
      <c r="G242" s="8">
        <f t="shared" ref="G242:G254" si="73">D242*E242</f>
        <v>0</v>
      </c>
      <c r="H242" t="s">
        <v>34</v>
      </c>
      <c r="I242" t="str">
        <f t="shared" ref="I242:I254" si="74">C242</f>
        <v>5:HK</v>
      </c>
      <c r="J242" t="str">
        <f t="shared" ref="J242:J254" si="75">H242&amp;I242</f>
        <v>MSPL5:HK</v>
      </c>
    </row>
    <row r="243" spans="1:10" x14ac:dyDescent="0.25">
      <c r="A243" s="29"/>
      <c r="B243" s="30" t="str">
        <f>INDEX(Stocks!A:B,MATCH(I243,Stocks!A:A,),2)</f>
        <v>Geely Motor</v>
      </c>
      <c r="C243" s="30" t="s">
        <v>61</v>
      </c>
      <c r="D243" s="1">
        <f>SUMIF(Download!B:B,J243,Download!G:G)</f>
        <v>0</v>
      </c>
      <c r="E243" s="31">
        <f>SUMIF(Download!B:B,J243,Download!H:H)</f>
        <v>0</v>
      </c>
      <c r="F243" s="40" t="str">
        <f t="shared" si="72"/>
        <v>HKD</v>
      </c>
      <c r="G243" s="8">
        <f t="shared" si="73"/>
        <v>0</v>
      </c>
      <c r="H243" t="s">
        <v>34</v>
      </c>
      <c r="I243" t="str">
        <f t="shared" si="74"/>
        <v>175:HK</v>
      </c>
      <c r="J243" t="str">
        <f t="shared" si="75"/>
        <v>MSPL175:HK</v>
      </c>
    </row>
    <row r="244" spans="1:10" x14ac:dyDescent="0.25">
      <c r="A244" s="29"/>
      <c r="B244" s="30" t="str">
        <f>INDEX(Stocks!A:B,MATCH(I244,Stocks!A:A,),2)</f>
        <v>Cathay Pacific</v>
      </c>
      <c r="C244" s="30" t="s">
        <v>91</v>
      </c>
      <c r="D244" s="1">
        <f>SUMIF(Download!B:B,J244,Download!G:G)</f>
        <v>0</v>
      </c>
      <c r="E244" s="31">
        <f>SUMIF(Download!B:B,J244,Download!H:H)</f>
        <v>0</v>
      </c>
      <c r="F244" s="40" t="str">
        <f t="shared" si="72"/>
        <v>HKD</v>
      </c>
      <c r="G244" s="8">
        <f t="shared" si="73"/>
        <v>0</v>
      </c>
      <c r="H244" t="s">
        <v>34</v>
      </c>
      <c r="I244" t="str">
        <f t="shared" si="74"/>
        <v>293:HK</v>
      </c>
      <c r="J244" t="str">
        <f t="shared" si="75"/>
        <v>MSPL293:HK</v>
      </c>
    </row>
    <row r="245" spans="1:10" x14ac:dyDescent="0.25">
      <c r="A245" s="29"/>
      <c r="B245" s="30" t="str">
        <f>INDEX(Stocks!A:B,MATCH(I245,Stocks!A:A,),2)</f>
        <v>Beijing Water</v>
      </c>
      <c r="C245" s="30" t="s">
        <v>89</v>
      </c>
      <c r="D245" s="1">
        <f>SUMIF(Download!B:B,J245,Download!G:G)</f>
        <v>0</v>
      </c>
      <c r="E245" s="31">
        <f>SUMIF(Download!B:B,J245,Download!H:H)</f>
        <v>0</v>
      </c>
      <c r="F245" s="40" t="str">
        <f t="shared" si="72"/>
        <v>HKD</v>
      </c>
      <c r="G245" s="8">
        <f t="shared" si="73"/>
        <v>0</v>
      </c>
      <c r="H245" t="s">
        <v>34</v>
      </c>
      <c r="I245" t="str">
        <f t="shared" si="74"/>
        <v>371:HK</v>
      </c>
      <c r="J245" t="str">
        <f t="shared" si="75"/>
        <v>MSPL371:HK</v>
      </c>
    </row>
    <row r="246" spans="1:10" x14ac:dyDescent="0.25">
      <c r="A246" s="29"/>
      <c r="B246" s="30" t="str">
        <f>INDEX(Stocks!A:B,MATCH(I246,Stocks!A:A,),2)</f>
        <v>HK Exchange</v>
      </c>
      <c r="C246" s="30" t="s">
        <v>57</v>
      </c>
      <c r="D246" s="1">
        <f>SUMIF(Download!B:B,J246,Download!G:G)</f>
        <v>0</v>
      </c>
      <c r="E246" s="31">
        <f>SUMIF(Download!B:B,J246,Download!H:H)</f>
        <v>0</v>
      </c>
      <c r="F246" s="40" t="str">
        <f t="shared" si="72"/>
        <v>HKD</v>
      </c>
      <c r="G246" s="8">
        <f t="shared" si="73"/>
        <v>0</v>
      </c>
      <c r="H246" t="s">
        <v>34</v>
      </c>
      <c r="I246" t="str">
        <f t="shared" si="74"/>
        <v>388:HK</v>
      </c>
      <c r="J246" t="str">
        <f t="shared" si="75"/>
        <v>MSPL388:HK</v>
      </c>
    </row>
    <row r="247" spans="1:10" x14ac:dyDescent="0.25">
      <c r="A247" s="29"/>
      <c r="B247" s="30" t="str">
        <f>INDEX(Stocks!A:B,MATCH(I247,Stocks!A:A,),2)</f>
        <v>Tencent</v>
      </c>
      <c r="C247" s="30" t="s">
        <v>52</v>
      </c>
      <c r="D247" s="1">
        <f>SUMIF(Download!B:B,J247,Download!G:G)</f>
        <v>0</v>
      </c>
      <c r="E247" s="31">
        <f>SUMIF(Download!B:B,J247,Download!H:H)</f>
        <v>0</v>
      </c>
      <c r="F247" s="40" t="str">
        <f t="shared" si="72"/>
        <v>HKD</v>
      </c>
      <c r="G247" s="8">
        <f t="shared" si="73"/>
        <v>0</v>
      </c>
      <c r="H247" t="s">
        <v>34</v>
      </c>
      <c r="I247" t="str">
        <f t="shared" si="74"/>
        <v>700:HK</v>
      </c>
      <c r="J247" t="str">
        <f t="shared" si="75"/>
        <v>MSPL700:HK</v>
      </c>
    </row>
    <row r="248" spans="1:10" x14ac:dyDescent="0.25">
      <c r="A248" s="29"/>
      <c r="B248" s="30" t="str">
        <f>INDEX(Stocks!A:B,MATCH(I248,Stocks!A:A,),2)</f>
        <v>Sinopharm</v>
      </c>
      <c r="C248" s="30" t="s">
        <v>93</v>
      </c>
      <c r="D248" s="1">
        <f>SUMIF(Download!B:B,J248,Download!G:G)</f>
        <v>0</v>
      </c>
      <c r="E248" s="31">
        <f>SUMIF(Download!B:B,J248,Download!H:H)</f>
        <v>0</v>
      </c>
      <c r="F248" s="40" t="str">
        <f t="shared" si="72"/>
        <v>HKD</v>
      </c>
      <c r="G248" s="8">
        <f t="shared" si="73"/>
        <v>0</v>
      </c>
      <c r="H248" t="s">
        <v>34</v>
      </c>
      <c r="I248" t="str">
        <f t="shared" si="74"/>
        <v>1099:HK</v>
      </c>
      <c r="J248" t="str">
        <f t="shared" si="75"/>
        <v>MSPL1099:HK</v>
      </c>
    </row>
    <row r="249" spans="1:10" x14ac:dyDescent="0.25">
      <c r="A249" s="29"/>
      <c r="B249" s="30" t="str">
        <f>INDEX(Stocks!A:B,MATCH(I249,Stocks!A:A,),2)</f>
        <v>Agricultural Bank of China</v>
      </c>
      <c r="C249" s="30" t="s">
        <v>9</v>
      </c>
      <c r="D249" s="1">
        <f>SUMIF(Download!B:B,J249,Download!G:G)</f>
        <v>0</v>
      </c>
      <c r="E249" s="31">
        <f>SUMIF(Download!B:B,J249,Download!H:H)</f>
        <v>0</v>
      </c>
      <c r="F249" s="40" t="str">
        <f t="shared" si="72"/>
        <v>HKD</v>
      </c>
      <c r="G249" s="8">
        <f t="shared" si="73"/>
        <v>0</v>
      </c>
      <c r="H249" t="s">
        <v>34</v>
      </c>
      <c r="I249" t="str">
        <f t="shared" si="74"/>
        <v>1288:HK</v>
      </c>
      <c r="J249" t="str">
        <f t="shared" si="75"/>
        <v>MSPL1288:HK</v>
      </c>
    </row>
    <row r="250" spans="1:10" x14ac:dyDescent="0.25">
      <c r="A250" s="29"/>
      <c r="B250" s="30" t="str">
        <f>INDEX(Stocks!A:B,MATCH(I250,Stocks!A:A,),2)</f>
        <v>Great Wall Motor</v>
      </c>
      <c r="C250" s="30" t="s">
        <v>67</v>
      </c>
      <c r="D250" s="1">
        <f>SUMIF(Download!B:B,J250,Download!G:G)</f>
        <v>0</v>
      </c>
      <c r="E250" s="31">
        <f>SUMIF(Download!B:B,J250,Download!H:H)</f>
        <v>0</v>
      </c>
      <c r="F250" s="40" t="str">
        <f t="shared" si="72"/>
        <v>HKD</v>
      </c>
      <c r="G250" s="8">
        <f t="shared" si="73"/>
        <v>0</v>
      </c>
      <c r="H250" t="s">
        <v>34</v>
      </c>
      <c r="I250" t="str">
        <f t="shared" si="74"/>
        <v>2333:HK</v>
      </c>
      <c r="J250" t="str">
        <f t="shared" si="75"/>
        <v>MSPL2333:HK</v>
      </c>
    </row>
    <row r="251" spans="1:10" x14ac:dyDescent="0.25">
      <c r="A251" s="29"/>
      <c r="B251" s="30" t="str">
        <f>INDEX(Stocks!A:B,MATCH(I251,Stocks!A:A,),2)</f>
        <v>Bank of China</v>
      </c>
      <c r="C251" s="30" t="s">
        <v>37</v>
      </c>
      <c r="D251" s="1">
        <f>SUMIF(Download!B:B,J251,Download!G:G)</f>
        <v>0</v>
      </c>
      <c r="E251" s="31">
        <f>SUMIF(Download!B:B,J251,Download!H:H)</f>
        <v>0</v>
      </c>
      <c r="F251" s="40" t="str">
        <f t="shared" si="72"/>
        <v>HKD</v>
      </c>
      <c r="G251" s="8">
        <f t="shared" si="73"/>
        <v>0</v>
      </c>
      <c r="H251" t="s">
        <v>34</v>
      </c>
      <c r="I251" t="str">
        <f t="shared" si="74"/>
        <v>3988:HK</v>
      </c>
      <c r="J251" t="str">
        <f t="shared" si="75"/>
        <v>MSPL3988:HK</v>
      </c>
    </row>
    <row r="252" spans="1:10" x14ac:dyDescent="0.25">
      <c r="A252" s="29"/>
      <c r="B252" s="30" t="str">
        <f>INDEX(Stocks!A:B,MATCH(I252,Stocks!A:A,),2)</f>
        <v>China Molybdenum</v>
      </c>
      <c r="C252" s="30" t="s">
        <v>72</v>
      </c>
      <c r="D252" s="1">
        <f>SUMIF(Download!B:B,J252,Download!G:G)</f>
        <v>0</v>
      </c>
      <c r="E252" s="31">
        <f>SUMIF(Download!B:B,J252,Download!H:H)</f>
        <v>0</v>
      </c>
      <c r="F252" s="40" t="str">
        <f t="shared" si="72"/>
        <v>HKD</v>
      </c>
      <c r="G252" s="8">
        <f t="shared" si="73"/>
        <v>0</v>
      </c>
      <c r="H252" t="s">
        <v>34</v>
      </c>
      <c r="I252" t="str">
        <f t="shared" si="74"/>
        <v>3993:HK</v>
      </c>
      <c r="J252" t="str">
        <f t="shared" si="75"/>
        <v>MSPL3993:HK</v>
      </c>
    </row>
    <row r="253" spans="1:10" x14ac:dyDescent="0.25">
      <c r="A253" s="29"/>
      <c r="B253" s="30" t="str">
        <f>INDEX(Stocks!A:B,MATCH(I253,Stocks!A:A,),2)</f>
        <v>Citic Securities</v>
      </c>
      <c r="C253" s="30" t="s">
        <v>84</v>
      </c>
      <c r="D253" s="1">
        <f>SUMIF(Download!B:B,J253,Download!G:G)</f>
        <v>0</v>
      </c>
      <c r="E253" s="31">
        <f>SUMIF(Download!B:B,J253,Download!H:H)</f>
        <v>0</v>
      </c>
      <c r="F253" s="40" t="str">
        <f t="shared" si="72"/>
        <v>HKD</v>
      </c>
      <c r="G253" s="8">
        <f t="shared" si="73"/>
        <v>0</v>
      </c>
      <c r="H253" t="s">
        <v>34</v>
      </c>
      <c r="I253" t="str">
        <f t="shared" si="74"/>
        <v>6030:HK</v>
      </c>
      <c r="J253" t="str">
        <f t="shared" si="75"/>
        <v>MSPL6030:HK</v>
      </c>
    </row>
    <row r="254" spans="1:10" x14ac:dyDescent="0.25">
      <c r="A254" s="29"/>
      <c r="B254" s="30" t="str">
        <f>INDEX(Stocks!A:B,MATCH(I254,Stocks!A:A,),2)</f>
        <v>JD com</v>
      </c>
      <c r="C254" s="30" t="s">
        <v>106</v>
      </c>
      <c r="D254" s="1">
        <f>SUMIF(Download!B:B,J254,Download!G:G)</f>
        <v>0</v>
      </c>
      <c r="E254" s="31">
        <f>SUMIF(Download!B:B,J254,Download!H:H)</f>
        <v>0</v>
      </c>
      <c r="F254" s="40" t="str">
        <f t="shared" si="72"/>
        <v>HKD</v>
      </c>
      <c r="G254" s="8">
        <f t="shared" si="73"/>
        <v>0</v>
      </c>
      <c r="H254" t="s">
        <v>34</v>
      </c>
      <c r="I254" t="str">
        <f t="shared" si="74"/>
        <v>9618:HK</v>
      </c>
      <c r="J254" t="str">
        <f t="shared" si="75"/>
        <v>MSPL9618:HK</v>
      </c>
    </row>
    <row r="255" spans="1:10" ht="3.75" customHeight="1" x14ac:dyDescent="0.25">
      <c r="A255" s="29"/>
      <c r="B255" s="41"/>
      <c r="C255" s="41"/>
      <c r="D255" s="6"/>
      <c r="E255" s="42"/>
      <c r="F255" s="43"/>
      <c r="G255" s="7"/>
      <c r="J255"/>
    </row>
    <row r="256" spans="1:10" x14ac:dyDescent="0.25">
      <c r="A256" s="29"/>
      <c r="B256" s="30" t="str">
        <f>INDEX(Stocks!A:B,MATCH(I256,Stocks!A:A,),2)</f>
        <v>Rio Tinto</v>
      </c>
      <c r="C256" s="30" t="s">
        <v>117</v>
      </c>
      <c r="D256" s="1">
        <f>SUMIF(Download!B:B,J256,Download!G:G)</f>
        <v>0</v>
      </c>
      <c r="E256" s="31">
        <f>SUMIF(Download!B:B,J256,Download!H:H)</f>
        <v>0</v>
      </c>
      <c r="F256" s="40" t="str">
        <f>IF(RIGHT(I256,2)="JP","JPY",RIGHT(I256,2)&amp;"D")</f>
        <v>AUD</v>
      </c>
      <c r="G256" s="8">
        <f>D256*E256</f>
        <v>0</v>
      </c>
      <c r="H256" t="s">
        <v>34</v>
      </c>
      <c r="I256" t="str">
        <f>C256</f>
        <v>RIO:AU</v>
      </c>
      <c r="J256" t="str">
        <f>H256&amp;I256</f>
        <v>MSPLRIO:AU</v>
      </c>
    </row>
    <row r="257" spans="1:10" ht="3.75" customHeight="1" x14ac:dyDescent="0.25">
      <c r="A257" s="29"/>
      <c r="B257" s="41"/>
      <c r="C257" s="41"/>
      <c r="D257" s="6"/>
      <c r="E257" s="42"/>
      <c r="F257" s="43"/>
      <c r="G257" s="7"/>
    </row>
    <row r="258" spans="1:10" x14ac:dyDescent="0.25">
      <c r="A258" s="29"/>
      <c r="B258" s="30" t="str">
        <f>INDEX(Stocks!A:B,MATCH(I258,Stocks!A:A,),2)</f>
        <v>Nomura</v>
      </c>
      <c r="C258" s="30" t="s">
        <v>113</v>
      </c>
      <c r="D258" s="1">
        <f>SUMIF(Download!B:B,J258,Download!G:G)</f>
        <v>0</v>
      </c>
      <c r="E258" s="31">
        <f>SUMIF(Download!B:B,J258,Download!H:H)</f>
        <v>0</v>
      </c>
      <c r="F258" s="40" t="str">
        <f>IF(RIGHT(I258,2)="JP","JPY",RIGHT(I258,2)&amp;"D")</f>
        <v>JPY</v>
      </c>
      <c r="G258" s="8">
        <f>D258*E258</f>
        <v>0</v>
      </c>
      <c r="H258" t="s">
        <v>34</v>
      </c>
      <c r="I258" t="str">
        <f>C258</f>
        <v>8604:JP</v>
      </c>
      <c r="J258" t="str">
        <f>H258&amp;I258</f>
        <v>MSPL8604:JP</v>
      </c>
    </row>
    <row r="259" spans="1:10" x14ac:dyDescent="0.25">
      <c r="D259" s="15">
        <f>SUBTOTAL(9,D241:D258)</f>
        <v>0</v>
      </c>
    </row>
    <row r="261" spans="1:10" x14ac:dyDescent="0.25">
      <c r="D261" s="15">
        <f>SUBTOTAL(9,D1:D260)</f>
        <v>0</v>
      </c>
    </row>
    <row r="262" spans="1:10" x14ac:dyDescent="0.25">
      <c r="D262" s="15"/>
    </row>
    <row r="263" spans="1:10" x14ac:dyDescent="0.25">
      <c r="D263" s="15">
        <f>D261+D262</f>
        <v>0</v>
      </c>
    </row>
  </sheetData>
  <mergeCells count="12">
    <mergeCell ref="F241:G241"/>
    <mergeCell ref="F5:G5"/>
    <mergeCell ref="F27:G27"/>
    <mergeCell ref="F48:G48"/>
    <mergeCell ref="F66:G66"/>
    <mergeCell ref="F84:G84"/>
    <mergeCell ref="F115:G115"/>
    <mergeCell ref="F140:G140"/>
    <mergeCell ref="F164:G164"/>
    <mergeCell ref="F180:G180"/>
    <mergeCell ref="F204:G204"/>
    <mergeCell ref="F225:G225"/>
  </mergeCells>
  <pageMargins left="0.2" right="0.2" top="0.25" bottom="0.75" header="0.3" footer="0.3"/>
  <pageSetup paperSize="9" orientation="portrait" r:id="rId1"/>
  <rowBreaks count="3" manualBreakCount="3">
    <brk id="82" max="6" man="1"/>
    <brk id="162" max="6" man="1"/>
    <brk id="202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299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2" max="2" width="12.85546875" style="16" bestFit="1" customWidth="1"/>
    <col min="3" max="3" width="8.42578125" style="16" bestFit="1" customWidth="1"/>
    <col min="4" max="4" width="15.42578125" style="16" bestFit="1" customWidth="1"/>
    <col min="5" max="5" width="23.140625" style="16" bestFit="1" customWidth="1"/>
    <col min="7" max="8" width="11" style="16" customWidth="1"/>
    <col min="9" max="9" width="1.42578125" style="16" customWidth="1"/>
    <col min="10" max="11" width="9.140625" style="16" customWidth="1"/>
    <col min="12" max="13" width="11" style="16" customWidth="1"/>
    <col min="14" max="14" width="1.42578125" style="16" customWidth="1"/>
    <col min="15" max="18" width="9.140625" style="16" customWidth="1"/>
  </cols>
  <sheetData>
    <row r="1" spans="2:16" x14ac:dyDescent="0.25">
      <c r="F1" s="44"/>
      <c r="G1" s="16" t="str">
        <f t="shared" ref="G1:G63" si="0">IFERROR(VALUE(LEFT(D1,LEN(D1)-7)),"")</f>
        <v/>
      </c>
      <c r="J1" s="16">
        <f>SUM(J2:J1048576)</f>
        <v>0</v>
      </c>
      <c r="L1" s="65"/>
      <c r="M1" s="60"/>
      <c r="O1" s="65"/>
      <c r="P1" s="60"/>
    </row>
    <row r="2" spans="2:16" x14ac:dyDescent="0.25">
      <c r="B2"/>
      <c r="C2"/>
      <c r="D2"/>
      <c r="E2"/>
      <c r="F2" s="44"/>
      <c r="G2" s="16" t="str">
        <f t="shared" si="0"/>
        <v/>
      </c>
      <c r="H2" s="16" t="str">
        <f t="shared" ref="H2:H64" si="1">IFERROR(ROUND(VALUE(RIGHT(E2,LEN(E2)-4)),4),"")</f>
        <v/>
      </c>
      <c r="J2" s="16" t="str">
        <f>IF(B2="","",MATCH(B2,ALL!J:J,))</f>
        <v/>
      </c>
    </row>
    <row r="3" spans="2:16" x14ac:dyDescent="0.25">
      <c r="B3"/>
      <c r="C3"/>
      <c r="D3"/>
      <c r="E3"/>
      <c r="F3" s="44"/>
      <c r="G3" s="16" t="str">
        <f t="shared" si="0"/>
        <v/>
      </c>
      <c r="H3" s="16" t="str">
        <f t="shared" si="1"/>
        <v/>
      </c>
      <c r="J3" s="16" t="str">
        <f>IF(B3="","",MATCH(B3,ALL!J:J,))</f>
        <v/>
      </c>
    </row>
    <row r="4" spans="2:16" x14ac:dyDescent="0.25">
      <c r="B4"/>
      <c r="C4"/>
      <c r="D4"/>
      <c r="E4"/>
      <c r="F4" s="44"/>
      <c r="G4" s="16" t="str">
        <f t="shared" si="0"/>
        <v/>
      </c>
      <c r="H4" s="16" t="str">
        <f t="shared" si="1"/>
        <v/>
      </c>
      <c r="J4" s="16" t="str">
        <f>IF(B4="","",MATCH(B4,ALL!J:J,))</f>
        <v/>
      </c>
    </row>
    <row r="5" spans="2:16" x14ac:dyDescent="0.25">
      <c r="B5"/>
      <c r="C5"/>
      <c r="D5"/>
      <c r="E5"/>
      <c r="F5" s="44"/>
      <c r="G5" s="16" t="str">
        <f t="shared" si="0"/>
        <v/>
      </c>
      <c r="H5" s="16" t="str">
        <f t="shared" si="1"/>
        <v/>
      </c>
      <c r="J5" s="16" t="str">
        <f>IF(B5="","",MATCH(B5,ALL!J:J,))</f>
        <v/>
      </c>
    </row>
    <row r="6" spans="2:16" x14ac:dyDescent="0.25">
      <c r="B6"/>
      <c r="C6"/>
      <c r="D6"/>
      <c r="E6"/>
      <c r="F6" s="44"/>
      <c r="G6" s="16" t="str">
        <f t="shared" si="0"/>
        <v/>
      </c>
      <c r="H6" s="16" t="str">
        <f t="shared" si="1"/>
        <v/>
      </c>
      <c r="J6" s="16" t="str">
        <f>IF(B6="","",MATCH(B6,ALL!J:J,))</f>
        <v/>
      </c>
    </row>
    <row r="7" spans="2:16" x14ac:dyDescent="0.25">
      <c r="B7"/>
      <c r="C7"/>
      <c r="D7"/>
      <c r="E7"/>
      <c r="F7" s="44"/>
      <c r="G7" s="16" t="str">
        <f t="shared" si="0"/>
        <v/>
      </c>
      <c r="H7" s="16" t="str">
        <f t="shared" si="1"/>
        <v/>
      </c>
      <c r="J7" s="16" t="str">
        <f>IF(B7="","",MATCH(B7,ALL!J:J,))</f>
        <v/>
      </c>
    </row>
    <row r="8" spans="2:16" x14ac:dyDescent="0.25">
      <c r="F8" s="44"/>
      <c r="G8" s="16" t="str">
        <f t="shared" si="0"/>
        <v/>
      </c>
      <c r="H8" s="16" t="str">
        <f t="shared" si="1"/>
        <v/>
      </c>
      <c r="J8" s="16" t="str">
        <f>IF(B8="","",MATCH(B8,ALL!J:J,))</f>
        <v/>
      </c>
    </row>
    <row r="9" spans="2:16" x14ac:dyDescent="0.25">
      <c r="B9"/>
      <c r="C9"/>
      <c r="D9"/>
      <c r="E9"/>
      <c r="F9" s="44"/>
      <c r="G9" s="16" t="str">
        <f t="shared" si="0"/>
        <v/>
      </c>
      <c r="H9" s="16" t="str">
        <f t="shared" si="1"/>
        <v/>
      </c>
      <c r="J9" s="16" t="str">
        <f>IF(B9="","",MATCH(B9,ALL!J:J,))</f>
        <v/>
      </c>
    </row>
    <row r="10" spans="2:16" x14ac:dyDescent="0.25">
      <c r="B10"/>
      <c r="C10"/>
      <c r="D10"/>
      <c r="E10"/>
      <c r="F10" s="44"/>
      <c r="G10" s="16" t="str">
        <f t="shared" si="0"/>
        <v/>
      </c>
      <c r="H10" s="16" t="str">
        <f t="shared" si="1"/>
        <v/>
      </c>
      <c r="J10" s="16" t="str">
        <f>IF(B10="","",MATCH(B10,ALL!J:J,))</f>
        <v/>
      </c>
    </row>
    <row r="11" spans="2:16" x14ac:dyDescent="0.25">
      <c r="B11"/>
      <c r="C11"/>
      <c r="D11"/>
      <c r="E11"/>
      <c r="F11" s="44"/>
      <c r="G11" s="16" t="str">
        <f t="shared" si="0"/>
        <v/>
      </c>
      <c r="H11" s="16" t="str">
        <f t="shared" si="1"/>
        <v/>
      </c>
      <c r="J11" s="16" t="str">
        <f>IF(B11="","",MATCH(B11,ALL!J:J,))</f>
        <v/>
      </c>
    </row>
    <row r="12" spans="2:16" x14ac:dyDescent="0.25">
      <c r="B12"/>
      <c r="C12"/>
      <c r="D12"/>
      <c r="E12"/>
      <c r="F12" s="44"/>
      <c r="G12" s="16" t="str">
        <f t="shared" si="0"/>
        <v/>
      </c>
      <c r="H12" s="16" t="str">
        <f t="shared" si="1"/>
        <v/>
      </c>
      <c r="J12" s="16" t="str">
        <f>IF(B12="","",MATCH(B12,ALL!J:J,))</f>
        <v/>
      </c>
    </row>
    <row r="13" spans="2:16" x14ac:dyDescent="0.25">
      <c r="B13"/>
      <c r="C13"/>
      <c r="D13"/>
      <c r="E13"/>
      <c r="F13" s="44"/>
      <c r="G13" s="16" t="str">
        <f t="shared" si="0"/>
        <v/>
      </c>
      <c r="H13" s="16" t="str">
        <f t="shared" si="1"/>
        <v/>
      </c>
      <c r="J13" s="16" t="str">
        <f>IF(B13="","",MATCH(B13,ALL!J:J,))</f>
        <v/>
      </c>
    </row>
    <row r="14" spans="2:16" x14ac:dyDescent="0.25">
      <c r="B14"/>
      <c r="C14"/>
      <c r="D14"/>
      <c r="E14"/>
      <c r="F14" s="44"/>
      <c r="G14" s="16" t="str">
        <f t="shared" si="0"/>
        <v/>
      </c>
      <c r="H14" s="16" t="str">
        <f t="shared" si="1"/>
        <v/>
      </c>
      <c r="J14" s="16" t="str">
        <f>IF(B14="","",MATCH(B14,ALL!J:J,))</f>
        <v/>
      </c>
    </row>
    <row r="15" spans="2:16" x14ac:dyDescent="0.25">
      <c r="B15"/>
      <c r="C15"/>
      <c r="D15"/>
      <c r="E15"/>
      <c r="F15" s="44"/>
      <c r="G15" s="16" t="str">
        <f t="shared" si="0"/>
        <v/>
      </c>
      <c r="H15" s="16" t="str">
        <f t="shared" si="1"/>
        <v/>
      </c>
      <c r="J15" s="16" t="str">
        <f>IF(B15="","",MATCH(B15,ALL!J:J,))</f>
        <v/>
      </c>
    </row>
    <row r="16" spans="2:16" x14ac:dyDescent="0.25">
      <c r="F16" s="44"/>
      <c r="G16" s="16" t="str">
        <f t="shared" si="0"/>
        <v/>
      </c>
      <c r="H16" s="16" t="str">
        <f t="shared" si="1"/>
        <v/>
      </c>
      <c r="J16" s="16" t="str">
        <f>IF(B16="","",MATCH(B16,ALL!J:J,))</f>
        <v/>
      </c>
    </row>
    <row r="17" spans="2:10" x14ac:dyDescent="0.25">
      <c r="B17"/>
      <c r="C17"/>
      <c r="D17"/>
      <c r="E17"/>
      <c r="F17" s="44"/>
      <c r="G17" s="16" t="str">
        <f t="shared" si="0"/>
        <v/>
      </c>
      <c r="H17" s="16" t="str">
        <f t="shared" si="1"/>
        <v/>
      </c>
      <c r="J17" s="16" t="str">
        <f>IF(B17="","",MATCH(B17,ALL!J:J,))</f>
        <v/>
      </c>
    </row>
    <row r="18" spans="2:10" x14ac:dyDescent="0.25">
      <c r="B18"/>
      <c r="C18"/>
      <c r="D18"/>
      <c r="E18"/>
      <c r="F18" s="44"/>
      <c r="G18" s="16" t="str">
        <f t="shared" si="0"/>
        <v/>
      </c>
      <c r="H18" s="16" t="str">
        <f t="shared" si="1"/>
        <v/>
      </c>
      <c r="J18" s="16" t="str">
        <f>IF(B18="","",MATCH(B18,ALL!J:J,))</f>
        <v/>
      </c>
    </row>
    <row r="19" spans="2:10" x14ac:dyDescent="0.25">
      <c r="B19"/>
      <c r="C19"/>
      <c r="D19"/>
      <c r="E19"/>
      <c r="F19" s="44"/>
      <c r="G19" s="16" t="str">
        <f t="shared" si="0"/>
        <v/>
      </c>
      <c r="H19" s="16" t="str">
        <f t="shared" si="1"/>
        <v/>
      </c>
      <c r="J19" s="16" t="str">
        <f>IF(B19="","",MATCH(B19,ALL!J:J,))</f>
        <v/>
      </c>
    </row>
    <row r="20" spans="2:10" x14ac:dyDescent="0.25">
      <c r="F20" s="44"/>
      <c r="G20" s="16" t="str">
        <f t="shared" si="0"/>
        <v/>
      </c>
      <c r="H20" s="16" t="str">
        <f t="shared" si="1"/>
        <v/>
      </c>
      <c r="J20" s="16" t="str">
        <f>IF(B20="","",MATCH(B20,ALL!J:J,))</f>
        <v/>
      </c>
    </row>
    <row r="21" spans="2:10" x14ac:dyDescent="0.25">
      <c r="B21"/>
      <c r="C21"/>
      <c r="D21"/>
      <c r="E21"/>
      <c r="F21" s="44"/>
      <c r="G21" s="16" t="str">
        <f t="shared" si="0"/>
        <v/>
      </c>
      <c r="H21" s="16" t="str">
        <f t="shared" si="1"/>
        <v/>
      </c>
      <c r="J21" s="16" t="str">
        <f>IF(B21="","",MATCH(B21,ALL!J:J,))</f>
        <v/>
      </c>
    </row>
    <row r="22" spans="2:10" x14ac:dyDescent="0.25">
      <c r="B22"/>
      <c r="C22"/>
      <c r="D22"/>
      <c r="E22"/>
      <c r="F22" s="44"/>
      <c r="G22" s="16" t="str">
        <f t="shared" si="0"/>
        <v/>
      </c>
      <c r="H22" s="16" t="str">
        <f t="shared" si="1"/>
        <v/>
      </c>
      <c r="J22" s="16" t="str">
        <f>IF(B22="","",MATCH(B22,ALL!J:J,))</f>
        <v/>
      </c>
    </row>
    <row r="23" spans="2:10" x14ac:dyDescent="0.25">
      <c r="B23"/>
      <c r="C23"/>
      <c r="D23"/>
      <c r="E23"/>
      <c r="F23" s="44"/>
      <c r="G23" s="16" t="str">
        <f t="shared" si="0"/>
        <v/>
      </c>
      <c r="H23" s="16" t="str">
        <f t="shared" si="1"/>
        <v/>
      </c>
      <c r="J23" s="16" t="str">
        <f>IF(B23="","",MATCH(B23,ALL!J:J,))</f>
        <v/>
      </c>
    </row>
    <row r="24" spans="2:10" x14ac:dyDescent="0.25">
      <c r="B24"/>
      <c r="C24"/>
      <c r="D24"/>
      <c r="E24"/>
      <c r="F24" s="44"/>
      <c r="G24" s="16" t="str">
        <f t="shared" si="0"/>
        <v/>
      </c>
      <c r="H24" s="16" t="str">
        <f t="shared" si="1"/>
        <v/>
      </c>
      <c r="J24" s="16" t="str">
        <f>IF(B24="","",MATCH(B24,ALL!J:J,))</f>
        <v/>
      </c>
    </row>
    <row r="25" spans="2:10" x14ac:dyDescent="0.25">
      <c r="B25"/>
      <c r="C25"/>
      <c r="D25"/>
      <c r="E25"/>
      <c r="F25" s="44"/>
      <c r="G25" s="16" t="str">
        <f t="shared" si="0"/>
        <v/>
      </c>
      <c r="H25" s="16" t="str">
        <f t="shared" si="1"/>
        <v/>
      </c>
      <c r="J25" s="16" t="str">
        <f>IF(B25="","",MATCH(B25,ALL!J:J,))</f>
        <v/>
      </c>
    </row>
    <row r="26" spans="2:10" x14ac:dyDescent="0.25">
      <c r="B26"/>
      <c r="C26"/>
      <c r="D26"/>
      <c r="E26"/>
      <c r="F26" s="44"/>
      <c r="G26" s="16" t="str">
        <f t="shared" si="0"/>
        <v/>
      </c>
      <c r="H26" s="16" t="str">
        <f t="shared" si="1"/>
        <v/>
      </c>
      <c r="J26" s="16" t="str">
        <f>IF(B26="","",MATCH(B26,ALL!J:J,))</f>
        <v/>
      </c>
    </row>
    <row r="27" spans="2:10" x14ac:dyDescent="0.25">
      <c r="B27"/>
      <c r="C27"/>
      <c r="D27"/>
      <c r="E27"/>
      <c r="F27" s="44"/>
      <c r="G27" s="16" t="str">
        <f t="shared" si="0"/>
        <v/>
      </c>
      <c r="H27" s="16" t="str">
        <f t="shared" si="1"/>
        <v/>
      </c>
      <c r="J27" s="16" t="str">
        <f>IF(B27="","",MATCH(B27,ALL!J:J,))</f>
        <v/>
      </c>
    </row>
    <row r="28" spans="2:10" x14ac:dyDescent="0.25">
      <c r="B28"/>
      <c r="C28"/>
      <c r="D28"/>
      <c r="E28"/>
      <c r="F28" s="44"/>
      <c r="G28" s="16" t="str">
        <f t="shared" si="0"/>
        <v/>
      </c>
      <c r="H28" s="16" t="str">
        <f t="shared" si="1"/>
        <v/>
      </c>
      <c r="J28" s="16" t="str">
        <f>IF(B28="","",MATCH(B28,ALL!J:J,))</f>
        <v/>
      </c>
    </row>
    <row r="29" spans="2:10" x14ac:dyDescent="0.25">
      <c r="F29" s="44"/>
      <c r="G29" s="16" t="str">
        <f t="shared" si="0"/>
        <v/>
      </c>
      <c r="H29" s="16" t="str">
        <f t="shared" si="1"/>
        <v/>
      </c>
      <c r="J29" s="16" t="str">
        <f>IF(B29="","",MATCH(B29,ALL!J:J,))</f>
        <v/>
      </c>
    </row>
    <row r="30" spans="2:10" x14ac:dyDescent="0.25">
      <c r="B30"/>
      <c r="C30"/>
      <c r="D30"/>
      <c r="E30"/>
      <c r="F30" s="44"/>
      <c r="G30" s="16" t="str">
        <f t="shared" si="0"/>
        <v/>
      </c>
      <c r="H30" s="16" t="str">
        <f t="shared" si="1"/>
        <v/>
      </c>
      <c r="J30" s="16" t="str">
        <f>IF(B30="","",MATCH(B30,ALL!J:J,))</f>
        <v/>
      </c>
    </row>
    <row r="31" spans="2:10" x14ac:dyDescent="0.25">
      <c r="B31"/>
      <c r="C31"/>
      <c r="D31"/>
      <c r="E31"/>
      <c r="F31" s="44"/>
      <c r="G31" s="16" t="str">
        <f t="shared" si="0"/>
        <v/>
      </c>
      <c r="H31" s="16" t="str">
        <f t="shared" si="1"/>
        <v/>
      </c>
      <c r="J31" s="16" t="str">
        <f>IF(B31="","",MATCH(B31,ALL!J:J,))</f>
        <v/>
      </c>
    </row>
    <row r="32" spans="2:10" x14ac:dyDescent="0.25">
      <c r="B32"/>
      <c r="C32"/>
      <c r="D32"/>
      <c r="E32"/>
      <c r="F32" s="44"/>
      <c r="G32" s="16" t="str">
        <f t="shared" si="0"/>
        <v/>
      </c>
      <c r="H32" s="16" t="str">
        <f t="shared" si="1"/>
        <v/>
      </c>
      <c r="J32" s="16" t="str">
        <f>IF(B32="","",MATCH(B32,ALL!J:J,))</f>
        <v/>
      </c>
    </row>
    <row r="33" spans="2:10" x14ac:dyDescent="0.25">
      <c r="B33"/>
      <c r="C33"/>
      <c r="D33"/>
      <c r="E33"/>
      <c r="F33" s="44"/>
      <c r="G33" s="16" t="str">
        <f t="shared" si="0"/>
        <v/>
      </c>
      <c r="H33" s="16" t="str">
        <f t="shared" si="1"/>
        <v/>
      </c>
      <c r="J33" s="16" t="str">
        <f>IF(B33="","",MATCH(B33,ALL!J:J,))</f>
        <v/>
      </c>
    </row>
    <row r="34" spans="2:10" x14ac:dyDescent="0.25">
      <c r="B34"/>
      <c r="C34"/>
      <c r="D34"/>
      <c r="E34"/>
      <c r="F34" s="44"/>
      <c r="G34" s="16" t="str">
        <f t="shared" si="0"/>
        <v/>
      </c>
      <c r="H34" s="16" t="str">
        <f t="shared" si="1"/>
        <v/>
      </c>
      <c r="J34" s="16" t="str">
        <f>IF(B34="","",MATCH(B34,ALL!J:J,))</f>
        <v/>
      </c>
    </row>
    <row r="35" spans="2:10" x14ac:dyDescent="0.25">
      <c r="B35"/>
      <c r="C35"/>
      <c r="D35"/>
      <c r="E35"/>
      <c r="F35" s="44"/>
      <c r="G35" s="16" t="str">
        <f t="shared" si="0"/>
        <v/>
      </c>
      <c r="H35" s="16" t="str">
        <f t="shared" si="1"/>
        <v/>
      </c>
      <c r="J35" s="16" t="str">
        <f>IF(B35="","",MATCH(B35,ALL!J:J,))</f>
        <v/>
      </c>
    </row>
    <row r="36" spans="2:10" x14ac:dyDescent="0.25">
      <c r="B36"/>
      <c r="C36"/>
      <c r="D36"/>
      <c r="E36"/>
      <c r="F36" s="44"/>
      <c r="G36" s="16" t="str">
        <f t="shared" si="0"/>
        <v/>
      </c>
      <c r="H36" s="16" t="str">
        <f t="shared" si="1"/>
        <v/>
      </c>
      <c r="J36" s="16" t="str">
        <f>IF(B36="","",MATCH(B36,ALL!J:J,))</f>
        <v/>
      </c>
    </row>
    <row r="37" spans="2:10" x14ac:dyDescent="0.25">
      <c r="B37"/>
      <c r="C37"/>
      <c r="D37"/>
      <c r="E37"/>
      <c r="F37" s="44"/>
      <c r="G37" s="16" t="str">
        <f t="shared" si="0"/>
        <v/>
      </c>
      <c r="H37" s="16" t="str">
        <f t="shared" si="1"/>
        <v/>
      </c>
      <c r="J37" s="16" t="str">
        <f>IF(B37="","",MATCH(B37,ALL!J:J,))</f>
        <v/>
      </c>
    </row>
    <row r="38" spans="2:10" x14ac:dyDescent="0.25">
      <c r="B38"/>
      <c r="C38"/>
      <c r="D38"/>
      <c r="E38"/>
      <c r="F38" s="44"/>
      <c r="G38" s="16" t="str">
        <f t="shared" si="0"/>
        <v/>
      </c>
      <c r="H38" s="16" t="str">
        <f t="shared" si="1"/>
        <v/>
      </c>
      <c r="J38" s="16" t="str">
        <f>IF(B38="","",MATCH(B38,ALL!J:J,))</f>
        <v/>
      </c>
    </row>
    <row r="39" spans="2:10" x14ac:dyDescent="0.25">
      <c r="B39"/>
      <c r="C39"/>
      <c r="D39"/>
      <c r="E39"/>
      <c r="F39" s="44"/>
      <c r="G39" s="16" t="str">
        <f t="shared" si="0"/>
        <v/>
      </c>
      <c r="H39" s="16" t="str">
        <f t="shared" si="1"/>
        <v/>
      </c>
      <c r="J39" s="16" t="str">
        <f>IF(B39="","",MATCH(B39,ALL!J:J,))</f>
        <v/>
      </c>
    </row>
    <row r="40" spans="2:10" x14ac:dyDescent="0.25">
      <c r="F40" s="44"/>
      <c r="G40" s="16" t="str">
        <f t="shared" si="0"/>
        <v/>
      </c>
      <c r="H40" s="16" t="str">
        <f t="shared" si="1"/>
        <v/>
      </c>
      <c r="J40" s="16" t="str">
        <f>IF(B40="","",MATCH(B40,ALL!J:J,))</f>
        <v/>
      </c>
    </row>
    <row r="41" spans="2:10" x14ac:dyDescent="0.25">
      <c r="B41"/>
      <c r="C41"/>
      <c r="D41"/>
      <c r="E41"/>
      <c r="F41" s="44"/>
      <c r="G41" s="16" t="str">
        <f t="shared" si="0"/>
        <v/>
      </c>
      <c r="H41" s="16" t="str">
        <f t="shared" si="1"/>
        <v/>
      </c>
      <c r="J41" s="16" t="str">
        <f>IF(B41="","",MATCH(B41,ALL!J:J,))</f>
        <v/>
      </c>
    </row>
    <row r="42" spans="2:10" x14ac:dyDescent="0.25">
      <c r="B42"/>
      <c r="C42"/>
      <c r="D42"/>
      <c r="E42"/>
      <c r="F42" s="44"/>
      <c r="G42" s="16" t="str">
        <f t="shared" si="0"/>
        <v/>
      </c>
      <c r="H42" s="16" t="str">
        <f t="shared" si="1"/>
        <v/>
      </c>
      <c r="J42" s="16" t="str">
        <f>IF(B42="","",MATCH(B42,ALL!J:J,))</f>
        <v/>
      </c>
    </row>
    <row r="43" spans="2:10" x14ac:dyDescent="0.25">
      <c r="B43"/>
      <c r="C43"/>
      <c r="D43"/>
      <c r="E43"/>
      <c r="F43" s="44"/>
      <c r="G43" s="16" t="str">
        <f t="shared" si="0"/>
        <v/>
      </c>
      <c r="H43" s="16" t="str">
        <f t="shared" si="1"/>
        <v/>
      </c>
      <c r="J43" s="16" t="str">
        <f>IF(B43="","",MATCH(B43,ALL!J:J,))</f>
        <v/>
      </c>
    </row>
    <row r="44" spans="2:10" x14ac:dyDescent="0.25">
      <c r="B44"/>
      <c r="C44"/>
      <c r="D44"/>
      <c r="E44"/>
      <c r="F44" s="44"/>
      <c r="G44" s="16" t="str">
        <f t="shared" si="0"/>
        <v/>
      </c>
      <c r="H44" s="16" t="str">
        <f t="shared" si="1"/>
        <v/>
      </c>
      <c r="J44" s="16" t="str">
        <f>IF(B44="","",MATCH(B44,ALL!J:J,))</f>
        <v/>
      </c>
    </row>
    <row r="45" spans="2:10" x14ac:dyDescent="0.25">
      <c r="B45"/>
      <c r="C45"/>
      <c r="D45"/>
      <c r="E45"/>
      <c r="F45" s="44"/>
      <c r="G45" s="16" t="str">
        <f t="shared" si="0"/>
        <v/>
      </c>
      <c r="H45" s="16" t="str">
        <f t="shared" si="1"/>
        <v/>
      </c>
      <c r="J45" s="16" t="str">
        <f>IF(B45="","",MATCH(B45,ALL!J:J,))</f>
        <v/>
      </c>
    </row>
    <row r="46" spans="2:10" x14ac:dyDescent="0.25">
      <c r="B46"/>
      <c r="C46"/>
      <c r="D46"/>
      <c r="E46"/>
      <c r="F46" s="44"/>
      <c r="G46" s="16" t="str">
        <f t="shared" si="0"/>
        <v/>
      </c>
      <c r="H46" s="16" t="str">
        <f t="shared" si="1"/>
        <v/>
      </c>
      <c r="J46" s="16" t="str">
        <f>IF(B46="","",MATCH(B46,ALL!J:J,))</f>
        <v/>
      </c>
    </row>
    <row r="47" spans="2:10" x14ac:dyDescent="0.25">
      <c r="B47"/>
      <c r="C47"/>
      <c r="D47"/>
      <c r="E47"/>
      <c r="F47" s="44"/>
      <c r="G47" s="16" t="str">
        <f t="shared" si="0"/>
        <v/>
      </c>
      <c r="H47" s="16" t="str">
        <f t="shared" si="1"/>
        <v/>
      </c>
      <c r="J47" s="16" t="str">
        <f>IF(B47="","",MATCH(B47,ALL!J:J,))</f>
        <v/>
      </c>
    </row>
    <row r="48" spans="2:10" x14ac:dyDescent="0.25">
      <c r="F48" s="44"/>
      <c r="G48" s="16" t="str">
        <f t="shared" si="0"/>
        <v/>
      </c>
      <c r="H48" s="16" t="str">
        <f t="shared" si="1"/>
        <v/>
      </c>
      <c r="J48" s="16" t="str">
        <f>IF(B48="","",MATCH(B48,ALL!J:J,))</f>
        <v/>
      </c>
    </row>
    <row r="49" spans="2:10" x14ac:dyDescent="0.25">
      <c r="B49"/>
      <c r="C49"/>
      <c r="D49"/>
      <c r="E49"/>
      <c r="F49" s="44"/>
      <c r="G49" s="16" t="str">
        <f t="shared" si="0"/>
        <v/>
      </c>
      <c r="H49" s="16" t="str">
        <f t="shared" si="1"/>
        <v/>
      </c>
      <c r="J49" s="16" t="str">
        <f>IF(B49="","",MATCH(B49,ALL!J:J,))</f>
        <v/>
      </c>
    </row>
    <row r="50" spans="2:10" x14ac:dyDescent="0.25">
      <c r="B50"/>
      <c r="C50"/>
      <c r="D50"/>
      <c r="E50"/>
      <c r="F50" s="44"/>
      <c r="G50" s="16" t="str">
        <f t="shared" si="0"/>
        <v/>
      </c>
      <c r="H50" s="16" t="str">
        <f t="shared" si="1"/>
        <v/>
      </c>
      <c r="J50" s="16" t="str">
        <f>IF(B50="","",MATCH(B50,ALL!J:J,))</f>
        <v/>
      </c>
    </row>
    <row r="51" spans="2:10" x14ac:dyDescent="0.25">
      <c r="B51"/>
      <c r="C51"/>
      <c r="D51"/>
      <c r="E51"/>
      <c r="F51" s="44"/>
      <c r="G51" s="16" t="str">
        <f t="shared" si="0"/>
        <v/>
      </c>
      <c r="H51" s="16" t="str">
        <f t="shared" si="1"/>
        <v/>
      </c>
      <c r="J51" s="16" t="str">
        <f>IF(B51="","",MATCH(B51,ALL!J:J,))</f>
        <v/>
      </c>
    </row>
    <row r="52" spans="2:10" x14ac:dyDescent="0.25">
      <c r="B52"/>
      <c r="C52"/>
      <c r="D52"/>
      <c r="E52"/>
      <c r="F52" s="44"/>
      <c r="G52" s="16" t="str">
        <f t="shared" si="0"/>
        <v/>
      </c>
      <c r="H52" s="16" t="str">
        <f t="shared" si="1"/>
        <v/>
      </c>
      <c r="J52" s="16" t="str">
        <f>IF(B52="","",MATCH(B52,ALL!J:J,))</f>
        <v/>
      </c>
    </row>
    <row r="53" spans="2:10" x14ac:dyDescent="0.25">
      <c r="B53"/>
      <c r="C53"/>
      <c r="D53"/>
      <c r="E53"/>
      <c r="F53" s="44"/>
      <c r="G53" s="16" t="str">
        <f t="shared" si="0"/>
        <v/>
      </c>
      <c r="H53" s="16" t="str">
        <f t="shared" si="1"/>
        <v/>
      </c>
      <c r="J53" s="16" t="str">
        <f>IF(B53="","",MATCH(B53,ALL!J:J,))</f>
        <v/>
      </c>
    </row>
    <row r="54" spans="2:10" x14ac:dyDescent="0.25">
      <c r="B54"/>
      <c r="C54"/>
      <c r="D54"/>
      <c r="E54"/>
      <c r="F54" s="44"/>
      <c r="G54" s="16" t="str">
        <f t="shared" si="0"/>
        <v/>
      </c>
      <c r="H54" s="16" t="str">
        <f t="shared" si="1"/>
        <v/>
      </c>
      <c r="J54" s="16" t="str">
        <f>IF(B54="","",MATCH(B54,ALL!J:J,))</f>
        <v/>
      </c>
    </row>
    <row r="55" spans="2:10" x14ac:dyDescent="0.25">
      <c r="B55"/>
      <c r="C55"/>
      <c r="D55"/>
      <c r="E55"/>
      <c r="F55" s="44"/>
      <c r="G55" s="16" t="str">
        <f t="shared" si="0"/>
        <v/>
      </c>
      <c r="H55" s="16" t="str">
        <f t="shared" si="1"/>
        <v/>
      </c>
      <c r="J55" s="16" t="str">
        <f>IF(B55="","",MATCH(B55,ALL!J:J,))</f>
        <v/>
      </c>
    </row>
    <row r="56" spans="2:10" x14ac:dyDescent="0.25">
      <c r="F56" s="44"/>
      <c r="G56" s="16" t="str">
        <f t="shared" si="0"/>
        <v/>
      </c>
      <c r="H56" s="16" t="str">
        <f t="shared" si="1"/>
        <v/>
      </c>
      <c r="J56" s="16" t="str">
        <f>IF(B56="","",MATCH(B56,ALL!J:J,))</f>
        <v/>
      </c>
    </row>
    <row r="57" spans="2:10" x14ac:dyDescent="0.25">
      <c r="B57"/>
      <c r="C57"/>
      <c r="D57"/>
      <c r="E57"/>
      <c r="F57" s="44"/>
      <c r="G57" s="16" t="str">
        <f t="shared" si="0"/>
        <v/>
      </c>
      <c r="H57" s="16" t="str">
        <f t="shared" si="1"/>
        <v/>
      </c>
      <c r="J57" s="16" t="str">
        <f>IF(B57="","",MATCH(B57,ALL!J:J,))</f>
        <v/>
      </c>
    </row>
    <row r="58" spans="2:10" x14ac:dyDescent="0.25">
      <c r="B58"/>
      <c r="C58"/>
      <c r="D58"/>
      <c r="E58"/>
      <c r="F58" s="44"/>
      <c r="G58" s="16" t="str">
        <f t="shared" si="0"/>
        <v/>
      </c>
      <c r="H58" s="16" t="str">
        <f t="shared" si="1"/>
        <v/>
      </c>
      <c r="J58" s="16" t="str">
        <f>IF(B58="","",MATCH(B58,ALL!J:J,))</f>
        <v/>
      </c>
    </row>
    <row r="59" spans="2:10" x14ac:dyDescent="0.25">
      <c r="B59"/>
      <c r="C59"/>
      <c r="D59"/>
      <c r="E59"/>
      <c r="F59" s="44"/>
      <c r="G59" s="16" t="str">
        <f t="shared" si="0"/>
        <v/>
      </c>
      <c r="H59" s="16" t="str">
        <f t="shared" si="1"/>
        <v/>
      </c>
      <c r="J59" s="16" t="str">
        <f>IF(B59="","",MATCH(B59,ALL!J:J,))</f>
        <v/>
      </c>
    </row>
    <row r="60" spans="2:10" x14ac:dyDescent="0.25">
      <c r="B60"/>
      <c r="C60"/>
      <c r="D60"/>
      <c r="E60"/>
      <c r="F60" s="44"/>
      <c r="G60" s="16" t="str">
        <f t="shared" si="0"/>
        <v/>
      </c>
      <c r="H60" s="16" t="str">
        <f t="shared" si="1"/>
        <v/>
      </c>
      <c r="J60" s="16" t="str">
        <f>IF(B60="","",MATCH(B60,ALL!J:J,))</f>
        <v/>
      </c>
    </row>
    <row r="61" spans="2:10" x14ac:dyDescent="0.25">
      <c r="B61"/>
      <c r="C61"/>
      <c r="D61"/>
      <c r="E61"/>
      <c r="F61" s="44"/>
      <c r="G61" s="16" t="str">
        <f t="shared" si="0"/>
        <v/>
      </c>
      <c r="H61" s="16" t="str">
        <f t="shared" si="1"/>
        <v/>
      </c>
      <c r="J61" s="16" t="str">
        <f>IF(B61="","",MATCH(B61,ALL!J:J,))</f>
        <v/>
      </c>
    </row>
    <row r="62" spans="2:10" x14ac:dyDescent="0.25">
      <c r="B62"/>
      <c r="C62"/>
      <c r="D62"/>
      <c r="E62"/>
      <c r="F62" s="44"/>
      <c r="G62" s="16" t="str">
        <f t="shared" si="0"/>
        <v/>
      </c>
      <c r="H62" s="16" t="str">
        <f t="shared" si="1"/>
        <v/>
      </c>
      <c r="J62" s="16" t="str">
        <f>IF(B62="","",MATCH(B62,ALL!J:J,))</f>
        <v/>
      </c>
    </row>
    <row r="63" spans="2:10" x14ac:dyDescent="0.25">
      <c r="B63"/>
      <c r="C63"/>
      <c r="D63"/>
      <c r="E63"/>
      <c r="F63" s="44"/>
      <c r="G63" s="16" t="str">
        <f t="shared" si="0"/>
        <v/>
      </c>
      <c r="H63" s="16" t="str">
        <f t="shared" si="1"/>
        <v/>
      </c>
      <c r="J63" s="16" t="str">
        <f>IF(B63="","",MATCH(B63,ALL!J:J,))</f>
        <v/>
      </c>
    </row>
    <row r="64" spans="2:10" x14ac:dyDescent="0.25">
      <c r="F64" s="44"/>
      <c r="G64" s="16" t="str">
        <f t="shared" ref="G64:G127" si="2">IFERROR(VALUE(LEFT(D64,LEN(D64)-7)),"")</f>
        <v/>
      </c>
      <c r="H64" s="16" t="str">
        <f t="shared" si="1"/>
        <v/>
      </c>
      <c r="J64" s="16" t="str">
        <f>IF(B64="","",MATCH(B64,ALL!J:J,))</f>
        <v/>
      </c>
    </row>
    <row r="65" spans="2:10" x14ac:dyDescent="0.25">
      <c r="B65"/>
      <c r="C65"/>
      <c r="D65"/>
      <c r="E65"/>
      <c r="F65" s="44"/>
      <c r="G65" s="16" t="str">
        <f t="shared" si="2"/>
        <v/>
      </c>
      <c r="H65" s="16" t="str">
        <f t="shared" ref="H65:H128" si="3">IFERROR(ROUND(VALUE(RIGHT(E65,LEN(E65)-4)),4),"")</f>
        <v/>
      </c>
      <c r="J65" s="16" t="str">
        <f>IF(B65="","",MATCH(B65,ALL!J:J,))</f>
        <v/>
      </c>
    </row>
    <row r="66" spans="2:10" x14ac:dyDescent="0.25">
      <c r="B66"/>
      <c r="C66"/>
      <c r="D66"/>
      <c r="E66"/>
      <c r="F66" s="44"/>
      <c r="G66" s="16" t="str">
        <f t="shared" si="2"/>
        <v/>
      </c>
      <c r="H66" s="16" t="str">
        <f t="shared" si="3"/>
        <v/>
      </c>
      <c r="J66" s="16" t="str">
        <f>IF(B66="","",MATCH(B66,ALL!J:J,))</f>
        <v/>
      </c>
    </row>
    <row r="67" spans="2:10" x14ac:dyDescent="0.25">
      <c r="B67"/>
      <c r="C67"/>
      <c r="D67"/>
      <c r="E67"/>
      <c r="F67" s="44"/>
      <c r="G67" s="16" t="str">
        <f t="shared" si="2"/>
        <v/>
      </c>
      <c r="H67" s="16" t="str">
        <f t="shared" si="3"/>
        <v/>
      </c>
      <c r="J67" s="16" t="str">
        <f>IF(B67="","",MATCH(B67,ALL!J:J,))</f>
        <v/>
      </c>
    </row>
    <row r="68" spans="2:10" x14ac:dyDescent="0.25">
      <c r="B68"/>
      <c r="C68"/>
      <c r="D68"/>
      <c r="E68"/>
      <c r="F68" s="44"/>
      <c r="G68" s="16" t="str">
        <f t="shared" si="2"/>
        <v/>
      </c>
      <c r="H68" s="16" t="str">
        <f t="shared" si="3"/>
        <v/>
      </c>
      <c r="J68" s="16" t="str">
        <f>IF(B68="","",MATCH(B68,ALL!J:J,))</f>
        <v/>
      </c>
    </row>
    <row r="69" spans="2:10" x14ac:dyDescent="0.25">
      <c r="B69"/>
      <c r="C69"/>
      <c r="D69"/>
      <c r="E69"/>
      <c r="F69" s="44"/>
      <c r="G69" s="16" t="str">
        <f t="shared" si="2"/>
        <v/>
      </c>
      <c r="H69" s="16" t="str">
        <f t="shared" si="3"/>
        <v/>
      </c>
      <c r="J69" s="16" t="str">
        <f>IF(B69="","",MATCH(B69,ALL!J:J,))</f>
        <v/>
      </c>
    </row>
    <row r="70" spans="2:10" x14ac:dyDescent="0.25">
      <c r="B70"/>
      <c r="C70"/>
      <c r="D70"/>
      <c r="E70"/>
      <c r="F70" s="44"/>
      <c r="G70" s="16" t="str">
        <f t="shared" si="2"/>
        <v/>
      </c>
      <c r="H70" s="16" t="str">
        <f t="shared" si="3"/>
        <v/>
      </c>
      <c r="J70" s="16" t="str">
        <f>IF(B70="","",MATCH(B70,ALL!J:J,))</f>
        <v/>
      </c>
    </row>
    <row r="71" spans="2:10" x14ac:dyDescent="0.25">
      <c r="B71"/>
      <c r="C71"/>
      <c r="D71"/>
      <c r="E71"/>
      <c r="F71" s="44"/>
      <c r="G71" s="16" t="str">
        <f t="shared" si="2"/>
        <v/>
      </c>
      <c r="H71" s="16" t="str">
        <f t="shared" si="3"/>
        <v/>
      </c>
      <c r="J71" s="16" t="str">
        <f>IF(B71="","",MATCH(B71,ALL!J:J,))</f>
        <v/>
      </c>
    </row>
    <row r="72" spans="2:10" x14ac:dyDescent="0.25">
      <c r="B72"/>
      <c r="C72"/>
      <c r="D72"/>
      <c r="E72"/>
      <c r="F72" s="44"/>
      <c r="G72" s="16" t="str">
        <f t="shared" si="2"/>
        <v/>
      </c>
      <c r="H72" s="16" t="str">
        <f t="shared" si="3"/>
        <v/>
      </c>
      <c r="J72" s="16" t="str">
        <f>IF(B72="","",MATCH(B72,ALL!J:J,))</f>
        <v/>
      </c>
    </row>
    <row r="73" spans="2:10" x14ac:dyDescent="0.25">
      <c r="F73" s="44"/>
      <c r="G73" s="16" t="str">
        <f t="shared" si="2"/>
        <v/>
      </c>
      <c r="H73" s="16" t="str">
        <f t="shared" si="3"/>
        <v/>
      </c>
      <c r="J73" s="16" t="str">
        <f>IF(B73="","",MATCH(B73,ALL!J:J,))</f>
        <v/>
      </c>
    </row>
    <row r="74" spans="2:10" x14ac:dyDescent="0.25">
      <c r="B74"/>
      <c r="C74"/>
      <c r="D74"/>
      <c r="E74"/>
      <c r="F74" s="44"/>
      <c r="G74" s="16" t="str">
        <f t="shared" si="2"/>
        <v/>
      </c>
      <c r="H74" s="16" t="str">
        <f t="shared" si="3"/>
        <v/>
      </c>
      <c r="J74" s="16" t="str">
        <f>IF(B74="","",MATCH(B74,ALL!J:J,))</f>
        <v/>
      </c>
    </row>
    <row r="75" spans="2:10" x14ac:dyDescent="0.25">
      <c r="B75"/>
      <c r="C75"/>
      <c r="D75"/>
      <c r="E75"/>
      <c r="F75" s="44"/>
      <c r="G75" s="16" t="str">
        <f t="shared" si="2"/>
        <v/>
      </c>
      <c r="H75" s="16" t="str">
        <f t="shared" si="3"/>
        <v/>
      </c>
      <c r="J75" s="16" t="str">
        <f>IF(B75="","",MATCH(B75,ALL!J:J,))</f>
        <v/>
      </c>
    </row>
    <row r="76" spans="2:10" x14ac:dyDescent="0.25">
      <c r="B76"/>
      <c r="C76"/>
      <c r="D76"/>
      <c r="E76"/>
      <c r="F76" s="44"/>
      <c r="G76" s="16" t="str">
        <f t="shared" si="2"/>
        <v/>
      </c>
      <c r="H76" s="16" t="str">
        <f t="shared" si="3"/>
        <v/>
      </c>
      <c r="J76" s="16" t="str">
        <f>IF(B76="","",MATCH(B76,ALL!J:J,))</f>
        <v/>
      </c>
    </row>
    <row r="77" spans="2:10" x14ac:dyDescent="0.25">
      <c r="B77"/>
      <c r="C77"/>
      <c r="D77"/>
      <c r="E77"/>
      <c r="F77" s="44"/>
      <c r="G77" s="16" t="str">
        <f t="shared" si="2"/>
        <v/>
      </c>
      <c r="H77" s="16" t="str">
        <f t="shared" si="3"/>
        <v/>
      </c>
      <c r="J77" s="16" t="str">
        <f>IF(B77="","",MATCH(B77,ALL!J:J,))</f>
        <v/>
      </c>
    </row>
    <row r="78" spans="2:10" x14ac:dyDescent="0.25">
      <c r="B78"/>
      <c r="C78"/>
      <c r="D78"/>
      <c r="E78"/>
      <c r="F78" s="44"/>
      <c r="G78" s="16" t="str">
        <f t="shared" si="2"/>
        <v/>
      </c>
      <c r="H78" s="16" t="str">
        <f t="shared" si="3"/>
        <v/>
      </c>
      <c r="J78" s="16" t="str">
        <f>IF(B78="","",MATCH(B78,ALL!J:J,))</f>
        <v/>
      </c>
    </row>
    <row r="79" spans="2:10" x14ac:dyDescent="0.25">
      <c r="B79"/>
      <c r="C79"/>
      <c r="D79"/>
      <c r="E79"/>
      <c r="F79" s="44"/>
      <c r="G79" s="16" t="str">
        <f t="shared" si="2"/>
        <v/>
      </c>
      <c r="H79" s="16" t="str">
        <f t="shared" si="3"/>
        <v/>
      </c>
      <c r="J79" s="16" t="str">
        <f>IF(B79="","",MATCH(B79,ALL!J:J,))</f>
        <v/>
      </c>
    </row>
    <row r="80" spans="2:10" x14ac:dyDescent="0.25">
      <c r="B80"/>
      <c r="C80"/>
      <c r="D80"/>
      <c r="E80"/>
      <c r="F80" s="44"/>
      <c r="G80" s="16" t="str">
        <f t="shared" si="2"/>
        <v/>
      </c>
      <c r="H80" s="16" t="str">
        <f t="shared" si="3"/>
        <v/>
      </c>
      <c r="J80" s="16" t="str">
        <f>IF(B80="","",MATCH(B80,ALL!J:J,))</f>
        <v/>
      </c>
    </row>
    <row r="81" spans="2:10" x14ac:dyDescent="0.25">
      <c r="B81"/>
      <c r="C81"/>
      <c r="D81"/>
      <c r="E81"/>
      <c r="F81" s="44"/>
      <c r="G81" s="16" t="str">
        <f t="shared" si="2"/>
        <v/>
      </c>
      <c r="H81" s="16" t="str">
        <f t="shared" si="3"/>
        <v/>
      </c>
      <c r="J81" s="16" t="str">
        <f>IF(B81="","",MATCH(B81,ALL!J:J,))</f>
        <v/>
      </c>
    </row>
    <row r="82" spans="2:10" x14ac:dyDescent="0.25">
      <c r="F82" s="44"/>
      <c r="G82" s="16" t="str">
        <f t="shared" si="2"/>
        <v/>
      </c>
      <c r="H82" s="16" t="str">
        <f t="shared" si="3"/>
        <v/>
      </c>
      <c r="J82" s="16" t="str">
        <f>IF(B82="","",MATCH(B82,ALL!J:J,))</f>
        <v/>
      </c>
    </row>
    <row r="83" spans="2:10" x14ac:dyDescent="0.25">
      <c r="F83" s="44"/>
      <c r="G83" s="16" t="str">
        <f t="shared" si="2"/>
        <v/>
      </c>
      <c r="H83" s="16" t="str">
        <f t="shared" si="3"/>
        <v/>
      </c>
      <c r="J83" s="16" t="str">
        <f>IF(B83="","",MATCH(B83,ALL!J:J,))</f>
        <v/>
      </c>
    </row>
    <row r="84" spans="2:10" x14ac:dyDescent="0.25">
      <c r="F84" s="44"/>
      <c r="G84" s="16" t="str">
        <f t="shared" si="2"/>
        <v/>
      </c>
      <c r="H84" s="16" t="str">
        <f t="shared" si="3"/>
        <v/>
      </c>
      <c r="J84" s="16" t="str">
        <f>IF(B84="","",MATCH(B84,ALL!J:J,))</f>
        <v/>
      </c>
    </row>
    <row r="85" spans="2:10" x14ac:dyDescent="0.25">
      <c r="F85" s="44"/>
      <c r="G85" s="16" t="str">
        <f t="shared" si="2"/>
        <v/>
      </c>
      <c r="H85" s="16" t="str">
        <f t="shared" si="3"/>
        <v/>
      </c>
      <c r="J85" s="16" t="str">
        <f>IF(B85="","",MATCH(B85,ALL!J:J,))</f>
        <v/>
      </c>
    </row>
    <row r="86" spans="2:10" x14ac:dyDescent="0.25">
      <c r="F86" s="44"/>
      <c r="G86" s="16" t="str">
        <f t="shared" si="2"/>
        <v/>
      </c>
      <c r="H86" s="16" t="str">
        <f t="shared" si="3"/>
        <v/>
      </c>
      <c r="J86" s="16" t="str">
        <f>IF(B86="","",MATCH(B86,ALL!J:J,))</f>
        <v/>
      </c>
    </row>
    <row r="87" spans="2:10" x14ac:dyDescent="0.25">
      <c r="F87" s="44"/>
      <c r="G87" s="16" t="str">
        <f t="shared" si="2"/>
        <v/>
      </c>
      <c r="H87" s="16" t="str">
        <f t="shared" si="3"/>
        <v/>
      </c>
      <c r="J87" s="16" t="str">
        <f>IF(B87="","",MATCH(B87,ALL!J:J,))</f>
        <v/>
      </c>
    </row>
    <row r="88" spans="2:10" x14ac:dyDescent="0.25">
      <c r="F88" s="44"/>
      <c r="G88" s="16" t="str">
        <f t="shared" si="2"/>
        <v/>
      </c>
      <c r="H88" s="16" t="str">
        <f t="shared" si="3"/>
        <v/>
      </c>
      <c r="J88" s="16" t="str">
        <f>IF(B88="","",MATCH(B88,ALL!J:J,))</f>
        <v/>
      </c>
    </row>
    <row r="89" spans="2:10" x14ac:dyDescent="0.25">
      <c r="F89" s="44"/>
      <c r="G89" s="16" t="str">
        <f t="shared" si="2"/>
        <v/>
      </c>
      <c r="H89" s="16" t="str">
        <f t="shared" si="3"/>
        <v/>
      </c>
      <c r="J89" s="16" t="str">
        <f>IF(B89="","",MATCH(B89,ALL!J:J,))</f>
        <v/>
      </c>
    </row>
    <row r="90" spans="2:10" x14ac:dyDescent="0.25">
      <c r="F90" s="44"/>
      <c r="G90" s="16" t="str">
        <f t="shared" si="2"/>
        <v/>
      </c>
      <c r="H90" s="16" t="str">
        <f t="shared" si="3"/>
        <v/>
      </c>
      <c r="J90" s="16" t="str">
        <f>IF(B90="","",MATCH(B90,ALL!J:J,))</f>
        <v/>
      </c>
    </row>
    <row r="91" spans="2:10" x14ac:dyDescent="0.25">
      <c r="F91" s="44"/>
      <c r="G91" s="16" t="str">
        <f t="shared" si="2"/>
        <v/>
      </c>
      <c r="H91" s="16" t="str">
        <f t="shared" si="3"/>
        <v/>
      </c>
      <c r="J91" s="16" t="str">
        <f>IF(B91="","",MATCH(B91,ALL!J:J,))</f>
        <v/>
      </c>
    </row>
    <row r="92" spans="2:10" x14ac:dyDescent="0.25">
      <c r="F92" s="44"/>
      <c r="G92" s="16" t="str">
        <f t="shared" si="2"/>
        <v/>
      </c>
      <c r="H92" s="16" t="str">
        <f t="shared" si="3"/>
        <v/>
      </c>
      <c r="J92" s="16" t="str">
        <f>IF(B92="","",MATCH(B92,ALL!J:J,))</f>
        <v/>
      </c>
    </row>
    <row r="93" spans="2:10" x14ac:dyDescent="0.25">
      <c r="F93" s="44"/>
      <c r="G93" s="16" t="str">
        <f t="shared" si="2"/>
        <v/>
      </c>
      <c r="H93" s="16" t="str">
        <f t="shared" si="3"/>
        <v/>
      </c>
      <c r="J93" s="16" t="str">
        <f>IF(B93="","",MATCH(B93,ALL!J:J,))</f>
        <v/>
      </c>
    </row>
    <row r="94" spans="2:10" x14ac:dyDescent="0.25">
      <c r="F94" s="44"/>
      <c r="G94" s="16" t="str">
        <f t="shared" si="2"/>
        <v/>
      </c>
      <c r="H94" s="16" t="str">
        <f t="shared" si="3"/>
        <v/>
      </c>
      <c r="J94" s="16" t="str">
        <f>IF(B94="","",MATCH(B94,ALL!J:J,))</f>
        <v/>
      </c>
    </row>
    <row r="95" spans="2:10" x14ac:dyDescent="0.25">
      <c r="F95" s="44"/>
      <c r="G95" s="16" t="str">
        <f t="shared" si="2"/>
        <v/>
      </c>
      <c r="H95" s="16" t="str">
        <f t="shared" si="3"/>
        <v/>
      </c>
      <c r="J95" s="16" t="str">
        <f>IF(B95="","",MATCH(B95,ALL!J:J,))</f>
        <v/>
      </c>
    </row>
    <row r="96" spans="2:10" x14ac:dyDescent="0.25">
      <c r="F96" s="44"/>
      <c r="G96" s="16" t="str">
        <f t="shared" si="2"/>
        <v/>
      </c>
      <c r="H96" s="16" t="str">
        <f t="shared" si="3"/>
        <v/>
      </c>
      <c r="J96" s="16" t="str">
        <f>IF(B96="","",MATCH(B96,ALL!J:J,))</f>
        <v/>
      </c>
    </row>
    <row r="97" spans="6:10" x14ac:dyDescent="0.25">
      <c r="F97" s="44"/>
      <c r="G97" s="16" t="str">
        <f t="shared" si="2"/>
        <v/>
      </c>
      <c r="H97" s="16" t="str">
        <f t="shared" si="3"/>
        <v/>
      </c>
      <c r="J97" s="16" t="str">
        <f>IF(B97="","",MATCH(B97,ALL!J:J,))</f>
        <v/>
      </c>
    </row>
    <row r="98" spans="6:10" x14ac:dyDescent="0.25">
      <c r="F98" s="44"/>
      <c r="G98" s="16" t="str">
        <f t="shared" si="2"/>
        <v/>
      </c>
      <c r="H98" s="16" t="str">
        <f t="shared" si="3"/>
        <v/>
      </c>
      <c r="J98" s="16" t="str">
        <f>IF(B98="","",MATCH(B98,ALL!J:J,))</f>
        <v/>
      </c>
    </row>
    <row r="99" spans="6:10" x14ac:dyDescent="0.25">
      <c r="F99" s="44"/>
      <c r="G99" s="16" t="str">
        <f t="shared" si="2"/>
        <v/>
      </c>
      <c r="H99" s="16" t="str">
        <f t="shared" si="3"/>
        <v/>
      </c>
      <c r="J99" s="16" t="str">
        <f>IF(B99="","",MATCH(B99,ALL!J:J,))</f>
        <v/>
      </c>
    </row>
    <row r="100" spans="6:10" x14ac:dyDescent="0.25">
      <c r="F100" s="44"/>
      <c r="G100" s="16" t="str">
        <f t="shared" si="2"/>
        <v/>
      </c>
      <c r="H100" s="16" t="str">
        <f t="shared" si="3"/>
        <v/>
      </c>
      <c r="J100" s="16" t="str">
        <f>IF(B100="","",MATCH(B100,ALL!J:J,))</f>
        <v/>
      </c>
    </row>
    <row r="101" spans="6:10" x14ac:dyDescent="0.25">
      <c r="F101" s="44"/>
      <c r="G101" s="16" t="str">
        <f t="shared" si="2"/>
        <v/>
      </c>
      <c r="H101" s="16" t="str">
        <f t="shared" si="3"/>
        <v/>
      </c>
      <c r="J101" s="16" t="str">
        <f>IF(B101="","",MATCH(B101,ALL!J:J,))</f>
        <v/>
      </c>
    </row>
    <row r="102" spans="6:10" x14ac:dyDescent="0.25">
      <c r="F102" s="44"/>
      <c r="G102" s="16" t="str">
        <f t="shared" si="2"/>
        <v/>
      </c>
      <c r="H102" s="16" t="str">
        <f t="shared" si="3"/>
        <v/>
      </c>
      <c r="J102" s="16" t="str">
        <f>IF(B102="","",MATCH(B102,ALL!J:J,))</f>
        <v/>
      </c>
    </row>
    <row r="103" spans="6:10" x14ac:dyDescent="0.25">
      <c r="F103" s="44"/>
      <c r="G103" s="16" t="str">
        <f t="shared" si="2"/>
        <v/>
      </c>
      <c r="H103" s="16" t="str">
        <f t="shared" si="3"/>
        <v/>
      </c>
      <c r="J103" s="16" t="str">
        <f>IF(B103="","",MATCH(B103,ALL!J:J,))</f>
        <v/>
      </c>
    </row>
    <row r="104" spans="6:10" x14ac:dyDescent="0.25">
      <c r="F104" s="44"/>
      <c r="G104" s="16" t="str">
        <f t="shared" si="2"/>
        <v/>
      </c>
      <c r="H104" s="16" t="str">
        <f t="shared" si="3"/>
        <v/>
      </c>
      <c r="J104" s="16" t="str">
        <f>IF(B104="","",MATCH(B104,ALL!J:J,))</f>
        <v/>
      </c>
    </row>
    <row r="105" spans="6:10" x14ac:dyDescent="0.25">
      <c r="F105" s="44"/>
      <c r="G105" s="16" t="str">
        <f t="shared" si="2"/>
        <v/>
      </c>
      <c r="H105" s="16" t="str">
        <f t="shared" si="3"/>
        <v/>
      </c>
      <c r="J105" s="16" t="str">
        <f>IF(B105="","",MATCH(B105,ALL!J:J,))</f>
        <v/>
      </c>
    </row>
    <row r="106" spans="6:10" x14ac:dyDescent="0.25">
      <c r="F106" s="44"/>
      <c r="G106" s="16" t="str">
        <f t="shared" si="2"/>
        <v/>
      </c>
      <c r="H106" s="16" t="str">
        <f t="shared" si="3"/>
        <v/>
      </c>
      <c r="J106" s="16" t="str">
        <f>IF(B106="","",MATCH(B106,ALL!J:J,))</f>
        <v/>
      </c>
    </row>
    <row r="107" spans="6:10" x14ac:dyDescent="0.25">
      <c r="F107" s="44"/>
      <c r="G107" s="16" t="str">
        <f t="shared" si="2"/>
        <v/>
      </c>
      <c r="H107" s="16" t="str">
        <f t="shared" si="3"/>
        <v/>
      </c>
      <c r="J107" s="16" t="str">
        <f>IF(B107="","",MATCH(B107,ALL!J:J,))</f>
        <v/>
      </c>
    </row>
    <row r="108" spans="6:10" x14ac:dyDescent="0.25">
      <c r="F108" s="44"/>
      <c r="G108" s="16" t="str">
        <f t="shared" si="2"/>
        <v/>
      </c>
      <c r="H108" s="16" t="str">
        <f t="shared" si="3"/>
        <v/>
      </c>
      <c r="J108" s="16" t="str">
        <f>IF(B108="","",MATCH(B108,ALL!J:J,))</f>
        <v/>
      </c>
    </row>
    <row r="109" spans="6:10" x14ac:dyDescent="0.25">
      <c r="F109" s="44"/>
      <c r="G109" s="16" t="str">
        <f t="shared" si="2"/>
        <v/>
      </c>
      <c r="H109" s="16" t="str">
        <f t="shared" si="3"/>
        <v/>
      </c>
      <c r="J109" s="16" t="str">
        <f>IF(B109="","",MATCH(B109,ALL!J:J,))</f>
        <v/>
      </c>
    </row>
    <row r="110" spans="6:10" x14ac:dyDescent="0.25">
      <c r="F110" s="44"/>
      <c r="G110" s="16" t="str">
        <f t="shared" si="2"/>
        <v/>
      </c>
      <c r="H110" s="16" t="str">
        <f t="shared" si="3"/>
        <v/>
      </c>
      <c r="J110" s="16" t="str">
        <f>IF(B110="","",MATCH(B110,ALL!J:J,))</f>
        <v/>
      </c>
    </row>
    <row r="111" spans="6:10" x14ac:dyDescent="0.25">
      <c r="F111" s="44"/>
      <c r="G111" s="16" t="str">
        <f t="shared" si="2"/>
        <v/>
      </c>
      <c r="H111" s="16" t="str">
        <f t="shared" si="3"/>
        <v/>
      </c>
      <c r="J111" s="16" t="str">
        <f>IF(B111="","",MATCH(B111,ALL!J:J,))</f>
        <v/>
      </c>
    </row>
    <row r="112" spans="6:10" x14ac:dyDescent="0.25">
      <c r="F112" s="44"/>
      <c r="G112" s="16" t="str">
        <f t="shared" si="2"/>
        <v/>
      </c>
      <c r="H112" s="16" t="str">
        <f t="shared" si="3"/>
        <v/>
      </c>
      <c r="J112" s="16" t="str">
        <f>IF(B112="","",MATCH(B112,ALL!J:J,))</f>
        <v/>
      </c>
    </row>
    <row r="113" spans="6:10" x14ac:dyDescent="0.25">
      <c r="F113" s="44"/>
      <c r="G113" s="16" t="str">
        <f t="shared" si="2"/>
        <v/>
      </c>
      <c r="H113" s="16" t="str">
        <f t="shared" si="3"/>
        <v/>
      </c>
      <c r="J113" s="16" t="str">
        <f>IF(B113="","",MATCH(B113,ALL!J:J,))</f>
        <v/>
      </c>
    </row>
    <row r="114" spans="6:10" x14ac:dyDescent="0.25">
      <c r="F114" s="44"/>
      <c r="G114" s="16" t="str">
        <f t="shared" si="2"/>
        <v/>
      </c>
      <c r="H114" s="16" t="str">
        <f t="shared" si="3"/>
        <v/>
      </c>
      <c r="J114" s="16" t="str">
        <f>IF(B114="","",MATCH(B114,ALL!J:J,))</f>
        <v/>
      </c>
    </row>
    <row r="115" spans="6:10" x14ac:dyDescent="0.25">
      <c r="F115" s="44"/>
      <c r="G115" s="16" t="str">
        <f t="shared" si="2"/>
        <v/>
      </c>
      <c r="H115" s="16" t="str">
        <f t="shared" si="3"/>
        <v/>
      </c>
      <c r="J115" s="16" t="str">
        <f>IF(B115="","",MATCH(B115,ALL!J:J,))</f>
        <v/>
      </c>
    </row>
    <row r="116" spans="6:10" x14ac:dyDescent="0.25">
      <c r="F116" s="44"/>
      <c r="G116" s="16" t="str">
        <f t="shared" si="2"/>
        <v/>
      </c>
      <c r="H116" s="16" t="str">
        <f t="shared" si="3"/>
        <v/>
      </c>
      <c r="J116" s="16" t="str">
        <f>IF(B116="","",MATCH(B116,ALL!J:J,))</f>
        <v/>
      </c>
    </row>
    <row r="117" spans="6:10" x14ac:dyDescent="0.25">
      <c r="F117" s="44"/>
      <c r="G117" s="16" t="str">
        <f t="shared" si="2"/>
        <v/>
      </c>
      <c r="H117" s="16" t="str">
        <f t="shared" si="3"/>
        <v/>
      </c>
      <c r="J117" s="16" t="str">
        <f>IF(B117="","",MATCH(B117,ALL!J:J,))</f>
        <v/>
      </c>
    </row>
    <row r="118" spans="6:10" x14ac:dyDescent="0.25">
      <c r="F118" s="44"/>
      <c r="G118" s="16" t="str">
        <f t="shared" si="2"/>
        <v/>
      </c>
      <c r="H118" s="16" t="str">
        <f t="shared" si="3"/>
        <v/>
      </c>
      <c r="J118" s="16" t="str">
        <f>IF(B118="","",MATCH(B118,ALL!J:J,))</f>
        <v/>
      </c>
    </row>
    <row r="119" spans="6:10" x14ac:dyDescent="0.25">
      <c r="F119" s="44"/>
      <c r="G119" s="16" t="str">
        <f t="shared" si="2"/>
        <v/>
      </c>
      <c r="H119" s="16" t="str">
        <f t="shared" si="3"/>
        <v/>
      </c>
      <c r="J119" s="16" t="str">
        <f>IF(B119="","",MATCH(B119,ALL!J:J,))</f>
        <v/>
      </c>
    </row>
    <row r="120" spans="6:10" x14ac:dyDescent="0.25">
      <c r="F120" s="44"/>
      <c r="G120" s="16" t="str">
        <f t="shared" si="2"/>
        <v/>
      </c>
      <c r="H120" s="16" t="str">
        <f t="shared" si="3"/>
        <v/>
      </c>
      <c r="J120" s="16" t="str">
        <f>IF(B120="","",MATCH(B120,ALL!J:J,))</f>
        <v/>
      </c>
    </row>
    <row r="121" spans="6:10" x14ac:dyDescent="0.25">
      <c r="F121" s="44"/>
      <c r="G121" s="16" t="str">
        <f t="shared" si="2"/>
        <v/>
      </c>
      <c r="H121" s="16" t="str">
        <f t="shared" si="3"/>
        <v/>
      </c>
      <c r="J121" s="16" t="str">
        <f>IF(B121="","",MATCH(B121,ALL!J:J,))</f>
        <v/>
      </c>
    </row>
    <row r="122" spans="6:10" x14ac:dyDescent="0.25">
      <c r="F122" s="44"/>
      <c r="G122" s="16" t="str">
        <f t="shared" si="2"/>
        <v/>
      </c>
      <c r="H122" s="16" t="str">
        <f t="shared" si="3"/>
        <v/>
      </c>
      <c r="J122" s="16" t="str">
        <f>IF(B122="","",MATCH(B122,ALL!J:J,))</f>
        <v/>
      </c>
    </row>
    <row r="123" spans="6:10" x14ac:dyDescent="0.25">
      <c r="F123" s="44"/>
      <c r="G123" s="16" t="str">
        <f t="shared" si="2"/>
        <v/>
      </c>
      <c r="H123" s="16" t="str">
        <f t="shared" si="3"/>
        <v/>
      </c>
      <c r="J123" s="16" t="str">
        <f>IF(B123="","",MATCH(B123,ALL!J:J,))</f>
        <v/>
      </c>
    </row>
    <row r="124" spans="6:10" x14ac:dyDescent="0.25">
      <c r="F124" s="44"/>
      <c r="G124" s="16" t="str">
        <f t="shared" si="2"/>
        <v/>
      </c>
      <c r="H124" s="16" t="str">
        <f t="shared" si="3"/>
        <v/>
      </c>
      <c r="J124" s="16" t="str">
        <f>IF(B124="","",MATCH(B124,ALL!J:J,))</f>
        <v/>
      </c>
    </row>
    <row r="125" spans="6:10" x14ac:dyDescent="0.25">
      <c r="F125" s="44"/>
      <c r="G125" s="16" t="str">
        <f t="shared" si="2"/>
        <v/>
      </c>
      <c r="H125" s="16" t="str">
        <f t="shared" si="3"/>
        <v/>
      </c>
      <c r="J125" s="16" t="str">
        <f>IF(B125="","",MATCH(B125,ALL!J:J,))</f>
        <v/>
      </c>
    </row>
    <row r="126" spans="6:10" x14ac:dyDescent="0.25">
      <c r="F126" s="44"/>
      <c r="G126" s="16" t="str">
        <f t="shared" si="2"/>
        <v/>
      </c>
      <c r="H126" s="16" t="str">
        <f t="shared" si="3"/>
        <v/>
      </c>
      <c r="J126" s="16" t="str">
        <f>IF(B126="","",MATCH(B126,ALL!J:J,))</f>
        <v/>
      </c>
    </row>
    <row r="127" spans="6:10" x14ac:dyDescent="0.25">
      <c r="F127" s="44"/>
      <c r="G127" s="16" t="str">
        <f t="shared" si="2"/>
        <v/>
      </c>
      <c r="H127" s="16" t="str">
        <f t="shared" si="3"/>
        <v/>
      </c>
      <c r="J127" s="16" t="str">
        <f>IF(B127="","",MATCH(B127,ALL!J:J,))</f>
        <v/>
      </c>
    </row>
    <row r="128" spans="6:10" x14ac:dyDescent="0.25">
      <c r="F128" s="44"/>
      <c r="G128" s="16" t="str">
        <f t="shared" ref="G128:G191" si="4">IFERROR(VALUE(LEFT(D128,LEN(D128)-7)),"")</f>
        <v/>
      </c>
      <c r="H128" s="16" t="str">
        <f t="shared" si="3"/>
        <v/>
      </c>
      <c r="J128" s="16" t="str">
        <f>IF(B128="","",MATCH(B128,ALL!J:J,))</f>
        <v/>
      </c>
    </row>
    <row r="129" spans="6:10" x14ac:dyDescent="0.25">
      <c r="F129" s="44"/>
      <c r="G129" s="16" t="str">
        <f t="shared" si="4"/>
        <v/>
      </c>
      <c r="H129" s="16" t="str">
        <f t="shared" ref="H129:H192" si="5">IFERROR(ROUND(VALUE(RIGHT(E129,LEN(E129)-4)),4),"")</f>
        <v/>
      </c>
      <c r="J129" s="16" t="str">
        <f>IF(B129="","",MATCH(B129,ALL!J:J,))</f>
        <v/>
      </c>
    </row>
    <row r="130" spans="6:10" x14ac:dyDescent="0.25">
      <c r="F130" s="44"/>
      <c r="G130" s="16" t="str">
        <f t="shared" si="4"/>
        <v/>
      </c>
      <c r="H130" s="16" t="str">
        <f t="shared" si="5"/>
        <v/>
      </c>
      <c r="J130" s="16" t="str">
        <f>IF(B130="","",MATCH(B130,ALL!J:J,))</f>
        <v/>
      </c>
    </row>
    <row r="131" spans="6:10" x14ac:dyDescent="0.25">
      <c r="F131" s="44"/>
      <c r="G131" s="16" t="str">
        <f t="shared" si="4"/>
        <v/>
      </c>
      <c r="H131" s="16" t="str">
        <f t="shared" si="5"/>
        <v/>
      </c>
      <c r="J131" s="16" t="str">
        <f>IF(B131="","",MATCH(B131,ALL!J:J,))</f>
        <v/>
      </c>
    </row>
    <row r="132" spans="6:10" x14ac:dyDescent="0.25">
      <c r="F132" s="44"/>
      <c r="G132" s="16" t="str">
        <f t="shared" si="4"/>
        <v/>
      </c>
      <c r="H132" s="16" t="str">
        <f t="shared" si="5"/>
        <v/>
      </c>
      <c r="J132" s="16" t="str">
        <f>IF(B132="","",MATCH(B132,ALL!J:J,))</f>
        <v/>
      </c>
    </row>
    <row r="133" spans="6:10" x14ac:dyDescent="0.25">
      <c r="F133" s="44"/>
      <c r="G133" s="16" t="str">
        <f t="shared" si="4"/>
        <v/>
      </c>
      <c r="H133" s="16" t="str">
        <f t="shared" si="5"/>
        <v/>
      </c>
      <c r="J133" s="16" t="str">
        <f>IF(B133="","",MATCH(B133,ALL!J:J,))</f>
        <v/>
      </c>
    </row>
    <row r="134" spans="6:10" x14ac:dyDescent="0.25">
      <c r="F134" s="44"/>
      <c r="G134" s="16" t="str">
        <f t="shared" si="4"/>
        <v/>
      </c>
      <c r="H134" s="16" t="str">
        <f t="shared" si="5"/>
        <v/>
      </c>
      <c r="J134" s="16" t="str">
        <f>IF(B134="","",MATCH(B134,ALL!J:J,))</f>
        <v/>
      </c>
    </row>
    <row r="135" spans="6:10" x14ac:dyDescent="0.25">
      <c r="F135" s="44"/>
      <c r="G135" s="16" t="str">
        <f t="shared" si="4"/>
        <v/>
      </c>
      <c r="H135" s="16" t="str">
        <f t="shared" si="5"/>
        <v/>
      </c>
      <c r="J135" s="16" t="str">
        <f>IF(B135="","",MATCH(B135,ALL!J:J,))</f>
        <v/>
      </c>
    </row>
    <row r="136" spans="6:10" x14ac:dyDescent="0.25">
      <c r="F136" s="44"/>
      <c r="G136" s="16" t="str">
        <f t="shared" si="4"/>
        <v/>
      </c>
      <c r="H136" s="16" t="str">
        <f t="shared" si="5"/>
        <v/>
      </c>
      <c r="J136" s="16" t="str">
        <f>IF(B136="","",MATCH(B136,ALL!J:J,))</f>
        <v/>
      </c>
    </row>
    <row r="137" spans="6:10" x14ac:dyDescent="0.25">
      <c r="F137" s="44"/>
      <c r="G137" s="16" t="str">
        <f t="shared" si="4"/>
        <v/>
      </c>
      <c r="H137" s="16" t="str">
        <f t="shared" si="5"/>
        <v/>
      </c>
      <c r="J137" s="16" t="str">
        <f>IF(B137="","",MATCH(B137,ALL!J:J,))</f>
        <v/>
      </c>
    </row>
    <row r="138" spans="6:10" x14ac:dyDescent="0.25">
      <c r="F138" s="44"/>
      <c r="G138" s="16" t="str">
        <f t="shared" si="4"/>
        <v/>
      </c>
      <c r="H138" s="16" t="str">
        <f t="shared" si="5"/>
        <v/>
      </c>
      <c r="J138" s="16" t="str">
        <f>IF(B138="","",MATCH(B138,ALL!J:J,))</f>
        <v/>
      </c>
    </row>
    <row r="139" spans="6:10" x14ac:dyDescent="0.25">
      <c r="F139" s="44"/>
      <c r="G139" s="16" t="str">
        <f t="shared" si="4"/>
        <v/>
      </c>
      <c r="H139" s="16" t="str">
        <f t="shared" si="5"/>
        <v/>
      </c>
      <c r="J139" s="16" t="str">
        <f>IF(B139="","",MATCH(B139,ALL!J:J,))</f>
        <v/>
      </c>
    </row>
    <row r="140" spans="6:10" x14ac:dyDescent="0.25">
      <c r="F140" s="44"/>
      <c r="G140" s="16" t="str">
        <f t="shared" si="4"/>
        <v/>
      </c>
      <c r="H140" s="16" t="str">
        <f t="shared" si="5"/>
        <v/>
      </c>
      <c r="J140" s="16" t="str">
        <f>IF(B140="","",MATCH(B140,ALL!J:J,))</f>
        <v/>
      </c>
    </row>
    <row r="141" spans="6:10" x14ac:dyDescent="0.25">
      <c r="F141" s="44"/>
      <c r="G141" s="16" t="str">
        <f t="shared" si="4"/>
        <v/>
      </c>
      <c r="H141" s="16" t="str">
        <f t="shared" si="5"/>
        <v/>
      </c>
      <c r="J141" s="16" t="str">
        <f>IF(B141="","",MATCH(B141,ALL!J:J,))</f>
        <v/>
      </c>
    </row>
    <row r="142" spans="6:10" x14ac:dyDescent="0.25">
      <c r="F142" s="44"/>
      <c r="G142" s="16" t="str">
        <f t="shared" si="4"/>
        <v/>
      </c>
      <c r="H142" s="16" t="str">
        <f t="shared" si="5"/>
        <v/>
      </c>
      <c r="J142" s="16" t="str">
        <f>IF(B142="","",MATCH(B142,ALL!J:J,))</f>
        <v/>
      </c>
    </row>
    <row r="143" spans="6:10" x14ac:dyDescent="0.25">
      <c r="F143" s="44"/>
      <c r="G143" s="16" t="str">
        <f t="shared" si="4"/>
        <v/>
      </c>
      <c r="H143" s="16" t="str">
        <f t="shared" si="5"/>
        <v/>
      </c>
      <c r="J143" s="16" t="str">
        <f>IF(B143="","",MATCH(B143,ALL!J:J,))</f>
        <v/>
      </c>
    </row>
    <row r="144" spans="6:10" x14ac:dyDescent="0.25">
      <c r="F144" s="44"/>
      <c r="G144" s="16" t="str">
        <f t="shared" si="4"/>
        <v/>
      </c>
      <c r="H144" s="16" t="str">
        <f t="shared" si="5"/>
        <v/>
      </c>
      <c r="J144" s="16" t="str">
        <f>IF(B144="","",MATCH(B144,ALL!J:J,))</f>
        <v/>
      </c>
    </row>
    <row r="145" spans="6:10" x14ac:dyDescent="0.25">
      <c r="F145" s="44"/>
      <c r="G145" s="16" t="str">
        <f t="shared" si="4"/>
        <v/>
      </c>
      <c r="H145" s="16" t="str">
        <f t="shared" si="5"/>
        <v/>
      </c>
      <c r="J145" s="16" t="str">
        <f>IF(B145="","",MATCH(B145,ALL!J:J,))</f>
        <v/>
      </c>
    </row>
    <row r="146" spans="6:10" x14ac:dyDescent="0.25">
      <c r="F146" s="44"/>
      <c r="G146" s="16" t="str">
        <f t="shared" si="4"/>
        <v/>
      </c>
      <c r="H146" s="16" t="str">
        <f t="shared" si="5"/>
        <v/>
      </c>
      <c r="J146" s="16" t="str">
        <f>IF(B146="","",MATCH(B146,ALL!J:J,))</f>
        <v/>
      </c>
    </row>
    <row r="147" spans="6:10" x14ac:dyDescent="0.25">
      <c r="F147" s="44"/>
      <c r="G147" s="16" t="str">
        <f t="shared" si="4"/>
        <v/>
      </c>
      <c r="H147" s="16" t="str">
        <f t="shared" si="5"/>
        <v/>
      </c>
      <c r="J147" s="16" t="str">
        <f>IF(B147="","",MATCH(B147,ALL!J:J,))</f>
        <v/>
      </c>
    </row>
    <row r="148" spans="6:10" x14ac:dyDescent="0.25">
      <c r="F148" s="44"/>
      <c r="G148" s="16" t="str">
        <f t="shared" si="4"/>
        <v/>
      </c>
      <c r="H148" s="16" t="str">
        <f t="shared" si="5"/>
        <v/>
      </c>
      <c r="J148" s="16" t="str">
        <f>IF(B148="","",MATCH(B148,ALL!J:J,))</f>
        <v/>
      </c>
    </row>
    <row r="149" spans="6:10" x14ac:dyDescent="0.25">
      <c r="F149" s="44"/>
      <c r="G149" s="16" t="str">
        <f t="shared" si="4"/>
        <v/>
      </c>
      <c r="H149" s="16" t="str">
        <f t="shared" si="5"/>
        <v/>
      </c>
      <c r="J149" s="16" t="str">
        <f>IF(B149="","",MATCH(B149,ALL!J:J,))</f>
        <v/>
      </c>
    </row>
    <row r="150" spans="6:10" x14ac:dyDescent="0.25">
      <c r="F150" s="44"/>
      <c r="G150" s="16" t="str">
        <f t="shared" si="4"/>
        <v/>
      </c>
      <c r="H150" s="16" t="str">
        <f t="shared" si="5"/>
        <v/>
      </c>
      <c r="J150" s="16" t="str">
        <f>IF(B150="","",MATCH(B150,ALL!J:J,))</f>
        <v/>
      </c>
    </row>
    <row r="151" spans="6:10" x14ac:dyDescent="0.25">
      <c r="F151" s="44"/>
      <c r="G151" s="16" t="str">
        <f t="shared" si="4"/>
        <v/>
      </c>
      <c r="H151" s="16" t="str">
        <f t="shared" si="5"/>
        <v/>
      </c>
      <c r="J151" s="16" t="str">
        <f>IF(B151="","",MATCH(B151,ALL!J:J,))</f>
        <v/>
      </c>
    </row>
    <row r="152" spans="6:10" x14ac:dyDescent="0.25">
      <c r="F152" s="44"/>
      <c r="G152" s="16" t="str">
        <f t="shared" si="4"/>
        <v/>
      </c>
      <c r="H152" s="16" t="str">
        <f t="shared" si="5"/>
        <v/>
      </c>
      <c r="J152" s="16" t="str">
        <f>IF(B152="","",MATCH(B152,ALL!J:J,))</f>
        <v/>
      </c>
    </row>
    <row r="153" spans="6:10" x14ac:dyDescent="0.25">
      <c r="F153" s="44"/>
      <c r="G153" s="16" t="str">
        <f t="shared" si="4"/>
        <v/>
      </c>
      <c r="H153" s="16" t="str">
        <f t="shared" si="5"/>
        <v/>
      </c>
      <c r="J153" s="16" t="str">
        <f>IF(B153="","",MATCH(B153,ALL!J:J,))</f>
        <v/>
      </c>
    </row>
    <row r="154" spans="6:10" x14ac:dyDescent="0.25">
      <c r="F154" s="44"/>
      <c r="G154" s="16" t="str">
        <f t="shared" si="4"/>
        <v/>
      </c>
      <c r="H154" s="16" t="str">
        <f t="shared" si="5"/>
        <v/>
      </c>
      <c r="J154" s="16" t="str">
        <f>IF(B154="","",MATCH(B154,ALL!J:J,))</f>
        <v/>
      </c>
    </row>
    <row r="155" spans="6:10" x14ac:dyDescent="0.25">
      <c r="F155" s="44"/>
      <c r="G155" s="16" t="str">
        <f t="shared" si="4"/>
        <v/>
      </c>
      <c r="H155" s="16" t="str">
        <f t="shared" si="5"/>
        <v/>
      </c>
      <c r="J155" s="16" t="str">
        <f>IF(B155="","",MATCH(B155,ALL!J:J,))</f>
        <v/>
      </c>
    </row>
    <row r="156" spans="6:10" x14ac:dyDescent="0.25">
      <c r="F156" s="44"/>
      <c r="G156" s="16" t="str">
        <f t="shared" si="4"/>
        <v/>
      </c>
      <c r="H156" s="16" t="str">
        <f t="shared" si="5"/>
        <v/>
      </c>
      <c r="J156" s="16" t="str">
        <f>IF(B156="","",MATCH(B156,ALL!J:J,))</f>
        <v/>
      </c>
    </row>
    <row r="157" spans="6:10" x14ac:dyDescent="0.25">
      <c r="F157" s="44"/>
      <c r="G157" s="16" t="str">
        <f t="shared" si="4"/>
        <v/>
      </c>
      <c r="H157" s="16" t="str">
        <f t="shared" si="5"/>
        <v/>
      </c>
      <c r="J157" s="16" t="str">
        <f>IF(B157="","",MATCH(B157,ALL!J:J,))</f>
        <v/>
      </c>
    </row>
    <row r="158" spans="6:10" x14ac:dyDescent="0.25">
      <c r="F158" s="44"/>
      <c r="G158" s="16" t="str">
        <f t="shared" si="4"/>
        <v/>
      </c>
      <c r="H158" s="16" t="str">
        <f t="shared" si="5"/>
        <v/>
      </c>
      <c r="J158" s="16" t="str">
        <f>IF(B158="","",MATCH(B158,ALL!J:J,))</f>
        <v/>
      </c>
    </row>
    <row r="159" spans="6:10" x14ac:dyDescent="0.25">
      <c r="F159" s="44"/>
      <c r="G159" s="16" t="str">
        <f t="shared" si="4"/>
        <v/>
      </c>
      <c r="H159" s="16" t="str">
        <f t="shared" si="5"/>
        <v/>
      </c>
      <c r="J159" s="16" t="str">
        <f>IF(B159="","",MATCH(B159,ALL!J:J,))</f>
        <v/>
      </c>
    </row>
    <row r="160" spans="6:10" x14ac:dyDescent="0.25">
      <c r="F160" s="44"/>
      <c r="G160" s="16" t="str">
        <f t="shared" si="4"/>
        <v/>
      </c>
      <c r="H160" s="16" t="str">
        <f t="shared" si="5"/>
        <v/>
      </c>
      <c r="J160" s="16" t="str">
        <f>IF(B160="","",MATCH(B160,ALL!J:J,))</f>
        <v/>
      </c>
    </row>
    <row r="161" spans="6:10" x14ac:dyDescent="0.25">
      <c r="F161" s="44"/>
      <c r="G161" s="16" t="str">
        <f t="shared" si="4"/>
        <v/>
      </c>
      <c r="H161" s="16" t="str">
        <f t="shared" si="5"/>
        <v/>
      </c>
      <c r="J161" s="16" t="str">
        <f>IF(B161="","",MATCH(B161,ALL!J:J,))</f>
        <v/>
      </c>
    </row>
    <row r="162" spans="6:10" x14ac:dyDescent="0.25">
      <c r="F162" s="44"/>
      <c r="G162" s="16" t="str">
        <f t="shared" si="4"/>
        <v/>
      </c>
      <c r="H162" s="16" t="str">
        <f t="shared" si="5"/>
        <v/>
      </c>
      <c r="J162" s="16" t="str">
        <f>IF(B162="","",MATCH(B162,ALL!J:J,))</f>
        <v/>
      </c>
    </row>
    <row r="163" spans="6:10" x14ac:dyDescent="0.25">
      <c r="F163" s="44"/>
      <c r="G163" s="16" t="str">
        <f t="shared" si="4"/>
        <v/>
      </c>
      <c r="H163" s="16" t="str">
        <f t="shared" si="5"/>
        <v/>
      </c>
      <c r="J163" s="16" t="str">
        <f>IF(B163="","",MATCH(B163,ALL!J:J,))</f>
        <v/>
      </c>
    </row>
    <row r="164" spans="6:10" x14ac:dyDescent="0.25">
      <c r="F164" s="44"/>
      <c r="G164" s="16" t="str">
        <f t="shared" si="4"/>
        <v/>
      </c>
      <c r="H164" s="16" t="str">
        <f t="shared" si="5"/>
        <v/>
      </c>
      <c r="J164" s="16" t="str">
        <f>IF(B164="","",MATCH(B164,ALL!J:J,))</f>
        <v/>
      </c>
    </row>
    <row r="165" spans="6:10" x14ac:dyDescent="0.25">
      <c r="F165" s="44"/>
      <c r="G165" s="16" t="str">
        <f t="shared" si="4"/>
        <v/>
      </c>
      <c r="H165" s="16" t="str">
        <f t="shared" si="5"/>
        <v/>
      </c>
      <c r="J165" s="16" t="str">
        <f>IF(B165="","",MATCH(B165,ALL!J:J,))</f>
        <v/>
      </c>
    </row>
    <row r="166" spans="6:10" x14ac:dyDescent="0.25">
      <c r="F166" s="44"/>
      <c r="G166" s="16" t="str">
        <f t="shared" si="4"/>
        <v/>
      </c>
      <c r="H166" s="16" t="str">
        <f t="shared" si="5"/>
        <v/>
      </c>
      <c r="J166" s="16" t="str">
        <f>IF(B166="","",MATCH(B166,ALL!J:J,))</f>
        <v/>
      </c>
    </row>
    <row r="167" spans="6:10" x14ac:dyDescent="0.25">
      <c r="F167" s="44"/>
      <c r="G167" s="16" t="str">
        <f t="shared" si="4"/>
        <v/>
      </c>
      <c r="H167" s="16" t="str">
        <f t="shared" si="5"/>
        <v/>
      </c>
      <c r="J167" s="16" t="str">
        <f>IF(B167="","",MATCH(B167,ALL!J:J,))</f>
        <v/>
      </c>
    </row>
    <row r="168" spans="6:10" x14ac:dyDescent="0.25">
      <c r="F168" s="44"/>
      <c r="G168" s="16" t="str">
        <f t="shared" si="4"/>
        <v/>
      </c>
      <c r="H168" s="16" t="str">
        <f t="shared" si="5"/>
        <v/>
      </c>
      <c r="J168" s="16" t="str">
        <f>IF(B168="","",MATCH(B168,ALL!J:J,))</f>
        <v/>
      </c>
    </row>
    <row r="169" spans="6:10" x14ac:dyDescent="0.25">
      <c r="F169" s="44"/>
      <c r="G169" s="16" t="str">
        <f t="shared" si="4"/>
        <v/>
      </c>
      <c r="H169" s="16" t="str">
        <f t="shared" si="5"/>
        <v/>
      </c>
      <c r="J169" s="16" t="str">
        <f>IF(B169="","",MATCH(B169,ALL!J:J,))</f>
        <v/>
      </c>
    </row>
    <row r="170" spans="6:10" x14ac:dyDescent="0.25">
      <c r="F170" s="44"/>
      <c r="G170" s="16" t="str">
        <f t="shared" si="4"/>
        <v/>
      </c>
      <c r="H170" s="16" t="str">
        <f t="shared" si="5"/>
        <v/>
      </c>
      <c r="J170" s="16" t="str">
        <f>IF(B170="","",MATCH(B170,ALL!J:J,))</f>
        <v/>
      </c>
    </row>
    <row r="171" spans="6:10" x14ac:dyDescent="0.25">
      <c r="F171" s="44"/>
      <c r="G171" s="16" t="str">
        <f t="shared" si="4"/>
        <v/>
      </c>
      <c r="H171" s="16" t="str">
        <f t="shared" si="5"/>
        <v/>
      </c>
      <c r="J171" s="16" t="str">
        <f>IF(B171="","",MATCH(B171,ALL!J:J,))</f>
        <v/>
      </c>
    </row>
    <row r="172" spans="6:10" x14ac:dyDescent="0.25">
      <c r="F172" s="44"/>
      <c r="G172" s="16" t="str">
        <f t="shared" si="4"/>
        <v/>
      </c>
      <c r="H172" s="16" t="str">
        <f t="shared" si="5"/>
        <v/>
      </c>
      <c r="J172" s="16" t="str">
        <f>IF(B172="","",MATCH(B172,ALL!J:J,))</f>
        <v/>
      </c>
    </row>
    <row r="173" spans="6:10" x14ac:dyDescent="0.25">
      <c r="F173" s="44"/>
      <c r="G173" s="16" t="str">
        <f t="shared" si="4"/>
        <v/>
      </c>
      <c r="H173" s="16" t="str">
        <f t="shared" si="5"/>
        <v/>
      </c>
      <c r="J173" s="16" t="str">
        <f>IF(B173="","",MATCH(B173,ALL!J:J,))</f>
        <v/>
      </c>
    </row>
    <row r="174" spans="6:10" x14ac:dyDescent="0.25">
      <c r="F174" s="44"/>
      <c r="G174" s="16" t="str">
        <f t="shared" si="4"/>
        <v/>
      </c>
      <c r="H174" s="16" t="str">
        <f t="shared" si="5"/>
        <v/>
      </c>
      <c r="J174" s="16" t="str">
        <f>IF(B174="","",MATCH(B174,ALL!J:J,))</f>
        <v/>
      </c>
    </row>
    <row r="175" spans="6:10" x14ac:dyDescent="0.25">
      <c r="F175" s="44"/>
      <c r="G175" s="16" t="str">
        <f t="shared" si="4"/>
        <v/>
      </c>
      <c r="H175" s="16" t="str">
        <f t="shared" si="5"/>
        <v/>
      </c>
      <c r="J175" s="16" t="str">
        <f>IF(B175="","",MATCH(B175,ALL!J:J,))</f>
        <v/>
      </c>
    </row>
    <row r="176" spans="6:10" x14ac:dyDescent="0.25">
      <c r="F176" s="44"/>
      <c r="G176" s="16" t="str">
        <f t="shared" si="4"/>
        <v/>
      </c>
      <c r="H176" s="16" t="str">
        <f t="shared" si="5"/>
        <v/>
      </c>
      <c r="J176" s="16" t="str">
        <f>IF(B176="","",MATCH(B176,ALL!J:J,))</f>
        <v/>
      </c>
    </row>
    <row r="177" spans="6:10" x14ac:dyDescent="0.25">
      <c r="F177" s="44"/>
      <c r="G177" s="16" t="str">
        <f t="shared" si="4"/>
        <v/>
      </c>
      <c r="H177" s="16" t="str">
        <f t="shared" si="5"/>
        <v/>
      </c>
      <c r="J177" s="16" t="str">
        <f>IF(B177="","",MATCH(B177,ALL!J:J,))</f>
        <v/>
      </c>
    </row>
    <row r="178" spans="6:10" x14ac:dyDescent="0.25">
      <c r="F178" s="44"/>
      <c r="G178" s="16" t="str">
        <f t="shared" si="4"/>
        <v/>
      </c>
      <c r="H178" s="16" t="str">
        <f t="shared" si="5"/>
        <v/>
      </c>
      <c r="J178" s="16" t="str">
        <f>IF(B178="","",MATCH(B178,ALL!J:J,))</f>
        <v/>
      </c>
    </row>
    <row r="179" spans="6:10" x14ac:dyDescent="0.25">
      <c r="F179" s="44"/>
      <c r="G179" s="16" t="str">
        <f t="shared" si="4"/>
        <v/>
      </c>
      <c r="H179" s="16" t="str">
        <f t="shared" si="5"/>
        <v/>
      </c>
      <c r="J179" s="16" t="str">
        <f>IF(B179="","",MATCH(B179,ALL!J:J,))</f>
        <v/>
      </c>
    </row>
    <row r="180" spans="6:10" x14ac:dyDescent="0.25">
      <c r="F180" s="44"/>
      <c r="G180" s="16" t="str">
        <f t="shared" si="4"/>
        <v/>
      </c>
      <c r="H180" s="16" t="str">
        <f t="shared" si="5"/>
        <v/>
      </c>
      <c r="J180" s="16" t="str">
        <f>IF(B180="","",MATCH(B180,ALL!J:J,))</f>
        <v/>
      </c>
    </row>
    <row r="181" spans="6:10" x14ac:dyDescent="0.25">
      <c r="F181" s="44"/>
      <c r="G181" s="16" t="str">
        <f t="shared" si="4"/>
        <v/>
      </c>
      <c r="H181" s="16" t="str">
        <f t="shared" si="5"/>
        <v/>
      </c>
      <c r="J181" s="16" t="str">
        <f>IF(B181="","",MATCH(B181,ALL!J:J,))</f>
        <v/>
      </c>
    </row>
    <row r="182" spans="6:10" x14ac:dyDescent="0.25">
      <c r="F182" s="44"/>
      <c r="G182" s="16" t="str">
        <f t="shared" si="4"/>
        <v/>
      </c>
      <c r="H182" s="16" t="str">
        <f t="shared" si="5"/>
        <v/>
      </c>
      <c r="J182" s="16" t="str">
        <f>IF(B182="","",MATCH(B182,ALL!J:J,))</f>
        <v/>
      </c>
    </row>
    <row r="183" spans="6:10" x14ac:dyDescent="0.25">
      <c r="F183" s="44"/>
      <c r="G183" s="16" t="str">
        <f t="shared" si="4"/>
        <v/>
      </c>
      <c r="H183" s="16" t="str">
        <f t="shared" si="5"/>
        <v/>
      </c>
      <c r="J183" s="16" t="str">
        <f>IF(B183="","",MATCH(B183,ALL!J:J,))</f>
        <v/>
      </c>
    </row>
    <row r="184" spans="6:10" x14ac:dyDescent="0.25">
      <c r="F184" s="44"/>
      <c r="G184" s="16" t="str">
        <f t="shared" si="4"/>
        <v/>
      </c>
      <c r="H184" s="16" t="str">
        <f t="shared" si="5"/>
        <v/>
      </c>
      <c r="J184" s="16" t="str">
        <f>IF(B184="","",MATCH(B184,ALL!J:J,))</f>
        <v/>
      </c>
    </row>
    <row r="185" spans="6:10" x14ac:dyDescent="0.25">
      <c r="F185" s="44"/>
      <c r="G185" s="16" t="str">
        <f t="shared" si="4"/>
        <v/>
      </c>
      <c r="H185" s="16" t="str">
        <f t="shared" si="5"/>
        <v/>
      </c>
      <c r="J185" s="16" t="str">
        <f>IF(B185="","",MATCH(B185,ALL!J:J,))</f>
        <v/>
      </c>
    </row>
    <row r="186" spans="6:10" x14ac:dyDescent="0.25">
      <c r="F186" s="44"/>
      <c r="G186" s="16" t="str">
        <f t="shared" si="4"/>
        <v/>
      </c>
      <c r="H186" s="16" t="str">
        <f t="shared" si="5"/>
        <v/>
      </c>
      <c r="J186" s="16" t="str">
        <f>IF(B186="","",MATCH(B186,ALL!J:J,))</f>
        <v/>
      </c>
    </row>
    <row r="187" spans="6:10" x14ac:dyDescent="0.25">
      <c r="F187" s="44"/>
      <c r="G187" s="16" t="str">
        <f t="shared" si="4"/>
        <v/>
      </c>
      <c r="H187" s="16" t="str">
        <f t="shared" si="5"/>
        <v/>
      </c>
      <c r="J187" s="16" t="str">
        <f>IF(B187="","",MATCH(B187,ALL!J:J,))</f>
        <v/>
      </c>
    </row>
    <row r="188" spans="6:10" x14ac:dyDescent="0.25">
      <c r="F188" s="44"/>
      <c r="G188" s="16" t="str">
        <f t="shared" si="4"/>
        <v/>
      </c>
      <c r="H188" s="16" t="str">
        <f t="shared" si="5"/>
        <v/>
      </c>
      <c r="J188" s="16" t="str">
        <f>IF(B188="","",MATCH(B188,ALL!J:J,))</f>
        <v/>
      </c>
    </row>
    <row r="189" spans="6:10" x14ac:dyDescent="0.25">
      <c r="F189" s="44"/>
      <c r="G189" s="16" t="str">
        <f t="shared" si="4"/>
        <v/>
      </c>
      <c r="H189" s="16" t="str">
        <f t="shared" si="5"/>
        <v/>
      </c>
      <c r="J189" s="16" t="str">
        <f>IF(B189="","",MATCH(B189,ALL!J:J,))</f>
        <v/>
      </c>
    </row>
    <row r="190" spans="6:10" x14ac:dyDescent="0.25">
      <c r="F190" s="44"/>
      <c r="G190" s="16" t="str">
        <f t="shared" si="4"/>
        <v/>
      </c>
      <c r="H190" s="16" t="str">
        <f t="shared" si="5"/>
        <v/>
      </c>
      <c r="J190" s="16" t="str">
        <f>IF(B190="","",MATCH(B190,ALL!J:J,))</f>
        <v/>
      </c>
    </row>
    <row r="191" spans="6:10" x14ac:dyDescent="0.25">
      <c r="F191" s="44"/>
      <c r="G191" s="16" t="str">
        <f t="shared" si="4"/>
        <v/>
      </c>
      <c r="H191" s="16" t="str">
        <f t="shared" si="5"/>
        <v/>
      </c>
      <c r="J191" s="16" t="str">
        <f>IF(B191="","",MATCH(B191,ALL!J:J,))</f>
        <v/>
      </c>
    </row>
    <row r="192" spans="6:10" x14ac:dyDescent="0.25">
      <c r="F192" s="44"/>
      <c r="G192" s="16" t="str">
        <f t="shared" ref="G192:G255" si="6">IFERROR(VALUE(LEFT(D192,LEN(D192)-7)),"")</f>
        <v/>
      </c>
      <c r="H192" s="16" t="str">
        <f t="shared" si="5"/>
        <v/>
      </c>
      <c r="J192" s="16" t="str">
        <f>IF(B192="","",MATCH(B192,ALL!J:J,))</f>
        <v/>
      </c>
    </row>
    <row r="193" spans="6:10" x14ac:dyDescent="0.25">
      <c r="F193" s="44"/>
      <c r="G193" s="16" t="str">
        <f t="shared" si="6"/>
        <v/>
      </c>
      <c r="H193" s="16" t="str">
        <f t="shared" ref="H193:H256" si="7">IFERROR(ROUND(VALUE(RIGHT(E193,LEN(E193)-4)),4),"")</f>
        <v/>
      </c>
      <c r="J193" s="16" t="str">
        <f>IF(B193="","",MATCH(B193,ALL!J:J,))</f>
        <v/>
      </c>
    </row>
    <row r="194" spans="6:10" x14ac:dyDescent="0.25">
      <c r="F194" s="44"/>
      <c r="G194" s="16" t="str">
        <f t="shared" si="6"/>
        <v/>
      </c>
      <c r="H194" s="16" t="str">
        <f t="shared" si="7"/>
        <v/>
      </c>
      <c r="J194" s="16" t="str">
        <f>IF(B194="","",MATCH(B194,ALL!J:J,))</f>
        <v/>
      </c>
    </row>
    <row r="195" spans="6:10" x14ac:dyDescent="0.25">
      <c r="F195" s="44"/>
      <c r="G195" s="16" t="str">
        <f t="shared" si="6"/>
        <v/>
      </c>
      <c r="H195" s="16" t="str">
        <f t="shared" si="7"/>
        <v/>
      </c>
      <c r="J195" s="16" t="str">
        <f>IF(B195="","",MATCH(B195,ALL!J:J,))</f>
        <v/>
      </c>
    </row>
    <row r="196" spans="6:10" x14ac:dyDescent="0.25">
      <c r="F196" s="44"/>
      <c r="G196" s="16" t="str">
        <f t="shared" si="6"/>
        <v/>
      </c>
      <c r="H196" s="16" t="str">
        <f t="shared" si="7"/>
        <v/>
      </c>
      <c r="J196" s="16" t="str">
        <f>IF(B196="","",MATCH(B196,ALL!J:J,))</f>
        <v/>
      </c>
    </row>
    <row r="197" spans="6:10" x14ac:dyDescent="0.25">
      <c r="F197" s="44"/>
      <c r="G197" s="16" t="str">
        <f t="shared" si="6"/>
        <v/>
      </c>
      <c r="H197" s="16" t="str">
        <f t="shared" si="7"/>
        <v/>
      </c>
      <c r="J197" s="16" t="str">
        <f>IF(B197="","",MATCH(B197,ALL!J:J,))</f>
        <v/>
      </c>
    </row>
    <row r="198" spans="6:10" x14ac:dyDescent="0.25">
      <c r="F198" s="44"/>
      <c r="G198" s="16" t="str">
        <f t="shared" si="6"/>
        <v/>
      </c>
      <c r="H198" s="16" t="str">
        <f t="shared" si="7"/>
        <v/>
      </c>
      <c r="J198" s="16" t="str">
        <f>IF(B198="","",MATCH(B198,ALL!J:J,))</f>
        <v/>
      </c>
    </row>
    <row r="199" spans="6:10" x14ac:dyDescent="0.25">
      <c r="F199" s="44"/>
      <c r="G199" s="16" t="str">
        <f t="shared" si="6"/>
        <v/>
      </c>
      <c r="H199" s="16" t="str">
        <f t="shared" si="7"/>
        <v/>
      </c>
      <c r="J199" s="16" t="str">
        <f>IF(B199="","",MATCH(B199,ALL!J:J,))</f>
        <v/>
      </c>
    </row>
    <row r="200" spans="6:10" x14ac:dyDescent="0.25">
      <c r="F200" s="44"/>
      <c r="G200" s="16" t="str">
        <f t="shared" si="6"/>
        <v/>
      </c>
      <c r="H200" s="16" t="str">
        <f t="shared" si="7"/>
        <v/>
      </c>
      <c r="J200" s="16" t="str">
        <f>IF(B200="","",MATCH(B200,ALL!J:J,))</f>
        <v/>
      </c>
    </row>
    <row r="201" spans="6:10" x14ac:dyDescent="0.25">
      <c r="F201" s="44"/>
      <c r="G201" s="16" t="str">
        <f t="shared" si="6"/>
        <v/>
      </c>
      <c r="H201" s="16" t="str">
        <f t="shared" si="7"/>
        <v/>
      </c>
      <c r="J201" s="16" t="str">
        <f>IF(B201="","",MATCH(B201,ALL!J:J,))</f>
        <v/>
      </c>
    </row>
    <row r="202" spans="6:10" x14ac:dyDescent="0.25">
      <c r="F202" s="44"/>
      <c r="G202" s="16" t="str">
        <f t="shared" si="6"/>
        <v/>
      </c>
      <c r="H202" s="16" t="str">
        <f t="shared" si="7"/>
        <v/>
      </c>
      <c r="J202" s="16" t="str">
        <f>IF(B202="","",MATCH(B202,ALL!J:J,))</f>
        <v/>
      </c>
    </row>
    <row r="203" spans="6:10" x14ac:dyDescent="0.25">
      <c r="F203" s="44"/>
      <c r="G203" s="16" t="str">
        <f t="shared" si="6"/>
        <v/>
      </c>
      <c r="H203" s="16" t="str">
        <f t="shared" si="7"/>
        <v/>
      </c>
      <c r="J203" s="16" t="str">
        <f>IF(B203="","",MATCH(B203,ALL!J:J,))</f>
        <v/>
      </c>
    </row>
    <row r="204" spans="6:10" x14ac:dyDescent="0.25">
      <c r="F204" s="44"/>
      <c r="G204" s="16" t="str">
        <f t="shared" si="6"/>
        <v/>
      </c>
      <c r="H204" s="16" t="str">
        <f t="shared" si="7"/>
        <v/>
      </c>
      <c r="J204" s="16" t="str">
        <f>IF(B204="","",MATCH(B204,ALL!J:J,))</f>
        <v/>
      </c>
    </row>
    <row r="205" spans="6:10" x14ac:dyDescent="0.25">
      <c r="F205" s="44"/>
      <c r="G205" s="16" t="str">
        <f t="shared" si="6"/>
        <v/>
      </c>
      <c r="H205" s="16" t="str">
        <f t="shared" si="7"/>
        <v/>
      </c>
      <c r="J205" s="16" t="str">
        <f>IF(B205="","",MATCH(B205,ALL!J:J,))</f>
        <v/>
      </c>
    </row>
    <row r="206" spans="6:10" x14ac:dyDescent="0.25">
      <c r="F206" s="44"/>
      <c r="G206" s="16" t="str">
        <f t="shared" si="6"/>
        <v/>
      </c>
      <c r="H206" s="16" t="str">
        <f t="shared" si="7"/>
        <v/>
      </c>
      <c r="J206" s="16" t="str">
        <f>IF(B206="","",MATCH(B206,ALL!J:J,))</f>
        <v/>
      </c>
    </row>
    <row r="207" spans="6:10" x14ac:dyDescent="0.25">
      <c r="F207" s="44"/>
      <c r="G207" s="16" t="str">
        <f t="shared" si="6"/>
        <v/>
      </c>
      <c r="H207" s="16" t="str">
        <f t="shared" si="7"/>
        <v/>
      </c>
      <c r="J207" s="16" t="str">
        <f>IF(B207="","",MATCH(B207,ALL!J:J,))</f>
        <v/>
      </c>
    </row>
    <row r="208" spans="6:10" x14ac:dyDescent="0.25">
      <c r="F208" s="44"/>
      <c r="G208" s="16" t="str">
        <f t="shared" si="6"/>
        <v/>
      </c>
      <c r="H208" s="16" t="str">
        <f t="shared" si="7"/>
        <v/>
      </c>
      <c r="J208" s="16" t="str">
        <f>IF(B208="","",MATCH(B208,ALL!J:J,))</f>
        <v/>
      </c>
    </row>
    <row r="209" spans="6:10" x14ac:dyDescent="0.25">
      <c r="F209" s="44"/>
      <c r="G209" s="16" t="str">
        <f t="shared" si="6"/>
        <v/>
      </c>
      <c r="H209" s="16" t="str">
        <f t="shared" si="7"/>
        <v/>
      </c>
      <c r="J209" s="16" t="str">
        <f>IF(B209="","",MATCH(B209,ALL!J:J,))</f>
        <v/>
      </c>
    </row>
    <row r="210" spans="6:10" x14ac:dyDescent="0.25">
      <c r="F210" s="44"/>
      <c r="G210" s="16" t="str">
        <f t="shared" si="6"/>
        <v/>
      </c>
      <c r="H210" s="16" t="str">
        <f t="shared" si="7"/>
        <v/>
      </c>
      <c r="J210" s="16" t="str">
        <f>IF(B210="","",MATCH(B210,ALL!J:J,))</f>
        <v/>
      </c>
    </row>
    <row r="211" spans="6:10" x14ac:dyDescent="0.25">
      <c r="F211" s="44"/>
      <c r="G211" s="16" t="str">
        <f t="shared" si="6"/>
        <v/>
      </c>
      <c r="H211" s="16" t="str">
        <f t="shared" si="7"/>
        <v/>
      </c>
      <c r="J211" s="16" t="str">
        <f>IF(B211="","",MATCH(B211,ALL!J:J,))</f>
        <v/>
      </c>
    </row>
    <row r="212" spans="6:10" x14ac:dyDescent="0.25">
      <c r="F212" s="44"/>
      <c r="G212" s="16" t="str">
        <f t="shared" si="6"/>
        <v/>
      </c>
      <c r="H212" s="16" t="str">
        <f t="shared" si="7"/>
        <v/>
      </c>
      <c r="J212" s="16" t="str">
        <f>IF(B212="","",MATCH(B212,ALL!J:J,))</f>
        <v/>
      </c>
    </row>
    <row r="213" spans="6:10" x14ac:dyDescent="0.25">
      <c r="F213" s="44"/>
      <c r="G213" s="16" t="str">
        <f t="shared" si="6"/>
        <v/>
      </c>
      <c r="H213" s="16" t="str">
        <f t="shared" si="7"/>
        <v/>
      </c>
      <c r="J213" s="16" t="str">
        <f>IF(B213="","",MATCH(B213,ALL!J:J,))</f>
        <v/>
      </c>
    </row>
    <row r="214" spans="6:10" x14ac:dyDescent="0.25">
      <c r="F214" s="44"/>
      <c r="G214" s="16" t="str">
        <f t="shared" si="6"/>
        <v/>
      </c>
      <c r="H214" s="16" t="str">
        <f t="shared" si="7"/>
        <v/>
      </c>
      <c r="J214" s="16" t="str">
        <f>IF(B214="","",MATCH(B214,ALL!J:J,))</f>
        <v/>
      </c>
    </row>
    <row r="215" spans="6:10" x14ac:dyDescent="0.25">
      <c r="F215" s="44"/>
      <c r="G215" s="16" t="str">
        <f t="shared" si="6"/>
        <v/>
      </c>
      <c r="H215" s="16" t="str">
        <f t="shared" si="7"/>
        <v/>
      </c>
      <c r="J215" s="16" t="str">
        <f>IF(B215="","",MATCH(B215,ALL!J:J,))</f>
        <v/>
      </c>
    </row>
    <row r="216" spans="6:10" x14ac:dyDescent="0.25">
      <c r="F216" s="44"/>
      <c r="G216" s="16" t="str">
        <f t="shared" si="6"/>
        <v/>
      </c>
      <c r="H216" s="16" t="str">
        <f t="shared" si="7"/>
        <v/>
      </c>
      <c r="J216" s="16" t="str">
        <f>IF(B216="","",MATCH(B216,ALL!J:J,))</f>
        <v/>
      </c>
    </row>
    <row r="217" spans="6:10" x14ac:dyDescent="0.25">
      <c r="F217" s="44"/>
      <c r="G217" s="16" t="str">
        <f t="shared" si="6"/>
        <v/>
      </c>
      <c r="H217" s="16" t="str">
        <f t="shared" si="7"/>
        <v/>
      </c>
      <c r="J217" s="16" t="str">
        <f>IF(B217="","",MATCH(B217,ALL!J:J,))</f>
        <v/>
      </c>
    </row>
    <row r="218" spans="6:10" x14ac:dyDescent="0.25">
      <c r="F218" s="44"/>
      <c r="G218" s="16" t="str">
        <f t="shared" si="6"/>
        <v/>
      </c>
      <c r="H218" s="16" t="str">
        <f t="shared" si="7"/>
        <v/>
      </c>
      <c r="J218" s="16" t="str">
        <f>IF(B218="","",MATCH(B218,ALL!J:J,))</f>
        <v/>
      </c>
    </row>
    <row r="219" spans="6:10" x14ac:dyDescent="0.25">
      <c r="F219" s="44"/>
      <c r="G219" s="16" t="str">
        <f t="shared" si="6"/>
        <v/>
      </c>
      <c r="H219" s="16" t="str">
        <f t="shared" si="7"/>
        <v/>
      </c>
      <c r="J219" s="16" t="str">
        <f>IF(B219="","",MATCH(B219,ALL!J:J,))</f>
        <v/>
      </c>
    </row>
    <row r="220" spans="6:10" x14ac:dyDescent="0.25">
      <c r="F220" s="44"/>
      <c r="G220" s="16" t="str">
        <f t="shared" si="6"/>
        <v/>
      </c>
      <c r="H220" s="16" t="str">
        <f t="shared" si="7"/>
        <v/>
      </c>
      <c r="J220" s="16" t="str">
        <f>IF(B220="","",MATCH(B220,ALL!J:J,))</f>
        <v/>
      </c>
    </row>
    <row r="221" spans="6:10" x14ac:dyDescent="0.25">
      <c r="F221" s="44"/>
      <c r="G221" s="16" t="str">
        <f t="shared" si="6"/>
        <v/>
      </c>
      <c r="H221" s="16" t="str">
        <f t="shared" si="7"/>
        <v/>
      </c>
      <c r="J221" s="16" t="str">
        <f>IF(B221="","",MATCH(B221,ALL!J:J,))</f>
        <v/>
      </c>
    </row>
    <row r="222" spans="6:10" x14ac:dyDescent="0.25">
      <c r="F222" s="44"/>
      <c r="G222" s="16" t="str">
        <f t="shared" si="6"/>
        <v/>
      </c>
      <c r="H222" s="16" t="str">
        <f t="shared" si="7"/>
        <v/>
      </c>
      <c r="J222" s="16" t="str">
        <f>IF(B222="","",MATCH(B222,ALL!J:J,))</f>
        <v/>
      </c>
    </row>
    <row r="223" spans="6:10" x14ac:dyDescent="0.25">
      <c r="F223" s="44"/>
      <c r="G223" s="16" t="str">
        <f t="shared" si="6"/>
        <v/>
      </c>
      <c r="H223" s="16" t="str">
        <f t="shared" si="7"/>
        <v/>
      </c>
      <c r="J223" s="16" t="str">
        <f>IF(B223="","",MATCH(B223,ALL!J:J,))</f>
        <v/>
      </c>
    </row>
    <row r="224" spans="6:10" x14ac:dyDescent="0.25">
      <c r="F224" s="44"/>
      <c r="G224" s="16" t="str">
        <f t="shared" si="6"/>
        <v/>
      </c>
      <c r="H224" s="16" t="str">
        <f t="shared" si="7"/>
        <v/>
      </c>
      <c r="J224" s="16" t="str">
        <f>IF(B224="","",MATCH(B224,ALL!J:J,))</f>
        <v/>
      </c>
    </row>
    <row r="225" spans="6:10" x14ac:dyDescent="0.25">
      <c r="F225" s="44"/>
      <c r="G225" s="16" t="str">
        <f t="shared" si="6"/>
        <v/>
      </c>
      <c r="H225" s="16" t="str">
        <f t="shared" si="7"/>
        <v/>
      </c>
      <c r="J225" s="16" t="str">
        <f>IF(B225="","",MATCH(B225,ALL!J:J,))</f>
        <v/>
      </c>
    </row>
    <row r="226" spans="6:10" x14ac:dyDescent="0.25">
      <c r="F226" s="44"/>
      <c r="G226" s="16" t="str">
        <f t="shared" si="6"/>
        <v/>
      </c>
      <c r="H226" s="16" t="str">
        <f t="shared" si="7"/>
        <v/>
      </c>
      <c r="J226" s="16" t="str">
        <f>IF(B226="","",MATCH(B226,ALL!J:J,))</f>
        <v/>
      </c>
    </row>
    <row r="227" spans="6:10" x14ac:dyDescent="0.25">
      <c r="F227" s="44"/>
      <c r="G227" s="16" t="str">
        <f t="shared" si="6"/>
        <v/>
      </c>
      <c r="H227" s="16" t="str">
        <f t="shared" si="7"/>
        <v/>
      </c>
      <c r="J227" s="16" t="str">
        <f>IF(B227="","",MATCH(B227,ALL!J:J,))</f>
        <v/>
      </c>
    </row>
    <row r="228" spans="6:10" x14ac:dyDescent="0.25">
      <c r="F228" s="44"/>
      <c r="G228" s="16" t="str">
        <f t="shared" si="6"/>
        <v/>
      </c>
      <c r="H228" s="16" t="str">
        <f t="shared" si="7"/>
        <v/>
      </c>
      <c r="J228" s="16" t="str">
        <f>IF(B228="","",MATCH(B228,ALL!J:J,))</f>
        <v/>
      </c>
    </row>
    <row r="229" spans="6:10" x14ac:dyDescent="0.25">
      <c r="F229" s="44"/>
      <c r="G229" s="16" t="str">
        <f t="shared" si="6"/>
        <v/>
      </c>
      <c r="H229" s="16" t="str">
        <f t="shared" si="7"/>
        <v/>
      </c>
      <c r="J229" s="16" t="str">
        <f>IF(B229="","",MATCH(B229,ALL!J:J,))</f>
        <v/>
      </c>
    </row>
    <row r="230" spans="6:10" x14ac:dyDescent="0.25">
      <c r="F230" s="44"/>
      <c r="G230" s="16" t="str">
        <f t="shared" si="6"/>
        <v/>
      </c>
      <c r="H230" s="16" t="str">
        <f t="shared" si="7"/>
        <v/>
      </c>
      <c r="J230" s="16" t="str">
        <f>IF(B230="","",MATCH(B230,ALL!J:J,))</f>
        <v/>
      </c>
    </row>
    <row r="231" spans="6:10" x14ac:dyDescent="0.25">
      <c r="F231" s="44"/>
      <c r="G231" s="16" t="str">
        <f t="shared" si="6"/>
        <v/>
      </c>
      <c r="H231" s="16" t="str">
        <f t="shared" si="7"/>
        <v/>
      </c>
      <c r="J231" s="16" t="str">
        <f>IF(B231="","",MATCH(B231,ALL!J:J,))</f>
        <v/>
      </c>
    </row>
    <row r="232" spans="6:10" x14ac:dyDescent="0.25">
      <c r="F232" s="44"/>
      <c r="G232" s="16" t="str">
        <f t="shared" si="6"/>
        <v/>
      </c>
      <c r="H232" s="16" t="str">
        <f t="shared" si="7"/>
        <v/>
      </c>
      <c r="J232" s="16" t="str">
        <f>IF(B232="","",MATCH(B232,ALL!J:J,))</f>
        <v/>
      </c>
    </row>
    <row r="233" spans="6:10" x14ac:dyDescent="0.25">
      <c r="F233" s="44"/>
      <c r="G233" s="16" t="str">
        <f t="shared" si="6"/>
        <v/>
      </c>
      <c r="H233" s="16" t="str">
        <f t="shared" si="7"/>
        <v/>
      </c>
      <c r="J233" s="16" t="str">
        <f>IF(B233="","",MATCH(B233,ALL!J:J,))</f>
        <v/>
      </c>
    </row>
    <row r="234" spans="6:10" x14ac:dyDescent="0.25">
      <c r="F234" s="44"/>
      <c r="G234" s="16" t="str">
        <f t="shared" si="6"/>
        <v/>
      </c>
      <c r="H234" s="16" t="str">
        <f t="shared" si="7"/>
        <v/>
      </c>
      <c r="J234" s="16" t="str">
        <f>IF(B234="","",MATCH(B234,ALL!J:J,))</f>
        <v/>
      </c>
    </row>
    <row r="235" spans="6:10" x14ac:dyDescent="0.25">
      <c r="F235" s="44"/>
      <c r="G235" s="16" t="str">
        <f t="shared" si="6"/>
        <v/>
      </c>
      <c r="H235" s="16" t="str">
        <f t="shared" si="7"/>
        <v/>
      </c>
      <c r="J235" s="16" t="str">
        <f>IF(B235="","",MATCH(B235,ALL!J:J,))</f>
        <v/>
      </c>
    </row>
    <row r="236" spans="6:10" x14ac:dyDescent="0.25">
      <c r="F236" s="44"/>
      <c r="G236" s="16" t="str">
        <f t="shared" si="6"/>
        <v/>
      </c>
      <c r="H236" s="16" t="str">
        <f t="shared" si="7"/>
        <v/>
      </c>
      <c r="J236" s="16" t="str">
        <f>IF(B236="","",MATCH(B236,ALL!J:J,))</f>
        <v/>
      </c>
    </row>
    <row r="237" spans="6:10" x14ac:dyDescent="0.25">
      <c r="F237" s="44"/>
      <c r="G237" s="16" t="str">
        <f t="shared" si="6"/>
        <v/>
      </c>
      <c r="H237" s="16" t="str">
        <f t="shared" si="7"/>
        <v/>
      </c>
      <c r="J237" s="16" t="str">
        <f>IF(B237="","",MATCH(B237,ALL!J:J,))</f>
        <v/>
      </c>
    </row>
    <row r="238" spans="6:10" x14ac:dyDescent="0.25">
      <c r="F238" s="44"/>
      <c r="G238" s="16" t="str">
        <f t="shared" si="6"/>
        <v/>
      </c>
      <c r="H238" s="16" t="str">
        <f t="shared" si="7"/>
        <v/>
      </c>
      <c r="J238" s="16" t="str">
        <f>IF(B238="","",MATCH(B238,ALL!J:J,))</f>
        <v/>
      </c>
    </row>
    <row r="239" spans="6:10" x14ac:dyDescent="0.25">
      <c r="F239" s="44"/>
      <c r="G239" s="16" t="str">
        <f t="shared" si="6"/>
        <v/>
      </c>
      <c r="H239" s="16" t="str">
        <f t="shared" si="7"/>
        <v/>
      </c>
      <c r="J239" s="16" t="str">
        <f>IF(B239="","",MATCH(B239,ALL!J:J,))</f>
        <v/>
      </c>
    </row>
    <row r="240" spans="6:10" x14ac:dyDescent="0.25">
      <c r="F240" s="44"/>
      <c r="G240" s="16" t="str">
        <f t="shared" si="6"/>
        <v/>
      </c>
      <c r="H240" s="16" t="str">
        <f t="shared" si="7"/>
        <v/>
      </c>
      <c r="J240" s="16" t="str">
        <f>IF(B240="","",MATCH(B240,ALL!J:J,))</f>
        <v/>
      </c>
    </row>
    <row r="241" spans="6:10" x14ac:dyDescent="0.25">
      <c r="F241" s="44"/>
      <c r="G241" s="16" t="str">
        <f t="shared" si="6"/>
        <v/>
      </c>
      <c r="H241" s="16" t="str">
        <f t="shared" si="7"/>
        <v/>
      </c>
      <c r="J241" s="16" t="str">
        <f>IF(B241="","",MATCH(B241,ALL!J:J,))</f>
        <v/>
      </c>
    </row>
    <row r="242" spans="6:10" x14ac:dyDescent="0.25">
      <c r="F242" s="44"/>
      <c r="G242" s="16" t="str">
        <f t="shared" si="6"/>
        <v/>
      </c>
      <c r="H242" s="16" t="str">
        <f t="shared" si="7"/>
        <v/>
      </c>
      <c r="J242" s="16" t="str">
        <f>IF(B242="","",MATCH(B242,ALL!J:J,))</f>
        <v/>
      </c>
    </row>
    <row r="243" spans="6:10" x14ac:dyDescent="0.25">
      <c r="F243" s="44"/>
      <c r="G243" s="16" t="str">
        <f t="shared" si="6"/>
        <v/>
      </c>
      <c r="H243" s="16" t="str">
        <f t="shared" si="7"/>
        <v/>
      </c>
      <c r="J243" s="16" t="str">
        <f>IF(B243="","",MATCH(B243,ALL!J:J,))</f>
        <v/>
      </c>
    </row>
    <row r="244" spans="6:10" x14ac:dyDescent="0.25">
      <c r="F244" s="44"/>
      <c r="G244" s="16" t="str">
        <f t="shared" si="6"/>
        <v/>
      </c>
      <c r="H244" s="16" t="str">
        <f t="shared" si="7"/>
        <v/>
      </c>
      <c r="J244" s="16" t="str">
        <f>IF(B244="","",MATCH(B244,ALL!J:J,))</f>
        <v/>
      </c>
    </row>
    <row r="245" spans="6:10" x14ac:dyDescent="0.25">
      <c r="F245" s="44"/>
      <c r="G245" s="16" t="str">
        <f t="shared" si="6"/>
        <v/>
      </c>
      <c r="H245" s="16" t="str">
        <f t="shared" si="7"/>
        <v/>
      </c>
      <c r="J245" s="16" t="str">
        <f>IF(B245="","",MATCH(B245,ALL!J:J,))</f>
        <v/>
      </c>
    </row>
    <row r="246" spans="6:10" x14ac:dyDescent="0.25">
      <c r="F246" s="44"/>
      <c r="G246" s="16" t="str">
        <f t="shared" si="6"/>
        <v/>
      </c>
      <c r="H246" s="16" t="str">
        <f t="shared" si="7"/>
        <v/>
      </c>
      <c r="J246" s="16" t="str">
        <f>IF(B246="","",MATCH(B246,ALL!J:J,))</f>
        <v/>
      </c>
    </row>
    <row r="247" spans="6:10" x14ac:dyDescent="0.25">
      <c r="F247" s="44"/>
      <c r="G247" s="16" t="str">
        <f t="shared" si="6"/>
        <v/>
      </c>
      <c r="H247" s="16" t="str">
        <f t="shared" si="7"/>
        <v/>
      </c>
      <c r="J247" s="16" t="str">
        <f>IF(B247="","",MATCH(B247,ALL!J:J,))</f>
        <v/>
      </c>
    </row>
    <row r="248" spans="6:10" x14ac:dyDescent="0.25">
      <c r="F248" s="44"/>
      <c r="G248" s="16" t="str">
        <f t="shared" si="6"/>
        <v/>
      </c>
      <c r="H248" s="16" t="str">
        <f t="shared" si="7"/>
        <v/>
      </c>
      <c r="J248" s="16" t="str">
        <f>IF(B248="","",MATCH(B248,ALL!J:J,))</f>
        <v/>
      </c>
    </row>
    <row r="249" spans="6:10" x14ac:dyDescent="0.25">
      <c r="F249" s="44"/>
      <c r="G249" s="16" t="str">
        <f t="shared" si="6"/>
        <v/>
      </c>
      <c r="H249" s="16" t="str">
        <f t="shared" si="7"/>
        <v/>
      </c>
      <c r="J249" s="16" t="str">
        <f>IF(B249="","",MATCH(B249,ALL!J:J,))</f>
        <v/>
      </c>
    </row>
    <row r="250" spans="6:10" x14ac:dyDescent="0.25">
      <c r="F250" s="44"/>
      <c r="G250" s="16" t="str">
        <f t="shared" si="6"/>
        <v/>
      </c>
      <c r="H250" s="16" t="str">
        <f t="shared" si="7"/>
        <v/>
      </c>
      <c r="J250" s="16" t="str">
        <f>IF(B250="","",MATCH(B250,ALL!J:J,))</f>
        <v/>
      </c>
    </row>
    <row r="251" spans="6:10" x14ac:dyDescent="0.25">
      <c r="F251" s="44"/>
      <c r="G251" s="16" t="str">
        <f t="shared" si="6"/>
        <v/>
      </c>
      <c r="H251" s="16" t="str">
        <f t="shared" si="7"/>
        <v/>
      </c>
      <c r="J251" s="16" t="str">
        <f>IF(B251="","",MATCH(B251,ALL!J:J,))</f>
        <v/>
      </c>
    </row>
    <row r="252" spans="6:10" x14ac:dyDescent="0.25">
      <c r="F252" s="44"/>
      <c r="G252" s="16" t="str">
        <f t="shared" si="6"/>
        <v/>
      </c>
      <c r="H252" s="16" t="str">
        <f t="shared" si="7"/>
        <v/>
      </c>
      <c r="J252" s="16" t="str">
        <f>IF(B252="","",MATCH(B252,ALL!J:J,))</f>
        <v/>
      </c>
    </row>
    <row r="253" spans="6:10" x14ac:dyDescent="0.25">
      <c r="F253" s="44"/>
      <c r="G253" s="16" t="str">
        <f t="shared" si="6"/>
        <v/>
      </c>
      <c r="H253" s="16" t="str">
        <f t="shared" si="7"/>
        <v/>
      </c>
      <c r="J253" s="16" t="str">
        <f>IF(B253="","",MATCH(B253,ALL!J:J,))</f>
        <v/>
      </c>
    </row>
    <row r="254" spans="6:10" x14ac:dyDescent="0.25">
      <c r="F254" s="44"/>
      <c r="G254" s="16" t="str">
        <f t="shared" si="6"/>
        <v/>
      </c>
      <c r="H254" s="16" t="str">
        <f t="shared" si="7"/>
        <v/>
      </c>
      <c r="J254" s="16" t="str">
        <f>IF(B254="","",MATCH(B254,ALL!J:J,))</f>
        <v/>
      </c>
    </row>
    <row r="255" spans="6:10" x14ac:dyDescent="0.25">
      <c r="F255" s="44"/>
      <c r="G255" s="16" t="str">
        <f t="shared" si="6"/>
        <v/>
      </c>
      <c r="H255" s="16" t="str">
        <f t="shared" si="7"/>
        <v/>
      </c>
      <c r="J255" s="16" t="str">
        <f>IF(B255="","",MATCH(B255,ALL!J:J,))</f>
        <v/>
      </c>
    </row>
    <row r="256" spans="6:10" x14ac:dyDescent="0.25">
      <c r="F256" s="44"/>
      <c r="G256" s="16" t="str">
        <f t="shared" ref="G256:G299" si="8">IFERROR(VALUE(LEFT(D256,LEN(D256)-7)),"")</f>
        <v/>
      </c>
      <c r="H256" s="16" t="str">
        <f t="shared" si="7"/>
        <v/>
      </c>
      <c r="J256" s="16" t="str">
        <f>IF(B256="","",MATCH(B256,ALL!J:J,))</f>
        <v/>
      </c>
    </row>
    <row r="257" spans="6:10" x14ac:dyDescent="0.25">
      <c r="F257" s="44"/>
      <c r="G257" s="16" t="str">
        <f t="shared" si="8"/>
        <v/>
      </c>
      <c r="H257" s="16" t="str">
        <f t="shared" ref="H257:H299" si="9">IFERROR(ROUND(VALUE(RIGHT(E257,LEN(E257)-4)),4),"")</f>
        <v/>
      </c>
      <c r="J257" s="16" t="str">
        <f>IF(B257="","",MATCH(B257,ALL!J:J,))</f>
        <v/>
      </c>
    </row>
    <row r="258" spans="6:10" x14ac:dyDescent="0.25">
      <c r="F258" s="44"/>
      <c r="G258" s="16" t="str">
        <f t="shared" si="8"/>
        <v/>
      </c>
      <c r="H258" s="16" t="str">
        <f t="shared" si="9"/>
        <v/>
      </c>
      <c r="J258" s="16" t="str">
        <f>IF(B258="","",MATCH(B258,ALL!J:J,))</f>
        <v/>
      </c>
    </row>
    <row r="259" spans="6:10" x14ac:dyDescent="0.25">
      <c r="F259" s="44"/>
      <c r="G259" s="16" t="str">
        <f t="shared" si="8"/>
        <v/>
      </c>
      <c r="H259" s="16" t="str">
        <f t="shared" si="9"/>
        <v/>
      </c>
      <c r="J259" s="16" t="str">
        <f>IF(B259="","",MATCH(B259,ALL!J:J,))</f>
        <v/>
      </c>
    </row>
    <row r="260" spans="6:10" x14ac:dyDescent="0.25">
      <c r="F260" s="44"/>
      <c r="G260" s="16" t="str">
        <f t="shared" si="8"/>
        <v/>
      </c>
      <c r="H260" s="16" t="str">
        <f t="shared" si="9"/>
        <v/>
      </c>
      <c r="J260" s="16" t="str">
        <f>IF(B260="","",MATCH(B260,ALL!J:J,))</f>
        <v/>
      </c>
    </row>
    <row r="261" spans="6:10" x14ac:dyDescent="0.25">
      <c r="F261" s="44"/>
      <c r="G261" s="16" t="str">
        <f t="shared" si="8"/>
        <v/>
      </c>
      <c r="H261" s="16" t="str">
        <f t="shared" si="9"/>
        <v/>
      </c>
      <c r="J261" s="16" t="str">
        <f>IF(B261="","",MATCH(B261,ALL!J:J,))</f>
        <v/>
      </c>
    </row>
    <row r="262" spans="6:10" x14ac:dyDescent="0.25">
      <c r="F262" s="44"/>
      <c r="G262" s="16" t="str">
        <f t="shared" si="8"/>
        <v/>
      </c>
      <c r="H262" s="16" t="str">
        <f t="shared" si="9"/>
        <v/>
      </c>
      <c r="J262" s="16" t="str">
        <f>IF(B262="","",MATCH(B262,ALL!J:J,))</f>
        <v/>
      </c>
    </row>
    <row r="263" spans="6:10" x14ac:dyDescent="0.25">
      <c r="F263" s="44"/>
      <c r="G263" s="16" t="str">
        <f t="shared" si="8"/>
        <v/>
      </c>
      <c r="H263" s="16" t="str">
        <f t="shared" si="9"/>
        <v/>
      </c>
      <c r="J263" s="16" t="str">
        <f>IF(B263="","",MATCH(B263,ALL!J:J,))</f>
        <v/>
      </c>
    </row>
    <row r="264" spans="6:10" x14ac:dyDescent="0.25">
      <c r="F264" s="44"/>
      <c r="G264" s="16" t="str">
        <f t="shared" si="8"/>
        <v/>
      </c>
      <c r="H264" s="16" t="str">
        <f t="shared" si="9"/>
        <v/>
      </c>
      <c r="J264" s="16" t="str">
        <f>IF(B264="","",MATCH(B264,ALL!J:J,))</f>
        <v/>
      </c>
    </row>
    <row r="265" spans="6:10" x14ac:dyDescent="0.25">
      <c r="F265" s="44"/>
      <c r="G265" s="16" t="str">
        <f t="shared" si="8"/>
        <v/>
      </c>
      <c r="H265" s="16" t="str">
        <f t="shared" si="9"/>
        <v/>
      </c>
      <c r="J265" s="16" t="str">
        <f>IF(B265="","",MATCH(B265,ALL!J:J,))</f>
        <v/>
      </c>
    </row>
    <row r="266" spans="6:10" x14ac:dyDescent="0.25">
      <c r="F266" s="44"/>
      <c r="G266" s="16" t="str">
        <f t="shared" si="8"/>
        <v/>
      </c>
      <c r="H266" s="16" t="str">
        <f t="shared" si="9"/>
        <v/>
      </c>
      <c r="J266" s="16" t="str">
        <f>IF(B266="","",MATCH(B266,ALL!J:J,))</f>
        <v/>
      </c>
    </row>
    <row r="267" spans="6:10" x14ac:dyDescent="0.25">
      <c r="F267" s="44"/>
      <c r="G267" s="16" t="str">
        <f t="shared" si="8"/>
        <v/>
      </c>
      <c r="H267" s="16" t="str">
        <f t="shared" si="9"/>
        <v/>
      </c>
      <c r="J267" s="16" t="str">
        <f>IF(B267="","",MATCH(B267,ALL!J:J,))</f>
        <v/>
      </c>
    </row>
    <row r="268" spans="6:10" x14ac:dyDescent="0.25">
      <c r="F268" s="44"/>
      <c r="G268" s="16" t="str">
        <f t="shared" si="8"/>
        <v/>
      </c>
      <c r="H268" s="16" t="str">
        <f t="shared" si="9"/>
        <v/>
      </c>
      <c r="J268" s="16" t="str">
        <f>IF(B268="","",MATCH(B268,ALL!J:J,))</f>
        <v/>
      </c>
    </row>
    <row r="269" spans="6:10" x14ac:dyDescent="0.25">
      <c r="F269" s="44"/>
      <c r="G269" s="16" t="str">
        <f t="shared" si="8"/>
        <v/>
      </c>
      <c r="H269" s="16" t="str">
        <f t="shared" si="9"/>
        <v/>
      </c>
      <c r="J269" s="16" t="str">
        <f>IF(B269="","",MATCH(B269,ALL!J:J,))</f>
        <v/>
      </c>
    </row>
    <row r="270" spans="6:10" x14ac:dyDescent="0.25">
      <c r="F270" s="44"/>
      <c r="G270" s="16" t="str">
        <f t="shared" si="8"/>
        <v/>
      </c>
      <c r="H270" s="16" t="str">
        <f t="shared" si="9"/>
        <v/>
      </c>
      <c r="J270" s="16" t="str">
        <f>IF(B270="","",MATCH(B270,ALL!J:J,))</f>
        <v/>
      </c>
    </row>
    <row r="271" spans="6:10" x14ac:dyDescent="0.25">
      <c r="F271" s="44"/>
      <c r="G271" s="16" t="str">
        <f t="shared" si="8"/>
        <v/>
      </c>
      <c r="H271" s="16" t="str">
        <f t="shared" si="9"/>
        <v/>
      </c>
      <c r="J271" s="16" t="str">
        <f>IF(B271="","",MATCH(B271,ALL!J:J,))</f>
        <v/>
      </c>
    </row>
    <row r="272" spans="6:10" x14ac:dyDescent="0.25">
      <c r="F272" s="44"/>
      <c r="G272" s="16" t="str">
        <f t="shared" si="8"/>
        <v/>
      </c>
      <c r="H272" s="16" t="str">
        <f t="shared" si="9"/>
        <v/>
      </c>
      <c r="J272" s="16" t="str">
        <f>IF(B272="","",MATCH(B272,ALL!J:J,))</f>
        <v/>
      </c>
    </row>
    <row r="273" spans="6:10" x14ac:dyDescent="0.25">
      <c r="F273" s="44"/>
      <c r="G273" s="16" t="str">
        <f t="shared" si="8"/>
        <v/>
      </c>
      <c r="H273" s="16" t="str">
        <f t="shared" si="9"/>
        <v/>
      </c>
      <c r="J273" s="16" t="str">
        <f>IF(B273="","",MATCH(B273,ALL!J:J,))</f>
        <v/>
      </c>
    </row>
    <row r="274" spans="6:10" x14ac:dyDescent="0.25">
      <c r="F274" s="44"/>
      <c r="G274" s="16" t="str">
        <f t="shared" si="8"/>
        <v/>
      </c>
      <c r="H274" s="16" t="str">
        <f t="shared" si="9"/>
        <v/>
      </c>
      <c r="J274" s="16" t="str">
        <f>IF(B274="","",MATCH(B274,ALL!J:J,))</f>
        <v/>
      </c>
    </row>
    <row r="275" spans="6:10" x14ac:dyDescent="0.25">
      <c r="F275" s="44"/>
      <c r="G275" s="16" t="str">
        <f t="shared" si="8"/>
        <v/>
      </c>
      <c r="H275" s="16" t="str">
        <f t="shared" si="9"/>
        <v/>
      </c>
      <c r="J275" s="16" t="str">
        <f>IF(B275="","",MATCH(B275,ALL!J:J,))</f>
        <v/>
      </c>
    </row>
    <row r="276" spans="6:10" x14ac:dyDescent="0.25">
      <c r="F276" s="44"/>
      <c r="G276" s="16" t="str">
        <f t="shared" si="8"/>
        <v/>
      </c>
      <c r="H276" s="16" t="str">
        <f t="shared" si="9"/>
        <v/>
      </c>
      <c r="J276" s="16" t="str">
        <f>IF(B276="","",MATCH(B276,ALL!J:J,))</f>
        <v/>
      </c>
    </row>
    <row r="277" spans="6:10" x14ac:dyDescent="0.25">
      <c r="F277" s="44"/>
      <c r="G277" s="16" t="str">
        <f t="shared" si="8"/>
        <v/>
      </c>
      <c r="H277" s="16" t="str">
        <f t="shared" si="9"/>
        <v/>
      </c>
      <c r="J277" s="16" t="str">
        <f>IF(B277="","",MATCH(B277,ALL!J:J,))</f>
        <v/>
      </c>
    </row>
    <row r="278" spans="6:10" x14ac:dyDescent="0.25">
      <c r="F278" s="44"/>
      <c r="G278" s="16" t="str">
        <f t="shared" si="8"/>
        <v/>
      </c>
      <c r="H278" s="16" t="str">
        <f t="shared" si="9"/>
        <v/>
      </c>
      <c r="J278" s="16" t="str">
        <f>IF(B278="","",MATCH(B278,ALL!J:J,))</f>
        <v/>
      </c>
    </row>
    <row r="279" spans="6:10" x14ac:dyDescent="0.25">
      <c r="F279" s="44"/>
      <c r="G279" s="16" t="str">
        <f t="shared" si="8"/>
        <v/>
      </c>
      <c r="H279" s="16" t="str">
        <f t="shared" si="9"/>
        <v/>
      </c>
      <c r="J279" s="16" t="str">
        <f>IF(B279="","",MATCH(B279,ALL!J:J,))</f>
        <v/>
      </c>
    </row>
    <row r="280" spans="6:10" x14ac:dyDescent="0.25">
      <c r="F280" s="44"/>
      <c r="G280" s="16" t="str">
        <f t="shared" si="8"/>
        <v/>
      </c>
      <c r="H280" s="16" t="str">
        <f t="shared" si="9"/>
        <v/>
      </c>
      <c r="J280" s="16" t="str">
        <f>IF(B280="","",MATCH(B280,ALL!J:J,))</f>
        <v/>
      </c>
    </row>
    <row r="281" spans="6:10" x14ac:dyDescent="0.25">
      <c r="F281" s="44"/>
      <c r="G281" s="16" t="str">
        <f t="shared" si="8"/>
        <v/>
      </c>
      <c r="H281" s="16" t="str">
        <f t="shared" si="9"/>
        <v/>
      </c>
      <c r="J281" s="16" t="str">
        <f>IF(B281="","",MATCH(B281,ALL!J:J,))</f>
        <v/>
      </c>
    </row>
    <row r="282" spans="6:10" x14ac:dyDescent="0.25">
      <c r="F282" s="44"/>
      <c r="G282" s="16" t="str">
        <f t="shared" si="8"/>
        <v/>
      </c>
      <c r="H282" s="16" t="str">
        <f t="shared" si="9"/>
        <v/>
      </c>
      <c r="J282" s="16" t="str">
        <f>IF(B282="","",MATCH(B282,ALL!J:J,))</f>
        <v/>
      </c>
    </row>
    <row r="283" spans="6:10" x14ac:dyDescent="0.25">
      <c r="F283" s="44"/>
      <c r="G283" s="16" t="str">
        <f t="shared" si="8"/>
        <v/>
      </c>
      <c r="H283" s="16" t="str">
        <f t="shared" si="9"/>
        <v/>
      </c>
      <c r="J283" s="16" t="str">
        <f>IF(B283="","",MATCH(B283,ALL!J:J,))</f>
        <v/>
      </c>
    </row>
    <row r="284" spans="6:10" x14ac:dyDescent="0.25">
      <c r="F284" s="44"/>
      <c r="G284" s="16" t="str">
        <f t="shared" si="8"/>
        <v/>
      </c>
      <c r="H284" s="16" t="str">
        <f t="shared" si="9"/>
        <v/>
      </c>
      <c r="J284" s="16" t="str">
        <f>IF(B284="","",MATCH(B284,ALL!J:J,))</f>
        <v/>
      </c>
    </row>
    <row r="285" spans="6:10" x14ac:dyDescent="0.25">
      <c r="F285" s="44"/>
      <c r="G285" s="16" t="str">
        <f t="shared" si="8"/>
        <v/>
      </c>
      <c r="H285" s="16" t="str">
        <f t="shared" si="9"/>
        <v/>
      </c>
      <c r="J285" s="16" t="str">
        <f>IF(B285="","",MATCH(B285,ALL!J:J,))</f>
        <v/>
      </c>
    </row>
    <row r="286" spans="6:10" x14ac:dyDescent="0.25">
      <c r="F286" s="44"/>
      <c r="G286" s="16" t="str">
        <f t="shared" si="8"/>
        <v/>
      </c>
      <c r="H286" s="16" t="str">
        <f t="shared" si="9"/>
        <v/>
      </c>
      <c r="J286" s="16" t="str">
        <f>IF(B286="","",MATCH(B286,ALL!J:J,))</f>
        <v/>
      </c>
    </row>
    <row r="287" spans="6:10" x14ac:dyDescent="0.25">
      <c r="F287" s="44"/>
      <c r="G287" s="16" t="str">
        <f t="shared" si="8"/>
        <v/>
      </c>
      <c r="H287" s="16" t="str">
        <f t="shared" si="9"/>
        <v/>
      </c>
      <c r="J287" s="16" t="str">
        <f>IF(B287="","",MATCH(B287,ALL!J:J,))</f>
        <v/>
      </c>
    </row>
    <row r="288" spans="6:10" x14ac:dyDescent="0.25">
      <c r="F288" s="44"/>
      <c r="G288" s="16" t="str">
        <f t="shared" si="8"/>
        <v/>
      </c>
      <c r="H288" s="16" t="str">
        <f t="shared" si="9"/>
        <v/>
      </c>
      <c r="J288" s="16" t="str">
        <f>IF(B288="","",MATCH(B288,ALL!J:J,))</f>
        <v/>
      </c>
    </row>
    <row r="289" spans="6:10" x14ac:dyDescent="0.25">
      <c r="F289" s="44"/>
      <c r="G289" s="16" t="str">
        <f t="shared" si="8"/>
        <v/>
      </c>
      <c r="H289" s="16" t="str">
        <f t="shared" si="9"/>
        <v/>
      </c>
      <c r="J289" s="16" t="str">
        <f>IF(B289="","",MATCH(B289,ALL!J:J,))</f>
        <v/>
      </c>
    </row>
    <row r="290" spans="6:10" x14ac:dyDescent="0.25">
      <c r="F290" s="44"/>
      <c r="G290" s="16" t="str">
        <f t="shared" si="8"/>
        <v/>
      </c>
      <c r="H290" s="16" t="str">
        <f t="shared" si="9"/>
        <v/>
      </c>
      <c r="J290" s="16" t="str">
        <f>IF(B290="","",MATCH(B290,ALL!J:J,))</f>
        <v/>
      </c>
    </row>
    <row r="291" spans="6:10" x14ac:dyDescent="0.25">
      <c r="F291" s="44"/>
      <c r="G291" s="16" t="str">
        <f t="shared" si="8"/>
        <v/>
      </c>
      <c r="H291" s="16" t="str">
        <f t="shared" si="9"/>
        <v/>
      </c>
      <c r="J291" s="16" t="str">
        <f>IF(B291="","",MATCH(B291,ALL!J:J,))</f>
        <v/>
      </c>
    </row>
    <row r="292" spans="6:10" x14ac:dyDescent="0.25">
      <c r="F292" s="44"/>
      <c r="G292" s="16" t="str">
        <f t="shared" si="8"/>
        <v/>
      </c>
      <c r="H292" s="16" t="str">
        <f t="shared" si="9"/>
        <v/>
      </c>
      <c r="J292" s="16" t="str">
        <f>IF(B292="","",MATCH(B292,ALL!J:J,))</f>
        <v/>
      </c>
    </row>
    <row r="293" spans="6:10" x14ac:dyDescent="0.25">
      <c r="F293" s="44"/>
      <c r="G293" s="16" t="str">
        <f t="shared" si="8"/>
        <v/>
      </c>
      <c r="H293" s="16" t="str">
        <f t="shared" si="9"/>
        <v/>
      </c>
      <c r="J293" s="16" t="str">
        <f>IF(B293="","",MATCH(B293,ALL!J:J,))</f>
        <v/>
      </c>
    </row>
    <row r="294" spans="6:10" x14ac:dyDescent="0.25">
      <c r="F294" s="44"/>
      <c r="G294" s="16" t="str">
        <f t="shared" si="8"/>
        <v/>
      </c>
      <c r="H294" s="16" t="str">
        <f t="shared" si="9"/>
        <v/>
      </c>
      <c r="J294" s="16" t="str">
        <f>IF(B294="","",MATCH(B294,ALL!J:J,))</f>
        <v/>
      </c>
    </row>
    <row r="295" spans="6:10" x14ac:dyDescent="0.25">
      <c r="F295" s="44"/>
      <c r="G295" s="16" t="str">
        <f t="shared" si="8"/>
        <v/>
      </c>
      <c r="H295" s="16" t="str">
        <f t="shared" si="9"/>
        <v/>
      </c>
      <c r="J295" s="16" t="str">
        <f>IF(B295="","",MATCH(B295,ALL!J:J,))</f>
        <v/>
      </c>
    </row>
    <row r="296" spans="6:10" x14ac:dyDescent="0.25">
      <c r="F296" s="44"/>
      <c r="G296" s="16" t="str">
        <f t="shared" si="8"/>
        <v/>
      </c>
      <c r="H296" s="16" t="str">
        <f t="shared" si="9"/>
        <v/>
      </c>
      <c r="J296" s="16" t="str">
        <f>IF(B296="","",MATCH(B296,ALL!J:J,))</f>
        <v/>
      </c>
    </row>
    <row r="297" spans="6:10" x14ac:dyDescent="0.25">
      <c r="F297" s="44"/>
      <c r="G297" s="16" t="str">
        <f t="shared" si="8"/>
        <v/>
      </c>
      <c r="H297" s="16" t="str">
        <f t="shared" si="9"/>
        <v/>
      </c>
      <c r="J297" s="16" t="str">
        <f>IF(B297="","",MATCH(B297,ALL!J:J,))</f>
        <v/>
      </c>
    </row>
    <row r="298" spans="6:10" x14ac:dyDescent="0.25">
      <c r="F298" s="44"/>
      <c r="G298" s="16" t="str">
        <f t="shared" si="8"/>
        <v/>
      </c>
      <c r="H298" s="16" t="str">
        <f t="shared" si="9"/>
        <v/>
      </c>
      <c r="J298" s="16" t="str">
        <f>IF(B298="","",MATCH(B298,ALL!J:J,))</f>
        <v/>
      </c>
    </row>
    <row r="299" spans="6:10" x14ac:dyDescent="0.25">
      <c r="F299" s="44"/>
      <c r="G299" s="16" t="str">
        <f t="shared" si="8"/>
        <v/>
      </c>
      <c r="H299" s="16" t="str">
        <f t="shared" si="9"/>
        <v/>
      </c>
      <c r="J299" s="16" t="str">
        <f>IF(B299="","",MATCH(B299,ALL!J:J,))</f>
        <v/>
      </c>
    </row>
  </sheetData>
  <mergeCells count="2">
    <mergeCell ref="L1:M1"/>
    <mergeCell ref="O1:P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2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G2" sqref="G1:O1048576"/>
    </sheetView>
  </sheetViews>
  <sheetFormatPr defaultRowHeight="15" x14ac:dyDescent="0.25"/>
  <cols>
    <col min="2" max="2" width="12.85546875" style="16" bestFit="1" customWidth="1"/>
    <col min="3" max="3" width="8.42578125" style="16" bestFit="1" customWidth="1"/>
    <col min="4" max="4" width="15.42578125" style="16" bestFit="1" customWidth="1"/>
    <col min="5" max="5" width="23.140625" style="16" bestFit="1" customWidth="1"/>
    <col min="6" max="6" width="1.7109375" style="16" customWidth="1"/>
    <col min="7" max="8" width="11" style="16" customWidth="1"/>
    <col min="9" max="9" width="1.42578125" style="16" customWidth="1"/>
    <col min="10" max="11" width="11" style="16" customWidth="1"/>
    <col min="12" max="12" width="1.42578125" style="16" customWidth="1"/>
    <col min="13" max="15" width="9.140625" style="16" customWidth="1"/>
  </cols>
  <sheetData>
    <row r="1" spans="1:15" x14ac:dyDescent="0.25">
      <c r="C1" s="45"/>
      <c r="D1" s="45"/>
      <c r="E1" s="45"/>
      <c r="F1" s="44"/>
      <c r="G1" s="65" t="s">
        <v>118</v>
      </c>
      <c r="H1" s="60"/>
      <c r="J1" s="65" t="s">
        <v>120</v>
      </c>
      <c r="K1" s="60"/>
      <c r="M1" s="65" t="s">
        <v>119</v>
      </c>
      <c r="N1" s="60"/>
      <c r="O1" s="16">
        <f>SUM(M2:M272)</f>
        <v>0</v>
      </c>
    </row>
    <row r="2" spans="1:15" x14ac:dyDescent="0.25">
      <c r="A2" t="s">
        <v>11</v>
      </c>
      <c r="B2" t="str">
        <f t="shared" ref="B2:B65" si="0">IF(C2="","",A2&amp;C2)</f>
        <v/>
      </c>
      <c r="C2" s="45"/>
      <c r="D2" s="45"/>
      <c r="E2" s="45"/>
      <c r="F2" s="44"/>
      <c r="G2" s="16" t="str">
        <f t="shared" ref="G2:G65" si="1">IFERROR(VALUE(LEFT(D2,LEN(D2)-7)),"")</f>
        <v/>
      </c>
      <c r="H2" s="16" t="str">
        <f t="shared" ref="H2:H65" si="2">IFERROR(VALUE(RIGHT(E2,LEN(E2)-4)),"")</f>
        <v/>
      </c>
      <c r="J2" s="16" t="str">
        <f>IF(B2="","",SUMIF(Download!B:B,B2,Download!G:G))</f>
        <v/>
      </c>
      <c r="K2" s="16" t="str">
        <f>IF(B2="","",SUMIF(Download!B:B,B2,Download!H:H))</f>
        <v/>
      </c>
      <c r="M2" s="16" t="str">
        <f t="shared" ref="M2:M65" si="3">IF(B2="","",G2-J2)</f>
        <v/>
      </c>
      <c r="N2" s="16" t="str">
        <f t="shared" ref="N2:N65" si="4">IF(B2="","",H2-K2)</f>
        <v/>
      </c>
    </row>
    <row r="3" spans="1:15" x14ac:dyDescent="0.25">
      <c r="A3" t="s">
        <v>11</v>
      </c>
      <c r="B3" t="str">
        <f t="shared" si="0"/>
        <v/>
      </c>
      <c r="C3" s="45"/>
      <c r="D3" s="45"/>
      <c r="E3" s="45"/>
      <c r="F3" s="44"/>
      <c r="G3" s="16" t="str">
        <f t="shared" si="1"/>
        <v/>
      </c>
      <c r="H3" s="16" t="str">
        <f t="shared" si="2"/>
        <v/>
      </c>
      <c r="J3" s="16" t="str">
        <f>IF(B3="","",SUMIF(Download!B:B,B3,Download!G:G))</f>
        <v/>
      </c>
      <c r="K3" s="16" t="str">
        <f>IF(B3="","",SUMIF(Download!B:B,B3,Download!H:H))</f>
        <v/>
      </c>
      <c r="M3" s="16" t="str">
        <f t="shared" si="3"/>
        <v/>
      </c>
      <c r="N3" s="16" t="str">
        <f t="shared" si="4"/>
        <v/>
      </c>
    </row>
    <row r="4" spans="1:15" x14ac:dyDescent="0.25">
      <c r="A4" t="s">
        <v>11</v>
      </c>
      <c r="B4" t="str">
        <f t="shared" si="0"/>
        <v/>
      </c>
      <c r="C4" s="45"/>
      <c r="D4" s="45"/>
      <c r="E4" s="45"/>
      <c r="F4" s="44"/>
      <c r="G4" s="16" t="str">
        <f t="shared" si="1"/>
        <v/>
      </c>
      <c r="H4" s="16" t="str">
        <f t="shared" si="2"/>
        <v/>
      </c>
      <c r="J4" s="16" t="str">
        <f>IF(B4="","",SUMIF(Download!B:B,B4,Download!G:G))</f>
        <v/>
      </c>
      <c r="K4" s="16" t="str">
        <f>IF(B4="","",SUMIF(Download!B:B,B4,Download!H:H))</f>
        <v/>
      </c>
      <c r="M4" s="16" t="str">
        <f t="shared" si="3"/>
        <v/>
      </c>
      <c r="N4" s="16" t="str">
        <f t="shared" si="4"/>
        <v/>
      </c>
    </row>
    <row r="5" spans="1:15" x14ac:dyDescent="0.25">
      <c r="A5" t="s">
        <v>11</v>
      </c>
      <c r="B5" t="str">
        <f t="shared" si="0"/>
        <v/>
      </c>
      <c r="C5" s="45"/>
      <c r="D5" s="45"/>
      <c r="E5" s="45"/>
      <c r="F5" s="44"/>
      <c r="G5" s="16" t="str">
        <f t="shared" si="1"/>
        <v/>
      </c>
      <c r="H5" s="16" t="str">
        <f t="shared" si="2"/>
        <v/>
      </c>
      <c r="J5" s="16" t="str">
        <f>IF(B5="","",SUMIF(Download!B:B,B5,Download!G:G))</f>
        <v/>
      </c>
      <c r="K5" s="16" t="str">
        <f>IF(B5="","",SUMIF(Download!B:B,B5,Download!H:H))</f>
        <v/>
      </c>
      <c r="M5" s="16" t="str">
        <f t="shared" si="3"/>
        <v/>
      </c>
      <c r="N5" s="16" t="str">
        <f t="shared" si="4"/>
        <v/>
      </c>
    </row>
    <row r="6" spans="1:15" x14ac:dyDescent="0.25">
      <c r="A6" t="s">
        <v>11</v>
      </c>
      <c r="B6" t="str">
        <f t="shared" si="0"/>
        <v/>
      </c>
      <c r="C6" s="45"/>
      <c r="D6" s="45"/>
      <c r="E6" s="45"/>
      <c r="F6" s="44"/>
      <c r="G6" s="16" t="str">
        <f t="shared" si="1"/>
        <v/>
      </c>
      <c r="H6" s="16" t="str">
        <f t="shared" si="2"/>
        <v/>
      </c>
      <c r="J6" s="16" t="str">
        <f>IF(B6="","",SUMIF(Download!B:B,B6,Download!G:G))</f>
        <v/>
      </c>
      <c r="K6" s="16" t="str">
        <f>IF(B6="","",SUMIF(Download!B:B,B6,Download!H:H))</f>
        <v/>
      </c>
      <c r="M6" s="16" t="str">
        <f t="shared" si="3"/>
        <v/>
      </c>
      <c r="N6" s="16" t="str">
        <f t="shared" si="4"/>
        <v/>
      </c>
    </row>
    <row r="7" spans="1:15" x14ac:dyDescent="0.25">
      <c r="A7" t="s">
        <v>11</v>
      </c>
      <c r="B7" t="str">
        <f t="shared" si="0"/>
        <v/>
      </c>
      <c r="C7" s="45"/>
      <c r="D7" s="45"/>
      <c r="E7" s="45"/>
      <c r="F7" s="44"/>
      <c r="G7" s="16" t="str">
        <f t="shared" si="1"/>
        <v/>
      </c>
      <c r="H7" s="16" t="str">
        <f t="shared" si="2"/>
        <v/>
      </c>
      <c r="J7" s="16" t="str">
        <f>IF(B7="","",SUMIF(Download!B:B,B7,Download!G:G))</f>
        <v/>
      </c>
      <c r="K7" s="16" t="str">
        <f>IF(B7="","",SUMIF(Download!B:B,B7,Download!H:H))</f>
        <v/>
      </c>
      <c r="M7" s="16" t="str">
        <f t="shared" si="3"/>
        <v/>
      </c>
      <c r="N7" s="16" t="str">
        <f t="shared" si="4"/>
        <v/>
      </c>
    </row>
    <row r="8" spans="1:15" x14ac:dyDescent="0.25">
      <c r="A8" t="s">
        <v>11</v>
      </c>
      <c r="B8" t="str">
        <f t="shared" si="0"/>
        <v/>
      </c>
      <c r="C8" s="45"/>
      <c r="D8" s="45"/>
      <c r="E8" s="45"/>
      <c r="F8" s="44"/>
      <c r="G8" s="16" t="str">
        <f t="shared" si="1"/>
        <v/>
      </c>
      <c r="H8" s="16" t="str">
        <f t="shared" si="2"/>
        <v/>
      </c>
      <c r="J8" s="16" t="str">
        <f>IF(B8="","",SUMIF(Download!B:B,B8,Download!G:G))</f>
        <v/>
      </c>
      <c r="K8" s="16" t="str">
        <f>IF(B8="","",SUMIF(Download!B:B,B8,Download!H:H))</f>
        <v/>
      </c>
      <c r="M8" s="16" t="str">
        <f t="shared" si="3"/>
        <v/>
      </c>
      <c r="N8" s="16" t="str">
        <f t="shared" si="4"/>
        <v/>
      </c>
    </row>
    <row r="9" spans="1:15" x14ac:dyDescent="0.25">
      <c r="A9" t="s">
        <v>11</v>
      </c>
      <c r="B9" t="str">
        <f t="shared" si="0"/>
        <v/>
      </c>
      <c r="C9" s="45"/>
      <c r="D9" s="45"/>
      <c r="E9" s="45"/>
      <c r="F9" s="44"/>
      <c r="G9" s="16" t="str">
        <f t="shared" si="1"/>
        <v/>
      </c>
      <c r="H9" s="16" t="str">
        <f t="shared" si="2"/>
        <v/>
      </c>
      <c r="J9" s="16" t="str">
        <f>IF(B9="","",SUMIF(Download!B:B,B9,Download!G:G))</f>
        <v/>
      </c>
      <c r="K9" s="16" t="str">
        <f>IF(B9="","",SUMIF(Download!B:B,B9,Download!H:H))</f>
        <v/>
      </c>
      <c r="M9" s="16" t="str">
        <f t="shared" si="3"/>
        <v/>
      </c>
      <c r="N9" s="16" t="str">
        <f t="shared" si="4"/>
        <v/>
      </c>
    </row>
    <row r="10" spans="1:15" x14ac:dyDescent="0.25">
      <c r="A10" t="s">
        <v>11</v>
      </c>
      <c r="B10" t="str">
        <f t="shared" si="0"/>
        <v/>
      </c>
      <c r="C10" s="45"/>
      <c r="D10" s="45"/>
      <c r="E10" s="45"/>
      <c r="F10" s="44"/>
      <c r="G10" s="16" t="str">
        <f t="shared" si="1"/>
        <v/>
      </c>
      <c r="H10" s="16" t="str">
        <f t="shared" si="2"/>
        <v/>
      </c>
      <c r="J10" s="16" t="str">
        <f>IF(B10="","",SUMIF(Download!B:B,B10,Download!G:G))</f>
        <v/>
      </c>
      <c r="K10" s="16" t="str">
        <f>IF(B10="","",SUMIF(Download!B:B,B10,Download!H:H))</f>
        <v/>
      </c>
      <c r="M10" s="16" t="str">
        <f t="shared" si="3"/>
        <v/>
      </c>
      <c r="N10" s="16" t="str">
        <f t="shared" si="4"/>
        <v/>
      </c>
    </row>
    <row r="11" spans="1:15" x14ac:dyDescent="0.25">
      <c r="A11" t="s">
        <v>11</v>
      </c>
      <c r="B11" t="str">
        <f t="shared" si="0"/>
        <v/>
      </c>
      <c r="C11" s="45"/>
      <c r="D11" s="45"/>
      <c r="E11" s="45"/>
      <c r="F11" s="44"/>
      <c r="G11" s="16" t="str">
        <f t="shared" si="1"/>
        <v/>
      </c>
      <c r="H11" s="16" t="str">
        <f t="shared" si="2"/>
        <v/>
      </c>
      <c r="J11" s="16" t="str">
        <f>IF(B11="","",SUMIF(Download!B:B,B11,Download!G:G))</f>
        <v/>
      </c>
      <c r="K11" s="16" t="str">
        <f>IF(B11="","",SUMIF(Download!B:B,B11,Download!H:H))</f>
        <v/>
      </c>
      <c r="M11" s="16" t="str">
        <f t="shared" si="3"/>
        <v/>
      </c>
      <c r="N11" s="16" t="str">
        <f t="shared" si="4"/>
        <v/>
      </c>
    </row>
    <row r="12" spans="1:15" x14ac:dyDescent="0.25">
      <c r="A12" t="s">
        <v>11</v>
      </c>
      <c r="B12" t="str">
        <f t="shared" si="0"/>
        <v/>
      </c>
      <c r="C12" s="45"/>
      <c r="D12" s="45"/>
      <c r="E12" s="45"/>
      <c r="F12" s="44"/>
      <c r="G12" s="16" t="str">
        <f t="shared" si="1"/>
        <v/>
      </c>
      <c r="H12" s="16" t="str">
        <f t="shared" si="2"/>
        <v/>
      </c>
      <c r="J12" s="16" t="str">
        <f>IF(B12="","",SUMIF(Download!B:B,B12,Download!G:G))</f>
        <v/>
      </c>
      <c r="K12" s="16" t="str">
        <f>IF(B12="","",SUMIF(Download!B:B,B12,Download!H:H))</f>
        <v/>
      </c>
      <c r="M12" s="16" t="str">
        <f t="shared" si="3"/>
        <v/>
      </c>
      <c r="N12" s="16" t="str">
        <f t="shared" si="4"/>
        <v/>
      </c>
    </row>
    <row r="13" spans="1:15" x14ac:dyDescent="0.25">
      <c r="A13" t="s">
        <v>11</v>
      </c>
      <c r="B13" t="str">
        <f t="shared" si="0"/>
        <v/>
      </c>
      <c r="C13" s="45"/>
      <c r="D13" s="45"/>
      <c r="E13" s="45"/>
      <c r="F13" s="44"/>
      <c r="G13" s="16" t="str">
        <f t="shared" si="1"/>
        <v/>
      </c>
      <c r="H13" s="16" t="str">
        <f t="shared" si="2"/>
        <v/>
      </c>
      <c r="J13" s="16" t="str">
        <f>IF(B13="","",SUMIF(Download!B:B,B13,Download!G:G))</f>
        <v/>
      </c>
      <c r="K13" s="16" t="str">
        <f>IF(B13="","",SUMIF(Download!B:B,B13,Download!H:H))</f>
        <v/>
      </c>
      <c r="M13" s="16" t="str">
        <f t="shared" si="3"/>
        <v/>
      </c>
      <c r="N13" s="16" t="str">
        <f t="shared" si="4"/>
        <v/>
      </c>
    </row>
    <row r="14" spans="1:15" x14ac:dyDescent="0.25">
      <c r="A14" t="s">
        <v>11</v>
      </c>
      <c r="B14" t="str">
        <f t="shared" si="0"/>
        <v/>
      </c>
      <c r="C14" s="45"/>
      <c r="D14" s="45"/>
      <c r="E14" s="45"/>
      <c r="F14" s="44"/>
      <c r="G14" s="16" t="str">
        <f t="shared" si="1"/>
        <v/>
      </c>
      <c r="H14" s="16" t="str">
        <f t="shared" si="2"/>
        <v/>
      </c>
      <c r="J14" s="16" t="str">
        <f>IF(B14="","",SUMIF(Download!B:B,B14,Download!G:G))</f>
        <v/>
      </c>
      <c r="K14" s="16" t="str">
        <f>IF(B14="","",SUMIF(Download!B:B,B14,Download!H:H))</f>
        <v/>
      </c>
      <c r="M14" s="16" t="str">
        <f t="shared" si="3"/>
        <v/>
      </c>
      <c r="N14" s="16" t="str">
        <f t="shared" si="4"/>
        <v/>
      </c>
    </row>
    <row r="15" spans="1:15" x14ac:dyDescent="0.25">
      <c r="A15" t="s">
        <v>11</v>
      </c>
      <c r="B15" t="str">
        <f t="shared" si="0"/>
        <v/>
      </c>
      <c r="C15" s="45"/>
      <c r="D15" s="45"/>
      <c r="E15" s="45"/>
      <c r="F15" s="44"/>
      <c r="G15" s="16" t="str">
        <f t="shared" si="1"/>
        <v/>
      </c>
      <c r="H15" s="16" t="str">
        <f t="shared" si="2"/>
        <v/>
      </c>
      <c r="J15" s="16" t="str">
        <f>IF(B15="","",SUMIF(Download!B:B,B15,Download!G:G))</f>
        <v/>
      </c>
      <c r="K15" s="16" t="str">
        <f>IF(B15="","",SUMIF(Download!B:B,B15,Download!H:H))</f>
        <v/>
      </c>
      <c r="M15" s="16" t="str">
        <f t="shared" si="3"/>
        <v/>
      </c>
      <c r="N15" s="16" t="str">
        <f t="shared" si="4"/>
        <v/>
      </c>
    </row>
    <row r="16" spans="1:15" x14ac:dyDescent="0.25">
      <c r="A16" t="s">
        <v>11</v>
      </c>
      <c r="B16" t="str">
        <f t="shared" si="0"/>
        <v/>
      </c>
      <c r="C16" s="45"/>
      <c r="D16" s="45"/>
      <c r="E16" s="45"/>
      <c r="F16" s="44"/>
      <c r="G16" s="16" t="str">
        <f t="shared" si="1"/>
        <v/>
      </c>
      <c r="H16" s="16" t="str">
        <f t="shared" si="2"/>
        <v/>
      </c>
      <c r="J16" s="16" t="str">
        <f>IF(B16="","",SUMIF(Download!B:B,B16,Download!G:G))</f>
        <v/>
      </c>
      <c r="K16" s="16" t="str">
        <f>IF(B16="","",SUMIF(Download!B:B,B16,Download!H:H))</f>
        <v/>
      </c>
      <c r="M16" s="16" t="str">
        <f t="shared" si="3"/>
        <v/>
      </c>
      <c r="N16" s="16" t="str">
        <f t="shared" si="4"/>
        <v/>
      </c>
    </row>
    <row r="17" spans="1:14" x14ac:dyDescent="0.25">
      <c r="B17" t="str">
        <f t="shared" si="0"/>
        <v/>
      </c>
      <c r="C17" s="45"/>
      <c r="D17" s="45"/>
      <c r="E17" s="45"/>
      <c r="F17" s="44"/>
      <c r="G17" s="16" t="str">
        <f t="shared" si="1"/>
        <v/>
      </c>
      <c r="H17" s="16" t="str">
        <f t="shared" si="2"/>
        <v/>
      </c>
      <c r="J17" s="16" t="str">
        <f>IF(B17="","",SUMIF(Download!B:B,B17,Download!G:G))</f>
        <v/>
      </c>
      <c r="K17" s="16" t="str">
        <f>IF(B17="","",SUMIF(Download!B:B,B17,Download!H:H))</f>
        <v/>
      </c>
      <c r="M17" s="16" t="str">
        <f t="shared" si="3"/>
        <v/>
      </c>
      <c r="N17" s="16" t="str">
        <f t="shared" si="4"/>
        <v/>
      </c>
    </row>
    <row r="18" spans="1:14" x14ac:dyDescent="0.25">
      <c r="A18" t="s">
        <v>13</v>
      </c>
      <c r="B18" t="str">
        <f t="shared" si="0"/>
        <v/>
      </c>
      <c r="C18" s="45"/>
      <c r="D18" s="45"/>
      <c r="E18" s="45"/>
      <c r="F18" s="44"/>
      <c r="G18" s="16" t="str">
        <f t="shared" si="1"/>
        <v/>
      </c>
      <c r="H18" s="16" t="str">
        <f t="shared" si="2"/>
        <v/>
      </c>
      <c r="J18" s="16" t="str">
        <f>IF(B18="","",SUMIF(Download!B:B,B18,Download!G:G))</f>
        <v/>
      </c>
      <c r="K18" s="16" t="str">
        <f>IF(B18="","",SUMIF(Download!B:B,B18,Download!H:H))</f>
        <v/>
      </c>
      <c r="M18" s="16" t="str">
        <f t="shared" si="3"/>
        <v/>
      </c>
      <c r="N18" s="16" t="str">
        <f t="shared" si="4"/>
        <v/>
      </c>
    </row>
    <row r="19" spans="1:14" x14ac:dyDescent="0.25">
      <c r="A19" t="s">
        <v>13</v>
      </c>
      <c r="B19" t="str">
        <f t="shared" si="0"/>
        <v/>
      </c>
      <c r="C19" s="45"/>
      <c r="D19" s="45"/>
      <c r="E19" s="45"/>
      <c r="F19" s="44"/>
      <c r="G19" s="16" t="str">
        <f t="shared" si="1"/>
        <v/>
      </c>
      <c r="H19" s="16" t="str">
        <f t="shared" si="2"/>
        <v/>
      </c>
      <c r="J19" s="16" t="str">
        <f>IF(B19="","",SUMIF(Download!B:B,B19,Download!G:G))</f>
        <v/>
      </c>
      <c r="K19" s="16" t="str">
        <f>IF(B19="","",SUMIF(Download!B:B,B19,Download!H:H))</f>
        <v/>
      </c>
      <c r="M19" s="16" t="str">
        <f t="shared" si="3"/>
        <v/>
      </c>
      <c r="N19" s="16" t="str">
        <f t="shared" si="4"/>
        <v/>
      </c>
    </row>
    <row r="20" spans="1:14" x14ac:dyDescent="0.25">
      <c r="A20" t="s">
        <v>13</v>
      </c>
      <c r="B20" t="str">
        <f t="shared" si="0"/>
        <v/>
      </c>
      <c r="C20" s="45"/>
      <c r="D20" s="45"/>
      <c r="E20" s="45"/>
      <c r="F20" s="44"/>
      <c r="G20" s="16" t="str">
        <f t="shared" si="1"/>
        <v/>
      </c>
      <c r="H20" s="16" t="str">
        <f t="shared" si="2"/>
        <v/>
      </c>
      <c r="J20" s="16" t="str">
        <f>IF(B20="","",SUMIF(Download!B:B,B20,Download!G:G))</f>
        <v/>
      </c>
      <c r="K20" s="16" t="str">
        <f>IF(B20="","",SUMIF(Download!B:B,B20,Download!H:H))</f>
        <v/>
      </c>
      <c r="M20" s="16" t="str">
        <f t="shared" si="3"/>
        <v/>
      </c>
      <c r="N20" s="16" t="str">
        <f t="shared" si="4"/>
        <v/>
      </c>
    </row>
    <row r="21" spans="1:14" x14ac:dyDescent="0.25">
      <c r="A21" t="s">
        <v>13</v>
      </c>
      <c r="B21" t="str">
        <f t="shared" si="0"/>
        <v/>
      </c>
      <c r="C21" s="45"/>
      <c r="D21" s="45"/>
      <c r="E21" s="45"/>
      <c r="F21" s="44"/>
      <c r="G21" s="16" t="str">
        <f t="shared" si="1"/>
        <v/>
      </c>
      <c r="H21" s="16" t="str">
        <f t="shared" si="2"/>
        <v/>
      </c>
      <c r="J21" s="16" t="str">
        <f>IF(B21="","",SUMIF(Download!B:B,B21,Download!G:G))</f>
        <v/>
      </c>
      <c r="K21" s="16" t="str">
        <f>IF(B21="","",SUMIF(Download!B:B,B21,Download!H:H))</f>
        <v/>
      </c>
      <c r="M21" s="16" t="str">
        <f t="shared" si="3"/>
        <v/>
      </c>
      <c r="N21" s="16" t="str">
        <f t="shared" si="4"/>
        <v/>
      </c>
    </row>
    <row r="22" spans="1:14" x14ac:dyDescent="0.25">
      <c r="A22" t="s">
        <v>13</v>
      </c>
      <c r="B22" t="str">
        <f t="shared" si="0"/>
        <v/>
      </c>
      <c r="C22" s="45"/>
      <c r="D22" s="45"/>
      <c r="E22" s="45"/>
      <c r="F22" s="44"/>
      <c r="G22" s="16" t="str">
        <f t="shared" si="1"/>
        <v/>
      </c>
      <c r="H22" s="16" t="str">
        <f t="shared" si="2"/>
        <v/>
      </c>
      <c r="J22" s="16" t="str">
        <f>IF(B22="","",SUMIF(Download!B:B,B22,Download!G:G))</f>
        <v/>
      </c>
      <c r="K22" s="16" t="str">
        <f>IF(B22="","",SUMIF(Download!B:B,B22,Download!H:H))</f>
        <v/>
      </c>
      <c r="M22" s="16" t="str">
        <f t="shared" si="3"/>
        <v/>
      </c>
      <c r="N22" s="16" t="str">
        <f t="shared" si="4"/>
        <v/>
      </c>
    </row>
    <row r="23" spans="1:14" x14ac:dyDescent="0.25">
      <c r="A23" t="s">
        <v>13</v>
      </c>
      <c r="B23" t="str">
        <f t="shared" si="0"/>
        <v/>
      </c>
      <c r="C23" s="45"/>
      <c r="D23" s="45"/>
      <c r="E23" s="45"/>
      <c r="F23" s="44"/>
      <c r="G23" s="16" t="str">
        <f t="shared" si="1"/>
        <v/>
      </c>
      <c r="H23" s="16" t="str">
        <f t="shared" si="2"/>
        <v/>
      </c>
      <c r="J23" s="16" t="str">
        <f>IF(B23="","",SUMIF(Download!B:B,B23,Download!G:G))</f>
        <v/>
      </c>
      <c r="K23" s="16" t="str">
        <f>IF(B23="","",SUMIF(Download!B:B,B23,Download!H:H))</f>
        <v/>
      </c>
      <c r="M23" s="16" t="str">
        <f t="shared" si="3"/>
        <v/>
      </c>
      <c r="N23" s="16" t="str">
        <f t="shared" si="4"/>
        <v/>
      </c>
    </row>
    <row r="24" spans="1:14" x14ac:dyDescent="0.25">
      <c r="A24" t="s">
        <v>13</v>
      </c>
      <c r="B24" t="str">
        <f t="shared" si="0"/>
        <v/>
      </c>
      <c r="C24" s="45"/>
      <c r="D24" s="45"/>
      <c r="E24" s="45"/>
      <c r="F24" s="44"/>
      <c r="G24" s="16" t="str">
        <f t="shared" si="1"/>
        <v/>
      </c>
      <c r="H24" s="16" t="str">
        <f t="shared" si="2"/>
        <v/>
      </c>
      <c r="J24" s="16" t="str">
        <f>IF(B24="","",SUMIF(Download!B:B,B24,Download!G:G))</f>
        <v/>
      </c>
      <c r="K24" s="16" t="str">
        <f>IF(B24="","",SUMIF(Download!B:B,B24,Download!H:H))</f>
        <v/>
      </c>
      <c r="M24" s="16" t="str">
        <f t="shared" si="3"/>
        <v/>
      </c>
      <c r="N24" s="16" t="str">
        <f t="shared" si="4"/>
        <v/>
      </c>
    </row>
    <row r="25" spans="1:14" x14ac:dyDescent="0.25">
      <c r="A25" t="s">
        <v>13</v>
      </c>
      <c r="B25" t="str">
        <f t="shared" si="0"/>
        <v/>
      </c>
      <c r="C25" s="45"/>
      <c r="D25" s="45"/>
      <c r="E25" s="45"/>
      <c r="F25" s="44"/>
      <c r="G25" s="16" t="str">
        <f t="shared" si="1"/>
        <v/>
      </c>
      <c r="H25" s="16" t="str">
        <f t="shared" si="2"/>
        <v/>
      </c>
      <c r="J25" s="16" t="str">
        <f>IF(B25="","",SUMIF(Download!B:B,B25,Download!G:G))</f>
        <v/>
      </c>
      <c r="K25" s="16" t="str">
        <f>IF(B25="","",SUMIF(Download!B:B,B25,Download!H:H))</f>
        <v/>
      </c>
      <c r="M25" s="16" t="str">
        <f t="shared" si="3"/>
        <v/>
      </c>
      <c r="N25" s="16" t="str">
        <f t="shared" si="4"/>
        <v/>
      </c>
    </row>
    <row r="26" spans="1:14" x14ac:dyDescent="0.25">
      <c r="A26" t="s">
        <v>13</v>
      </c>
      <c r="B26" t="str">
        <f t="shared" si="0"/>
        <v/>
      </c>
      <c r="C26" s="45"/>
      <c r="D26" s="45"/>
      <c r="E26" s="45"/>
      <c r="F26" s="44"/>
      <c r="G26" s="16" t="str">
        <f t="shared" si="1"/>
        <v/>
      </c>
      <c r="H26" s="16" t="str">
        <f t="shared" si="2"/>
        <v/>
      </c>
      <c r="J26" s="16" t="str">
        <f>IF(B26="","",SUMIF(Download!B:B,B26,Download!G:G))</f>
        <v/>
      </c>
      <c r="K26" s="16" t="str">
        <f>IF(B26="","",SUMIF(Download!B:B,B26,Download!H:H))</f>
        <v/>
      </c>
      <c r="M26" s="16" t="str">
        <f t="shared" si="3"/>
        <v/>
      </c>
      <c r="N26" s="16" t="str">
        <f t="shared" si="4"/>
        <v/>
      </c>
    </row>
    <row r="27" spans="1:14" x14ac:dyDescent="0.25">
      <c r="A27" t="s">
        <v>13</v>
      </c>
      <c r="B27" t="str">
        <f t="shared" si="0"/>
        <v/>
      </c>
      <c r="C27" s="45"/>
      <c r="D27" s="45"/>
      <c r="E27" s="45"/>
      <c r="F27" s="44"/>
      <c r="G27" s="16" t="str">
        <f t="shared" si="1"/>
        <v/>
      </c>
      <c r="H27" s="16" t="str">
        <f t="shared" si="2"/>
        <v/>
      </c>
      <c r="J27" s="16" t="str">
        <f>IF(B27="","",SUMIF(Download!B:B,B27,Download!G:G))</f>
        <v/>
      </c>
      <c r="K27" s="16" t="str">
        <f>IF(B27="","",SUMIF(Download!B:B,B27,Download!H:H))</f>
        <v/>
      </c>
      <c r="M27" s="16" t="str">
        <f t="shared" si="3"/>
        <v/>
      </c>
      <c r="N27" s="16" t="str">
        <f t="shared" si="4"/>
        <v/>
      </c>
    </row>
    <row r="28" spans="1:14" x14ac:dyDescent="0.25">
      <c r="B28" t="str">
        <f t="shared" si="0"/>
        <v/>
      </c>
      <c r="C28" s="45"/>
      <c r="D28" s="45"/>
      <c r="E28" s="45"/>
      <c r="F28" s="44"/>
      <c r="G28" s="16" t="str">
        <f t="shared" si="1"/>
        <v/>
      </c>
      <c r="H28" s="16" t="str">
        <f t="shared" si="2"/>
        <v/>
      </c>
      <c r="J28" s="16" t="str">
        <f>IF(B28="","",SUMIF(Download!B:B,B28,Download!G:G))</f>
        <v/>
      </c>
      <c r="K28" s="16" t="str">
        <f>IF(B28="","",SUMIF(Download!B:B,B28,Download!H:H))</f>
        <v/>
      </c>
      <c r="M28" s="16" t="str">
        <f t="shared" si="3"/>
        <v/>
      </c>
      <c r="N28" s="16" t="str">
        <f t="shared" si="4"/>
        <v/>
      </c>
    </row>
    <row r="29" spans="1:14" x14ac:dyDescent="0.25">
      <c r="A29" t="s">
        <v>15</v>
      </c>
      <c r="B29" t="str">
        <f t="shared" si="0"/>
        <v/>
      </c>
      <c r="C29" s="45"/>
      <c r="D29" s="45"/>
      <c r="E29" s="45"/>
      <c r="F29" s="44"/>
      <c r="G29" s="16" t="str">
        <f t="shared" si="1"/>
        <v/>
      </c>
      <c r="H29" s="16" t="str">
        <f t="shared" si="2"/>
        <v/>
      </c>
      <c r="J29" s="16" t="str">
        <f>IF(B29="","",SUMIF(Download!B:B,B29,Download!G:G))</f>
        <v/>
      </c>
      <c r="K29" s="16" t="str">
        <f>IF(B29="","",SUMIF(Download!B:B,B29,Download!H:H))</f>
        <v/>
      </c>
      <c r="M29" s="16" t="str">
        <f t="shared" si="3"/>
        <v/>
      </c>
      <c r="N29" s="16" t="str">
        <f t="shared" si="4"/>
        <v/>
      </c>
    </row>
    <row r="30" spans="1:14" x14ac:dyDescent="0.25">
      <c r="A30" t="s">
        <v>15</v>
      </c>
      <c r="B30" t="str">
        <f t="shared" si="0"/>
        <v/>
      </c>
      <c r="C30" s="45"/>
      <c r="D30" s="45"/>
      <c r="E30" s="45"/>
      <c r="F30" s="44"/>
      <c r="G30" s="16" t="str">
        <f t="shared" si="1"/>
        <v/>
      </c>
      <c r="H30" s="16" t="str">
        <f t="shared" si="2"/>
        <v/>
      </c>
      <c r="J30" s="16" t="str">
        <f>IF(B30="","",SUMIF(Download!B:B,B30,Download!G:G))</f>
        <v/>
      </c>
      <c r="K30" s="16" t="str">
        <f>IF(B30="","",SUMIF(Download!B:B,B30,Download!H:H))</f>
        <v/>
      </c>
      <c r="M30" s="16" t="str">
        <f t="shared" si="3"/>
        <v/>
      </c>
      <c r="N30" s="16" t="str">
        <f t="shared" si="4"/>
        <v/>
      </c>
    </row>
    <row r="31" spans="1:14" x14ac:dyDescent="0.25">
      <c r="A31" t="s">
        <v>15</v>
      </c>
      <c r="B31" t="str">
        <f t="shared" si="0"/>
        <v/>
      </c>
      <c r="C31" s="45"/>
      <c r="D31" s="45"/>
      <c r="E31" s="45"/>
      <c r="F31" s="44"/>
      <c r="G31" s="16" t="str">
        <f t="shared" si="1"/>
        <v/>
      </c>
      <c r="H31" s="16" t="str">
        <f t="shared" si="2"/>
        <v/>
      </c>
      <c r="J31" s="16" t="str">
        <f>IF(B31="","",SUMIF(Download!B:B,B31,Download!G:G))</f>
        <v/>
      </c>
      <c r="K31" s="16" t="str">
        <f>IF(B31="","",SUMIF(Download!B:B,B31,Download!H:H))</f>
        <v/>
      </c>
      <c r="M31" s="16" t="str">
        <f t="shared" si="3"/>
        <v/>
      </c>
      <c r="N31" s="16" t="str">
        <f t="shared" si="4"/>
        <v/>
      </c>
    </row>
    <row r="32" spans="1:14" x14ac:dyDescent="0.25">
      <c r="A32" t="s">
        <v>15</v>
      </c>
      <c r="B32" t="str">
        <f t="shared" si="0"/>
        <v/>
      </c>
      <c r="C32" s="45"/>
      <c r="D32" s="45"/>
      <c r="E32" s="45"/>
      <c r="F32" s="44"/>
      <c r="G32" s="16" t="str">
        <f t="shared" si="1"/>
        <v/>
      </c>
      <c r="H32" s="16" t="str">
        <f t="shared" si="2"/>
        <v/>
      </c>
      <c r="J32" s="16" t="str">
        <f>IF(B32="","",SUMIF(Download!B:B,B32,Download!G:G))</f>
        <v/>
      </c>
      <c r="K32" s="16" t="str">
        <f>IF(B32="","",SUMIF(Download!B:B,B32,Download!H:H))</f>
        <v/>
      </c>
      <c r="M32" s="16" t="str">
        <f t="shared" si="3"/>
        <v/>
      </c>
      <c r="N32" s="16" t="str">
        <f t="shared" si="4"/>
        <v/>
      </c>
    </row>
    <row r="33" spans="1:14" x14ac:dyDescent="0.25">
      <c r="A33" t="s">
        <v>15</v>
      </c>
      <c r="B33" t="str">
        <f t="shared" si="0"/>
        <v/>
      </c>
      <c r="C33" s="45"/>
      <c r="D33" s="45"/>
      <c r="E33" s="45"/>
      <c r="F33" s="44"/>
      <c r="G33" s="16" t="str">
        <f t="shared" si="1"/>
        <v/>
      </c>
      <c r="H33" s="16" t="str">
        <f t="shared" si="2"/>
        <v/>
      </c>
      <c r="J33" s="16" t="str">
        <f>IF(B33="","",SUMIF(Download!B:B,B33,Download!G:G))</f>
        <v/>
      </c>
      <c r="K33" s="16" t="str">
        <f>IF(B33="","",SUMIF(Download!B:B,B33,Download!H:H))</f>
        <v/>
      </c>
      <c r="M33" s="16" t="str">
        <f t="shared" si="3"/>
        <v/>
      </c>
      <c r="N33" s="16" t="str">
        <f t="shared" si="4"/>
        <v/>
      </c>
    </row>
    <row r="34" spans="1:14" x14ac:dyDescent="0.25">
      <c r="A34" t="s">
        <v>15</v>
      </c>
      <c r="B34" t="str">
        <f t="shared" si="0"/>
        <v/>
      </c>
      <c r="C34" s="45"/>
      <c r="D34" s="45"/>
      <c r="E34" s="45"/>
      <c r="F34" s="44"/>
      <c r="G34" s="16" t="str">
        <f t="shared" si="1"/>
        <v/>
      </c>
      <c r="H34" s="16" t="str">
        <f t="shared" si="2"/>
        <v/>
      </c>
      <c r="J34" s="16" t="str">
        <f>IF(B34="","",SUMIF(Download!B:B,B34,Download!G:G))</f>
        <v/>
      </c>
      <c r="K34" s="16" t="str">
        <f>IF(B34="","",SUMIF(Download!B:B,B34,Download!H:H))</f>
        <v/>
      </c>
      <c r="M34" s="16" t="str">
        <f t="shared" si="3"/>
        <v/>
      </c>
      <c r="N34" s="16" t="str">
        <f t="shared" si="4"/>
        <v/>
      </c>
    </row>
    <row r="35" spans="1:14" x14ac:dyDescent="0.25">
      <c r="A35" t="s">
        <v>15</v>
      </c>
      <c r="B35" t="str">
        <f t="shared" si="0"/>
        <v/>
      </c>
      <c r="C35" s="45"/>
      <c r="D35" s="45"/>
      <c r="E35" s="45"/>
      <c r="F35" s="44"/>
      <c r="G35" s="16" t="str">
        <f t="shared" si="1"/>
        <v/>
      </c>
      <c r="H35" s="16" t="str">
        <f t="shared" si="2"/>
        <v/>
      </c>
      <c r="J35" s="16" t="str">
        <f>IF(B35="","",SUMIF(Download!B:B,B35,Download!G:G))</f>
        <v/>
      </c>
      <c r="K35" s="16" t="str">
        <f>IF(B35="","",SUMIF(Download!B:B,B35,Download!H:H))</f>
        <v/>
      </c>
      <c r="M35" s="16" t="str">
        <f t="shared" si="3"/>
        <v/>
      </c>
      <c r="N35" s="16" t="str">
        <f t="shared" si="4"/>
        <v/>
      </c>
    </row>
    <row r="36" spans="1:14" x14ac:dyDescent="0.25">
      <c r="A36" t="s">
        <v>15</v>
      </c>
      <c r="B36" t="str">
        <f t="shared" si="0"/>
        <v/>
      </c>
      <c r="C36" s="45"/>
      <c r="D36" s="45"/>
      <c r="E36" s="45"/>
      <c r="F36" s="44"/>
      <c r="G36" s="16" t="str">
        <f t="shared" si="1"/>
        <v/>
      </c>
      <c r="H36" s="16" t="str">
        <f t="shared" si="2"/>
        <v/>
      </c>
      <c r="J36" s="16" t="str">
        <f>IF(B36="","",SUMIF(Download!B:B,B36,Download!G:G))</f>
        <v/>
      </c>
      <c r="K36" s="16" t="str">
        <f>IF(B36="","",SUMIF(Download!B:B,B36,Download!H:H))</f>
        <v/>
      </c>
      <c r="M36" s="16" t="str">
        <f t="shared" si="3"/>
        <v/>
      </c>
      <c r="N36" s="16" t="str">
        <f t="shared" si="4"/>
        <v/>
      </c>
    </row>
    <row r="37" spans="1:14" x14ac:dyDescent="0.25">
      <c r="A37" t="s">
        <v>15</v>
      </c>
      <c r="B37" t="str">
        <f t="shared" si="0"/>
        <v/>
      </c>
      <c r="C37" s="45"/>
      <c r="D37" s="45"/>
      <c r="E37" s="45"/>
      <c r="F37" s="44"/>
      <c r="G37" s="16" t="str">
        <f t="shared" si="1"/>
        <v/>
      </c>
      <c r="H37" s="16" t="str">
        <f t="shared" si="2"/>
        <v/>
      </c>
      <c r="J37" s="16" t="str">
        <f>IF(B37="","",SUMIF(Download!B:B,B37,Download!G:G))</f>
        <v/>
      </c>
      <c r="K37" s="16" t="str">
        <f>IF(B37="","",SUMIF(Download!B:B,B37,Download!H:H))</f>
        <v/>
      </c>
      <c r="M37" s="16" t="str">
        <f t="shared" si="3"/>
        <v/>
      </c>
      <c r="N37" s="16" t="str">
        <f t="shared" si="4"/>
        <v/>
      </c>
    </row>
    <row r="38" spans="1:14" x14ac:dyDescent="0.25">
      <c r="A38" t="s">
        <v>15</v>
      </c>
      <c r="B38" t="str">
        <f t="shared" si="0"/>
        <v/>
      </c>
      <c r="C38" s="45"/>
      <c r="D38" s="45"/>
      <c r="E38" s="45"/>
      <c r="F38" s="44"/>
      <c r="G38" s="16" t="str">
        <f t="shared" si="1"/>
        <v/>
      </c>
      <c r="H38" s="16" t="str">
        <f t="shared" si="2"/>
        <v/>
      </c>
      <c r="J38" s="16" t="str">
        <f>IF(B38="","",SUMIF(Download!B:B,B38,Download!G:G))</f>
        <v/>
      </c>
      <c r="K38" s="16" t="str">
        <f>IF(B38="","",SUMIF(Download!B:B,B38,Download!H:H))</f>
        <v/>
      </c>
      <c r="M38" s="16" t="str">
        <f t="shared" si="3"/>
        <v/>
      </c>
      <c r="N38" s="16" t="str">
        <f t="shared" si="4"/>
        <v/>
      </c>
    </row>
    <row r="39" spans="1:14" x14ac:dyDescent="0.25">
      <c r="B39" t="str">
        <f t="shared" si="0"/>
        <v/>
      </c>
      <c r="C39" s="45"/>
      <c r="D39" s="45"/>
      <c r="E39" s="45"/>
      <c r="F39" s="44"/>
      <c r="G39" s="16" t="str">
        <f t="shared" si="1"/>
        <v/>
      </c>
      <c r="H39" s="16" t="str">
        <f t="shared" si="2"/>
        <v/>
      </c>
      <c r="J39" s="16" t="str">
        <f>IF(B39="","",SUMIF(Download!B:B,B39,Download!G:G))</f>
        <v/>
      </c>
      <c r="K39" s="16" t="str">
        <f>IF(B39="","",SUMIF(Download!B:B,B39,Download!H:H))</f>
        <v/>
      </c>
      <c r="M39" s="16" t="str">
        <f t="shared" si="3"/>
        <v/>
      </c>
      <c r="N39" s="16" t="str">
        <f t="shared" si="4"/>
        <v/>
      </c>
    </row>
    <row r="40" spans="1:14" x14ac:dyDescent="0.25">
      <c r="A40" t="s">
        <v>19</v>
      </c>
      <c r="B40" t="str">
        <f t="shared" si="0"/>
        <v/>
      </c>
      <c r="C40" s="45"/>
      <c r="D40" s="45"/>
      <c r="E40" s="45"/>
      <c r="F40" s="44"/>
      <c r="G40" s="16" t="str">
        <f t="shared" si="1"/>
        <v/>
      </c>
      <c r="H40" s="16" t="str">
        <f t="shared" si="2"/>
        <v/>
      </c>
      <c r="J40" s="16" t="str">
        <f>IF(B40="","",SUMIF(Download!B:B,B40,Download!G:G))</f>
        <v/>
      </c>
      <c r="K40" s="16" t="str">
        <f>IF(B40="","",SUMIF(Download!B:B,B40,Download!H:H))</f>
        <v/>
      </c>
      <c r="M40" s="16" t="str">
        <f t="shared" si="3"/>
        <v/>
      </c>
      <c r="N40" s="16" t="str">
        <f t="shared" si="4"/>
        <v/>
      </c>
    </row>
    <row r="41" spans="1:14" x14ac:dyDescent="0.25">
      <c r="A41" t="s">
        <v>19</v>
      </c>
      <c r="B41" t="str">
        <f t="shared" si="0"/>
        <v/>
      </c>
      <c r="C41" s="45"/>
      <c r="D41" s="45"/>
      <c r="E41" s="45"/>
      <c r="F41" s="44"/>
      <c r="G41" s="16" t="str">
        <f t="shared" si="1"/>
        <v/>
      </c>
      <c r="H41" s="16" t="str">
        <f t="shared" si="2"/>
        <v/>
      </c>
      <c r="J41" s="16" t="str">
        <f>IF(B41="","",SUMIF(Download!B:B,B41,Download!G:G))</f>
        <v/>
      </c>
      <c r="K41" s="16" t="str">
        <f>IF(B41="","",SUMIF(Download!B:B,B41,Download!H:H))</f>
        <v/>
      </c>
      <c r="M41" s="16" t="str">
        <f t="shared" si="3"/>
        <v/>
      </c>
      <c r="N41" s="16" t="str">
        <f t="shared" si="4"/>
        <v/>
      </c>
    </row>
    <row r="42" spans="1:14" x14ac:dyDescent="0.25">
      <c r="A42" t="s">
        <v>19</v>
      </c>
      <c r="B42" t="str">
        <f t="shared" si="0"/>
        <v/>
      </c>
      <c r="C42" s="45"/>
      <c r="D42" s="45"/>
      <c r="E42" s="45"/>
      <c r="F42" s="44"/>
      <c r="G42" s="16" t="str">
        <f t="shared" si="1"/>
        <v/>
      </c>
      <c r="H42" s="16" t="str">
        <f t="shared" si="2"/>
        <v/>
      </c>
      <c r="J42" s="16" t="str">
        <f>IF(B42="","",SUMIF(Download!B:B,B42,Download!G:G))</f>
        <v/>
      </c>
      <c r="K42" s="16" t="str">
        <f>IF(B42="","",SUMIF(Download!B:B,B42,Download!H:H))</f>
        <v/>
      </c>
      <c r="M42" s="16" t="str">
        <f t="shared" si="3"/>
        <v/>
      </c>
      <c r="N42" s="16" t="str">
        <f t="shared" si="4"/>
        <v/>
      </c>
    </row>
    <row r="43" spans="1:14" x14ac:dyDescent="0.25">
      <c r="A43" t="s">
        <v>19</v>
      </c>
      <c r="B43" t="str">
        <f t="shared" si="0"/>
        <v/>
      </c>
      <c r="C43" s="45"/>
      <c r="D43" s="45"/>
      <c r="E43" s="45"/>
      <c r="F43" s="44"/>
      <c r="G43" s="16" t="str">
        <f t="shared" si="1"/>
        <v/>
      </c>
      <c r="H43" s="16" t="str">
        <f t="shared" si="2"/>
        <v/>
      </c>
      <c r="J43" s="16" t="str">
        <f>IF(B43="","",SUMIF(Download!B:B,B43,Download!G:G))</f>
        <v/>
      </c>
      <c r="K43" s="16" t="str">
        <f>IF(B43="","",SUMIF(Download!B:B,B43,Download!H:H))</f>
        <v/>
      </c>
      <c r="M43" s="16" t="str">
        <f t="shared" si="3"/>
        <v/>
      </c>
      <c r="N43" s="16" t="str">
        <f t="shared" si="4"/>
        <v/>
      </c>
    </row>
    <row r="44" spans="1:14" x14ac:dyDescent="0.25">
      <c r="A44" t="s">
        <v>19</v>
      </c>
      <c r="B44" t="str">
        <f t="shared" si="0"/>
        <v/>
      </c>
      <c r="C44" s="45"/>
      <c r="D44" s="45"/>
      <c r="E44" s="45"/>
      <c r="F44" s="44"/>
      <c r="G44" s="16" t="str">
        <f t="shared" si="1"/>
        <v/>
      </c>
      <c r="H44" s="16" t="str">
        <f t="shared" si="2"/>
        <v/>
      </c>
      <c r="J44" s="16" t="str">
        <f>IF(B44="","",SUMIF(Download!B:B,B44,Download!G:G))</f>
        <v/>
      </c>
      <c r="K44" s="16" t="str">
        <f>IF(B44="","",SUMIF(Download!B:B,B44,Download!H:H))</f>
        <v/>
      </c>
      <c r="M44" s="16" t="str">
        <f t="shared" si="3"/>
        <v/>
      </c>
      <c r="N44" s="16" t="str">
        <f t="shared" si="4"/>
        <v/>
      </c>
    </row>
    <row r="45" spans="1:14" x14ac:dyDescent="0.25">
      <c r="A45" t="s">
        <v>19</v>
      </c>
      <c r="B45" t="str">
        <f t="shared" si="0"/>
        <v/>
      </c>
      <c r="C45" s="45"/>
      <c r="D45" s="45"/>
      <c r="E45" s="45"/>
      <c r="F45" s="44"/>
      <c r="G45" s="16" t="str">
        <f t="shared" si="1"/>
        <v/>
      </c>
      <c r="H45" s="16" t="str">
        <f t="shared" si="2"/>
        <v/>
      </c>
      <c r="J45" s="16" t="str">
        <f>IF(B45="","",SUMIF(Download!B:B,B45,Download!G:G))</f>
        <v/>
      </c>
      <c r="K45" s="16" t="str">
        <f>IF(B45="","",SUMIF(Download!B:B,B45,Download!H:H))</f>
        <v/>
      </c>
      <c r="M45" s="16" t="str">
        <f t="shared" si="3"/>
        <v/>
      </c>
      <c r="N45" s="16" t="str">
        <f t="shared" si="4"/>
        <v/>
      </c>
    </row>
    <row r="46" spans="1:14" x14ac:dyDescent="0.25">
      <c r="A46" t="s">
        <v>19</v>
      </c>
      <c r="B46" t="str">
        <f t="shared" si="0"/>
        <v/>
      </c>
      <c r="C46" s="45"/>
      <c r="D46" s="45"/>
      <c r="E46" s="45"/>
      <c r="F46" s="44"/>
      <c r="G46" s="16" t="str">
        <f t="shared" si="1"/>
        <v/>
      </c>
      <c r="H46" s="16" t="str">
        <f t="shared" si="2"/>
        <v/>
      </c>
      <c r="J46" s="16" t="str">
        <f>IF(B46="","",SUMIF(Download!B:B,B46,Download!G:G))</f>
        <v/>
      </c>
      <c r="K46" s="16" t="str">
        <f>IF(B46="","",SUMIF(Download!B:B,B46,Download!H:H))</f>
        <v/>
      </c>
      <c r="M46" s="16" t="str">
        <f t="shared" si="3"/>
        <v/>
      </c>
      <c r="N46" s="16" t="str">
        <f t="shared" si="4"/>
        <v/>
      </c>
    </row>
    <row r="47" spans="1:14" x14ac:dyDescent="0.25">
      <c r="A47" t="s">
        <v>19</v>
      </c>
      <c r="B47" t="str">
        <f t="shared" si="0"/>
        <v/>
      </c>
      <c r="C47" s="45"/>
      <c r="D47" s="45"/>
      <c r="E47" s="45"/>
      <c r="F47" s="44"/>
      <c r="G47" s="16" t="str">
        <f t="shared" si="1"/>
        <v/>
      </c>
      <c r="H47" s="16" t="str">
        <f t="shared" si="2"/>
        <v/>
      </c>
      <c r="J47" s="16" t="str">
        <f>IF(B47="","",SUMIF(Download!B:B,B47,Download!G:G))</f>
        <v/>
      </c>
      <c r="K47" s="16" t="str">
        <f>IF(B47="","",SUMIF(Download!B:B,B47,Download!H:H))</f>
        <v/>
      </c>
      <c r="M47" s="16" t="str">
        <f t="shared" si="3"/>
        <v/>
      </c>
      <c r="N47" s="16" t="str">
        <f t="shared" si="4"/>
        <v/>
      </c>
    </row>
    <row r="48" spans="1:14" x14ac:dyDescent="0.25">
      <c r="A48" t="s">
        <v>19</v>
      </c>
      <c r="B48" t="str">
        <f t="shared" si="0"/>
        <v/>
      </c>
      <c r="C48" s="45"/>
      <c r="D48" s="45"/>
      <c r="E48" s="45"/>
      <c r="F48" s="44"/>
      <c r="G48" s="16" t="str">
        <f t="shared" si="1"/>
        <v/>
      </c>
      <c r="H48" s="16" t="str">
        <f t="shared" si="2"/>
        <v/>
      </c>
      <c r="J48" s="16" t="str">
        <f>IF(B48="","",SUMIF(Download!B:B,B48,Download!G:G))</f>
        <v/>
      </c>
      <c r="K48" s="16" t="str">
        <f>IF(B48="","",SUMIF(Download!B:B,B48,Download!H:H))</f>
        <v/>
      </c>
      <c r="M48" s="16" t="str">
        <f t="shared" si="3"/>
        <v/>
      </c>
      <c r="N48" s="16" t="str">
        <f t="shared" si="4"/>
        <v/>
      </c>
    </row>
    <row r="49" spans="1:14" x14ac:dyDescent="0.25">
      <c r="A49" t="s">
        <v>19</v>
      </c>
      <c r="B49" t="str">
        <f t="shared" si="0"/>
        <v/>
      </c>
      <c r="C49" s="45"/>
      <c r="D49" s="45"/>
      <c r="E49" s="45"/>
      <c r="F49" s="44"/>
      <c r="G49" s="16" t="str">
        <f t="shared" si="1"/>
        <v/>
      </c>
      <c r="H49" s="16" t="str">
        <f t="shared" si="2"/>
        <v/>
      </c>
      <c r="J49" s="16" t="str">
        <f>IF(B49="","",SUMIF(Download!B:B,B49,Download!G:G))</f>
        <v/>
      </c>
      <c r="K49" s="16" t="str">
        <f>IF(B49="","",SUMIF(Download!B:B,B49,Download!H:H))</f>
        <v/>
      </c>
      <c r="M49" s="16" t="str">
        <f t="shared" si="3"/>
        <v/>
      </c>
      <c r="N49" s="16" t="str">
        <f t="shared" si="4"/>
        <v/>
      </c>
    </row>
    <row r="50" spans="1:14" x14ac:dyDescent="0.25">
      <c r="A50" t="s">
        <v>19</v>
      </c>
      <c r="B50" t="str">
        <f t="shared" si="0"/>
        <v/>
      </c>
      <c r="C50" s="45"/>
      <c r="D50" s="45"/>
      <c r="E50" s="45"/>
      <c r="F50" s="44"/>
      <c r="G50" s="16" t="str">
        <f t="shared" si="1"/>
        <v/>
      </c>
      <c r="H50" s="16" t="str">
        <f t="shared" si="2"/>
        <v/>
      </c>
      <c r="J50" s="16" t="str">
        <f>IF(B50="","",SUMIF(Download!B:B,B50,Download!G:G))</f>
        <v/>
      </c>
      <c r="K50" s="16" t="str">
        <f>IF(B50="","",SUMIF(Download!B:B,B50,Download!H:H))</f>
        <v/>
      </c>
      <c r="M50" s="16" t="str">
        <f t="shared" si="3"/>
        <v/>
      </c>
      <c r="N50" s="16" t="str">
        <f t="shared" si="4"/>
        <v/>
      </c>
    </row>
    <row r="51" spans="1:14" x14ac:dyDescent="0.25">
      <c r="A51" t="s">
        <v>19</v>
      </c>
      <c r="B51" t="str">
        <f t="shared" si="0"/>
        <v/>
      </c>
      <c r="C51" s="45"/>
      <c r="D51" s="45"/>
      <c r="E51" s="45"/>
      <c r="F51" s="44"/>
      <c r="G51" s="16" t="str">
        <f t="shared" si="1"/>
        <v/>
      </c>
      <c r="H51" s="16" t="str">
        <f t="shared" si="2"/>
        <v/>
      </c>
      <c r="J51" s="16" t="str">
        <f>IF(B51="","",SUMIF(Download!B:B,B51,Download!G:G))</f>
        <v/>
      </c>
      <c r="K51" s="16" t="str">
        <f>IF(B51="","",SUMIF(Download!B:B,B51,Download!H:H))</f>
        <v/>
      </c>
      <c r="M51" s="16" t="str">
        <f t="shared" si="3"/>
        <v/>
      </c>
      <c r="N51" s="16" t="str">
        <f t="shared" si="4"/>
        <v/>
      </c>
    </row>
    <row r="52" spans="1:14" x14ac:dyDescent="0.25">
      <c r="A52" t="s">
        <v>19</v>
      </c>
      <c r="B52" t="str">
        <f t="shared" si="0"/>
        <v/>
      </c>
      <c r="C52" s="45"/>
      <c r="D52" s="45"/>
      <c r="E52" s="45"/>
      <c r="F52" s="44"/>
      <c r="G52" s="16" t="str">
        <f t="shared" si="1"/>
        <v/>
      </c>
      <c r="H52" s="16" t="str">
        <f t="shared" si="2"/>
        <v/>
      </c>
      <c r="J52" s="16" t="str">
        <f>IF(B52="","",SUMIF(Download!B:B,B52,Download!G:G))</f>
        <v/>
      </c>
      <c r="K52" s="16" t="str">
        <f>IF(B52="","",SUMIF(Download!B:B,B52,Download!H:H))</f>
        <v/>
      </c>
      <c r="M52" s="16" t="str">
        <f t="shared" si="3"/>
        <v/>
      </c>
      <c r="N52" s="16" t="str">
        <f t="shared" si="4"/>
        <v/>
      </c>
    </row>
    <row r="53" spans="1:14" x14ac:dyDescent="0.25">
      <c r="A53" t="s">
        <v>19</v>
      </c>
      <c r="B53" t="str">
        <f t="shared" si="0"/>
        <v/>
      </c>
      <c r="C53" s="45"/>
      <c r="D53" s="45"/>
      <c r="E53" s="45"/>
      <c r="F53" s="44"/>
      <c r="G53" s="16" t="str">
        <f t="shared" si="1"/>
        <v/>
      </c>
      <c r="H53" s="16" t="str">
        <f t="shared" si="2"/>
        <v/>
      </c>
      <c r="J53" s="16" t="str">
        <f>IF(B53="","",SUMIF(Download!B:B,B53,Download!G:G))</f>
        <v/>
      </c>
      <c r="K53" s="16" t="str">
        <f>IF(B53="","",SUMIF(Download!B:B,B53,Download!H:H))</f>
        <v/>
      </c>
      <c r="M53" s="16" t="str">
        <f t="shared" si="3"/>
        <v/>
      </c>
      <c r="N53" s="16" t="str">
        <f t="shared" si="4"/>
        <v/>
      </c>
    </row>
    <row r="54" spans="1:14" x14ac:dyDescent="0.25">
      <c r="B54" t="str">
        <f t="shared" si="0"/>
        <v/>
      </c>
      <c r="C54" s="45"/>
      <c r="D54" s="45"/>
      <c r="E54" s="45"/>
      <c r="F54" s="44"/>
      <c r="G54" s="16" t="str">
        <f t="shared" si="1"/>
        <v/>
      </c>
      <c r="H54" s="16" t="str">
        <f t="shared" si="2"/>
        <v/>
      </c>
      <c r="J54" s="16" t="str">
        <f>IF(B54="","",SUMIF(Download!B:B,B54,Download!G:G))</f>
        <v/>
      </c>
      <c r="K54" s="16" t="str">
        <f>IF(B54="","",SUMIF(Download!B:B,B54,Download!H:H))</f>
        <v/>
      </c>
      <c r="M54" s="16" t="str">
        <f t="shared" si="3"/>
        <v/>
      </c>
      <c r="N54" s="16" t="str">
        <f t="shared" si="4"/>
        <v/>
      </c>
    </row>
    <row r="55" spans="1:14" x14ac:dyDescent="0.25">
      <c r="A55" t="s">
        <v>21</v>
      </c>
      <c r="B55" t="str">
        <f t="shared" si="0"/>
        <v/>
      </c>
      <c r="C55" s="45"/>
      <c r="D55" s="45"/>
      <c r="E55" s="45"/>
      <c r="F55" s="44"/>
      <c r="G55" s="16" t="str">
        <f t="shared" si="1"/>
        <v/>
      </c>
      <c r="H55" s="16" t="str">
        <f t="shared" si="2"/>
        <v/>
      </c>
      <c r="J55" s="16" t="str">
        <f>IF(B55="","",SUMIF(Download!B:B,B55,Download!G:G))</f>
        <v/>
      </c>
      <c r="K55" s="16" t="str">
        <f>IF(B55="","",SUMIF(Download!B:B,B55,Download!H:H))</f>
        <v/>
      </c>
      <c r="M55" s="16" t="str">
        <f t="shared" si="3"/>
        <v/>
      </c>
      <c r="N55" s="16" t="str">
        <f t="shared" si="4"/>
        <v/>
      </c>
    </row>
    <row r="56" spans="1:14" x14ac:dyDescent="0.25">
      <c r="A56" t="s">
        <v>21</v>
      </c>
      <c r="B56" t="str">
        <f t="shared" si="0"/>
        <v/>
      </c>
      <c r="C56" s="45"/>
      <c r="D56" s="45"/>
      <c r="E56" s="45"/>
      <c r="F56" s="44"/>
      <c r="G56" s="16" t="str">
        <f t="shared" si="1"/>
        <v/>
      </c>
      <c r="H56" s="16" t="str">
        <f t="shared" si="2"/>
        <v/>
      </c>
      <c r="J56" s="16" t="str">
        <f>IF(B56="","",SUMIF(Download!B:B,B56,Download!G:G))</f>
        <v/>
      </c>
      <c r="K56" s="16" t="str">
        <f>IF(B56="","",SUMIF(Download!B:B,B56,Download!H:H))</f>
        <v/>
      </c>
      <c r="M56" s="16" t="str">
        <f t="shared" si="3"/>
        <v/>
      </c>
      <c r="N56" s="16" t="str">
        <f t="shared" si="4"/>
        <v/>
      </c>
    </row>
    <row r="57" spans="1:14" x14ac:dyDescent="0.25">
      <c r="A57" t="s">
        <v>21</v>
      </c>
      <c r="B57" t="str">
        <f t="shared" si="0"/>
        <v/>
      </c>
      <c r="C57" s="45"/>
      <c r="D57" s="45"/>
      <c r="E57" s="45"/>
      <c r="F57" s="44"/>
      <c r="G57" s="16" t="str">
        <f t="shared" si="1"/>
        <v/>
      </c>
      <c r="H57" s="16" t="str">
        <f t="shared" si="2"/>
        <v/>
      </c>
      <c r="J57" s="16" t="str">
        <f>IF(B57="","",SUMIF(Download!B:B,B57,Download!G:G))</f>
        <v/>
      </c>
      <c r="K57" s="16" t="str">
        <f>IF(B57="","",SUMIF(Download!B:B,B57,Download!H:H))</f>
        <v/>
      </c>
      <c r="M57" s="16" t="str">
        <f t="shared" si="3"/>
        <v/>
      </c>
      <c r="N57" s="16" t="str">
        <f t="shared" si="4"/>
        <v/>
      </c>
    </row>
    <row r="58" spans="1:14" x14ac:dyDescent="0.25">
      <c r="A58" t="s">
        <v>21</v>
      </c>
      <c r="B58" t="str">
        <f t="shared" si="0"/>
        <v/>
      </c>
      <c r="C58" s="45"/>
      <c r="D58" s="45"/>
      <c r="E58" s="45"/>
      <c r="F58" s="44"/>
      <c r="G58" s="16" t="str">
        <f t="shared" si="1"/>
        <v/>
      </c>
      <c r="H58" s="16" t="str">
        <f t="shared" si="2"/>
        <v/>
      </c>
      <c r="J58" s="16" t="str">
        <f>IF(B58="","",SUMIF(Download!B:B,B58,Download!G:G))</f>
        <v/>
      </c>
      <c r="K58" s="16" t="str">
        <f>IF(B58="","",SUMIF(Download!B:B,B58,Download!H:H))</f>
        <v/>
      </c>
      <c r="M58" s="16" t="str">
        <f t="shared" si="3"/>
        <v/>
      </c>
      <c r="N58" s="16" t="str">
        <f t="shared" si="4"/>
        <v/>
      </c>
    </row>
    <row r="59" spans="1:14" x14ac:dyDescent="0.25">
      <c r="A59" t="s">
        <v>21</v>
      </c>
      <c r="B59" t="str">
        <f t="shared" si="0"/>
        <v/>
      </c>
      <c r="C59" s="45"/>
      <c r="D59" s="45"/>
      <c r="E59" s="45"/>
      <c r="F59" s="44"/>
      <c r="G59" s="16" t="str">
        <f t="shared" si="1"/>
        <v/>
      </c>
      <c r="H59" s="16" t="str">
        <f t="shared" si="2"/>
        <v/>
      </c>
      <c r="J59" s="16" t="str">
        <f>IF(B59="","",SUMIF(Download!B:B,B59,Download!G:G))</f>
        <v/>
      </c>
      <c r="K59" s="16" t="str">
        <f>IF(B59="","",SUMIF(Download!B:B,B59,Download!H:H))</f>
        <v/>
      </c>
      <c r="M59" s="16" t="str">
        <f t="shared" si="3"/>
        <v/>
      </c>
      <c r="N59" s="16" t="str">
        <f t="shared" si="4"/>
        <v/>
      </c>
    </row>
    <row r="60" spans="1:14" x14ac:dyDescent="0.25">
      <c r="A60" t="s">
        <v>21</v>
      </c>
      <c r="B60" t="str">
        <f t="shared" si="0"/>
        <v/>
      </c>
      <c r="C60" s="45"/>
      <c r="D60" s="45"/>
      <c r="E60" s="45"/>
      <c r="F60" s="44"/>
      <c r="G60" s="16" t="str">
        <f t="shared" si="1"/>
        <v/>
      </c>
      <c r="H60" s="16" t="str">
        <f t="shared" si="2"/>
        <v/>
      </c>
      <c r="J60" s="16" t="str">
        <f>IF(B60="","",SUMIF(Download!B:B,B60,Download!G:G))</f>
        <v/>
      </c>
      <c r="K60" s="16" t="str">
        <f>IF(B60="","",SUMIF(Download!B:B,B60,Download!H:H))</f>
        <v/>
      </c>
      <c r="M60" s="16" t="str">
        <f t="shared" si="3"/>
        <v/>
      </c>
      <c r="N60" s="16" t="str">
        <f t="shared" si="4"/>
        <v/>
      </c>
    </row>
    <row r="61" spans="1:14" x14ac:dyDescent="0.25">
      <c r="A61" t="s">
        <v>21</v>
      </c>
      <c r="B61" t="str">
        <f t="shared" si="0"/>
        <v/>
      </c>
      <c r="C61" s="45"/>
      <c r="D61" s="45"/>
      <c r="E61" s="45"/>
      <c r="F61" s="44"/>
      <c r="G61" s="16" t="str">
        <f t="shared" si="1"/>
        <v/>
      </c>
      <c r="H61" s="16" t="str">
        <f t="shared" si="2"/>
        <v/>
      </c>
      <c r="J61" s="16" t="str">
        <f>IF(B61="","",SUMIF(Download!B:B,B61,Download!G:G))</f>
        <v/>
      </c>
      <c r="K61" s="16" t="str">
        <f>IF(B61="","",SUMIF(Download!B:B,B61,Download!H:H))</f>
        <v/>
      </c>
      <c r="M61" s="16" t="str">
        <f t="shared" si="3"/>
        <v/>
      </c>
      <c r="N61" s="16" t="str">
        <f t="shared" si="4"/>
        <v/>
      </c>
    </row>
    <row r="62" spans="1:14" x14ac:dyDescent="0.25">
      <c r="A62" t="s">
        <v>21</v>
      </c>
      <c r="B62" t="str">
        <f t="shared" si="0"/>
        <v/>
      </c>
      <c r="C62" s="45"/>
      <c r="D62" s="45"/>
      <c r="E62" s="45"/>
      <c r="F62" s="44"/>
      <c r="G62" s="16" t="str">
        <f t="shared" si="1"/>
        <v/>
      </c>
      <c r="H62" s="16" t="str">
        <f t="shared" si="2"/>
        <v/>
      </c>
      <c r="J62" s="16" t="str">
        <f>IF(B62="","",SUMIF(Download!B:B,B62,Download!G:G))</f>
        <v/>
      </c>
      <c r="K62" s="16" t="str">
        <f>IF(B62="","",SUMIF(Download!B:B,B62,Download!H:H))</f>
        <v/>
      </c>
      <c r="M62" s="16" t="str">
        <f t="shared" si="3"/>
        <v/>
      </c>
      <c r="N62" s="16" t="str">
        <f t="shared" si="4"/>
        <v/>
      </c>
    </row>
    <row r="63" spans="1:14" x14ac:dyDescent="0.25">
      <c r="A63" t="s">
        <v>21</v>
      </c>
      <c r="B63" t="str">
        <f t="shared" si="0"/>
        <v/>
      </c>
      <c r="C63" s="45"/>
      <c r="D63" s="45"/>
      <c r="E63" s="45"/>
      <c r="F63" s="44"/>
      <c r="G63" s="16" t="str">
        <f t="shared" si="1"/>
        <v/>
      </c>
      <c r="H63" s="16" t="str">
        <f t="shared" si="2"/>
        <v/>
      </c>
      <c r="J63" s="16" t="str">
        <f>IF(B63="","",SUMIF(Download!B:B,B63,Download!G:G))</f>
        <v/>
      </c>
      <c r="K63" s="16" t="str">
        <f>IF(B63="","",SUMIF(Download!B:B,B63,Download!H:H))</f>
        <v/>
      </c>
      <c r="M63" s="16" t="str">
        <f t="shared" si="3"/>
        <v/>
      </c>
      <c r="N63" s="16" t="str">
        <f t="shared" si="4"/>
        <v/>
      </c>
    </row>
    <row r="64" spans="1:14" x14ac:dyDescent="0.25">
      <c r="A64" t="s">
        <v>21</v>
      </c>
      <c r="B64" t="str">
        <f t="shared" si="0"/>
        <v/>
      </c>
      <c r="C64" s="45"/>
      <c r="D64" s="45"/>
      <c r="E64" s="45"/>
      <c r="F64" s="44"/>
      <c r="G64" s="16" t="str">
        <f t="shared" si="1"/>
        <v/>
      </c>
      <c r="H64" s="16" t="str">
        <f t="shared" si="2"/>
        <v/>
      </c>
      <c r="J64" s="16" t="str">
        <f>IF(B64="","",SUMIF(Download!B:B,B64,Download!G:G))</f>
        <v/>
      </c>
      <c r="K64" s="16" t="str">
        <f>IF(B64="","",SUMIF(Download!B:B,B64,Download!H:H))</f>
        <v/>
      </c>
      <c r="M64" s="16" t="str">
        <f t="shared" si="3"/>
        <v/>
      </c>
      <c r="N64" s="16" t="str">
        <f t="shared" si="4"/>
        <v/>
      </c>
    </row>
    <row r="65" spans="1:14" x14ac:dyDescent="0.25">
      <c r="A65" t="s">
        <v>21</v>
      </c>
      <c r="B65" t="str">
        <f t="shared" si="0"/>
        <v/>
      </c>
      <c r="C65" s="45"/>
      <c r="D65" s="45"/>
      <c r="E65" s="45"/>
      <c r="F65" s="44"/>
      <c r="G65" s="16" t="str">
        <f t="shared" si="1"/>
        <v/>
      </c>
      <c r="H65" s="16" t="str">
        <f t="shared" si="2"/>
        <v/>
      </c>
      <c r="J65" s="16" t="str">
        <f>IF(B65="","",SUMIF(Download!B:B,B65,Download!G:G))</f>
        <v/>
      </c>
      <c r="K65" s="16" t="str">
        <f>IF(B65="","",SUMIF(Download!B:B,B65,Download!H:H))</f>
        <v/>
      </c>
      <c r="M65" s="16" t="str">
        <f t="shared" si="3"/>
        <v/>
      </c>
      <c r="N65" s="16" t="str">
        <f t="shared" si="4"/>
        <v/>
      </c>
    </row>
    <row r="66" spans="1:14" x14ac:dyDescent="0.25">
      <c r="B66" t="str">
        <f t="shared" ref="B66:B129" si="5">IF(C66="","",A66&amp;C66)</f>
        <v/>
      </c>
      <c r="C66" s="45"/>
      <c r="D66" s="45"/>
      <c r="E66" s="45"/>
      <c r="F66" s="44"/>
      <c r="G66" s="16" t="str">
        <f t="shared" ref="G66:G129" si="6">IFERROR(VALUE(LEFT(D66,LEN(D66)-7)),"")</f>
        <v/>
      </c>
      <c r="H66" s="16" t="str">
        <f t="shared" ref="H66:H129" si="7">IFERROR(VALUE(RIGHT(E66,LEN(E66)-4)),"")</f>
        <v/>
      </c>
      <c r="J66" s="16" t="str">
        <f>IF(B66="","",SUMIF(Download!B:B,B66,Download!G:G))</f>
        <v/>
      </c>
      <c r="K66" s="16" t="str">
        <f>IF(B66="","",SUMIF(Download!B:B,B66,Download!H:H))</f>
        <v/>
      </c>
      <c r="M66" s="16" t="str">
        <f t="shared" ref="M66:M129" si="8">IF(B66="","",G66-J66)</f>
        <v/>
      </c>
      <c r="N66" s="16" t="str">
        <f t="shared" ref="N66:N129" si="9">IF(B66="","",H66-K66)</f>
        <v/>
      </c>
    </row>
    <row r="67" spans="1:14" x14ac:dyDescent="0.25">
      <c r="A67" t="s">
        <v>23</v>
      </c>
      <c r="B67" t="str">
        <f t="shared" si="5"/>
        <v/>
      </c>
      <c r="C67" s="45"/>
      <c r="D67" s="45"/>
      <c r="E67" s="45"/>
      <c r="F67" s="44"/>
      <c r="G67" s="16" t="str">
        <f t="shared" si="6"/>
        <v/>
      </c>
      <c r="H67" s="16" t="str">
        <f t="shared" si="7"/>
        <v/>
      </c>
      <c r="J67" s="16" t="str">
        <f>IF(B67="","",SUMIF(Download!B:B,B67,Download!G:G))</f>
        <v/>
      </c>
      <c r="K67" s="16" t="str">
        <f>IF(B67="","",SUMIF(Download!B:B,B67,Download!H:H))</f>
        <v/>
      </c>
      <c r="M67" s="16" t="str">
        <f t="shared" si="8"/>
        <v/>
      </c>
      <c r="N67" s="16" t="str">
        <f t="shared" si="9"/>
        <v/>
      </c>
    </row>
    <row r="68" spans="1:14" x14ac:dyDescent="0.25">
      <c r="A68" t="s">
        <v>23</v>
      </c>
      <c r="B68" t="str">
        <f t="shared" si="5"/>
        <v/>
      </c>
      <c r="C68" s="45"/>
      <c r="D68" s="45"/>
      <c r="E68" s="45"/>
      <c r="F68" s="44"/>
      <c r="G68" s="16" t="str">
        <f t="shared" si="6"/>
        <v/>
      </c>
      <c r="H68" s="16" t="str">
        <f t="shared" si="7"/>
        <v/>
      </c>
      <c r="J68" s="16" t="str">
        <f>IF(B68="","",SUMIF(Download!B:B,B68,Download!G:G))</f>
        <v/>
      </c>
      <c r="K68" s="16" t="str">
        <f>IF(B68="","",SUMIF(Download!B:B,B68,Download!H:H))</f>
        <v/>
      </c>
      <c r="M68" s="16" t="str">
        <f t="shared" si="8"/>
        <v/>
      </c>
      <c r="N68" s="16" t="str">
        <f t="shared" si="9"/>
        <v/>
      </c>
    </row>
    <row r="69" spans="1:14" x14ac:dyDescent="0.25">
      <c r="A69" t="s">
        <v>23</v>
      </c>
      <c r="B69" t="str">
        <f t="shared" si="5"/>
        <v/>
      </c>
      <c r="C69" s="45"/>
      <c r="D69" s="45"/>
      <c r="E69" s="45"/>
      <c r="F69" s="44"/>
      <c r="G69" s="16" t="str">
        <f t="shared" si="6"/>
        <v/>
      </c>
      <c r="H69" s="16" t="str">
        <f t="shared" si="7"/>
        <v/>
      </c>
      <c r="J69" s="16" t="str">
        <f>IF(B69="","",SUMIF(Download!B:B,B69,Download!G:G))</f>
        <v/>
      </c>
      <c r="K69" s="16" t="str">
        <f>IF(B69="","",SUMIF(Download!B:B,B69,Download!H:H))</f>
        <v/>
      </c>
      <c r="M69" s="16" t="str">
        <f t="shared" si="8"/>
        <v/>
      </c>
      <c r="N69" s="16" t="str">
        <f t="shared" si="9"/>
        <v/>
      </c>
    </row>
    <row r="70" spans="1:14" x14ac:dyDescent="0.25">
      <c r="A70" t="s">
        <v>23</v>
      </c>
      <c r="B70" t="str">
        <f t="shared" si="5"/>
        <v/>
      </c>
      <c r="C70" s="45"/>
      <c r="D70" s="45"/>
      <c r="E70" s="45"/>
      <c r="F70" s="44"/>
      <c r="G70" s="16" t="str">
        <f t="shared" si="6"/>
        <v/>
      </c>
      <c r="H70" s="16" t="str">
        <f t="shared" si="7"/>
        <v/>
      </c>
      <c r="J70" s="16" t="str">
        <f>IF(B70="","",SUMIF(Download!B:B,B70,Download!G:G))</f>
        <v/>
      </c>
      <c r="K70" s="16" t="str">
        <f>IF(B70="","",SUMIF(Download!B:B,B70,Download!H:H))</f>
        <v/>
      </c>
      <c r="M70" s="16" t="str">
        <f t="shared" si="8"/>
        <v/>
      </c>
      <c r="N70" s="16" t="str">
        <f t="shared" si="9"/>
        <v/>
      </c>
    </row>
    <row r="71" spans="1:14" x14ac:dyDescent="0.25">
      <c r="A71" t="s">
        <v>23</v>
      </c>
      <c r="B71" t="str">
        <f t="shared" si="5"/>
        <v/>
      </c>
      <c r="C71" s="45"/>
      <c r="D71" s="45"/>
      <c r="E71" s="45"/>
      <c r="F71" s="44"/>
      <c r="G71" s="16" t="str">
        <f t="shared" si="6"/>
        <v/>
      </c>
      <c r="H71" s="16" t="str">
        <f t="shared" si="7"/>
        <v/>
      </c>
      <c r="J71" s="16" t="str">
        <f>IF(B71="","",SUMIF(Download!B:B,B71,Download!G:G))</f>
        <v/>
      </c>
      <c r="K71" s="16" t="str">
        <f>IF(B71="","",SUMIF(Download!B:B,B71,Download!H:H))</f>
        <v/>
      </c>
      <c r="M71" s="16" t="str">
        <f t="shared" si="8"/>
        <v/>
      </c>
      <c r="N71" s="16" t="str">
        <f t="shared" si="9"/>
        <v/>
      </c>
    </row>
    <row r="72" spans="1:14" x14ac:dyDescent="0.25">
      <c r="A72" t="s">
        <v>23</v>
      </c>
      <c r="B72" t="str">
        <f t="shared" si="5"/>
        <v/>
      </c>
      <c r="C72" s="45"/>
      <c r="D72" s="45"/>
      <c r="E72" s="45"/>
      <c r="F72" s="44"/>
      <c r="G72" s="16" t="str">
        <f t="shared" si="6"/>
        <v/>
      </c>
      <c r="H72" s="16" t="str">
        <f t="shared" si="7"/>
        <v/>
      </c>
      <c r="J72" s="16" t="str">
        <f>IF(B72="","",SUMIF(Download!B:B,B72,Download!G:G))</f>
        <v/>
      </c>
      <c r="K72" s="16" t="str">
        <f>IF(B72="","",SUMIF(Download!B:B,B72,Download!H:H))</f>
        <v/>
      </c>
      <c r="M72" s="16" t="str">
        <f t="shared" si="8"/>
        <v/>
      </c>
      <c r="N72" s="16" t="str">
        <f t="shared" si="9"/>
        <v/>
      </c>
    </row>
    <row r="73" spans="1:14" x14ac:dyDescent="0.25">
      <c r="A73" t="s">
        <v>23</v>
      </c>
      <c r="B73" t="str">
        <f t="shared" si="5"/>
        <v/>
      </c>
      <c r="C73" s="45"/>
      <c r="D73" s="45"/>
      <c r="E73" s="45"/>
      <c r="F73" s="44"/>
      <c r="G73" s="16" t="str">
        <f t="shared" si="6"/>
        <v/>
      </c>
      <c r="H73" s="16" t="str">
        <f t="shared" si="7"/>
        <v/>
      </c>
      <c r="J73" s="16" t="str">
        <f>IF(B73="","",SUMIF(Download!B:B,B73,Download!G:G))</f>
        <v/>
      </c>
      <c r="K73" s="16" t="str">
        <f>IF(B73="","",SUMIF(Download!B:B,B73,Download!H:H))</f>
        <v/>
      </c>
      <c r="M73" s="16" t="str">
        <f t="shared" si="8"/>
        <v/>
      </c>
      <c r="N73" s="16" t="str">
        <f t="shared" si="9"/>
        <v/>
      </c>
    </row>
    <row r="74" spans="1:14" x14ac:dyDescent="0.25">
      <c r="A74" t="s">
        <v>23</v>
      </c>
      <c r="B74" t="str">
        <f t="shared" si="5"/>
        <v/>
      </c>
      <c r="C74" s="45"/>
      <c r="D74" s="45"/>
      <c r="E74" s="45"/>
      <c r="F74" s="44"/>
      <c r="G74" s="16" t="str">
        <f t="shared" si="6"/>
        <v/>
      </c>
      <c r="H74" s="16" t="str">
        <f t="shared" si="7"/>
        <v/>
      </c>
      <c r="J74" s="16" t="str">
        <f>IF(B74="","",SUMIF(Download!B:B,B74,Download!G:G))</f>
        <v/>
      </c>
      <c r="K74" s="16" t="str">
        <f>IF(B74="","",SUMIF(Download!B:B,B74,Download!H:H))</f>
        <v/>
      </c>
      <c r="M74" s="16" t="str">
        <f t="shared" si="8"/>
        <v/>
      </c>
      <c r="N74" s="16" t="str">
        <f t="shared" si="9"/>
        <v/>
      </c>
    </row>
    <row r="75" spans="1:14" x14ac:dyDescent="0.25">
      <c r="A75" t="s">
        <v>23</v>
      </c>
      <c r="B75" t="str">
        <f t="shared" si="5"/>
        <v/>
      </c>
      <c r="C75" s="45"/>
      <c r="D75" s="45"/>
      <c r="E75" s="45"/>
      <c r="F75" s="44"/>
      <c r="G75" s="16" t="str">
        <f t="shared" si="6"/>
        <v/>
      </c>
      <c r="H75" s="16" t="str">
        <f t="shared" si="7"/>
        <v/>
      </c>
      <c r="J75" s="16" t="str">
        <f>IF(B75="","",SUMIF(Download!B:B,B75,Download!G:G))</f>
        <v/>
      </c>
      <c r="K75" s="16" t="str">
        <f>IF(B75="","",SUMIF(Download!B:B,B75,Download!H:H))</f>
        <v/>
      </c>
      <c r="M75" s="16" t="str">
        <f t="shared" si="8"/>
        <v/>
      </c>
      <c r="N75" s="16" t="str">
        <f t="shared" si="9"/>
        <v/>
      </c>
    </row>
    <row r="76" spans="1:14" x14ac:dyDescent="0.25">
      <c r="A76" t="s">
        <v>23</v>
      </c>
      <c r="B76" t="str">
        <f t="shared" si="5"/>
        <v/>
      </c>
      <c r="C76" s="45"/>
      <c r="D76" s="45"/>
      <c r="E76" s="45"/>
      <c r="F76" s="44"/>
      <c r="G76" s="16" t="str">
        <f t="shared" si="6"/>
        <v/>
      </c>
      <c r="H76" s="16" t="str">
        <f t="shared" si="7"/>
        <v/>
      </c>
      <c r="J76" s="16" t="str">
        <f>IF(B76="","",SUMIF(Download!B:B,B76,Download!G:G))</f>
        <v/>
      </c>
      <c r="K76" s="16" t="str">
        <f>IF(B76="","",SUMIF(Download!B:B,B76,Download!H:H))</f>
        <v/>
      </c>
      <c r="M76" s="16" t="str">
        <f t="shared" si="8"/>
        <v/>
      </c>
      <c r="N76" s="16" t="str">
        <f t="shared" si="9"/>
        <v/>
      </c>
    </row>
    <row r="77" spans="1:14" x14ac:dyDescent="0.25">
      <c r="B77" t="str">
        <f t="shared" si="5"/>
        <v/>
      </c>
      <c r="C77" s="45"/>
      <c r="D77" s="45"/>
      <c r="E77" s="45"/>
      <c r="F77" s="44"/>
      <c r="G77" s="16" t="str">
        <f t="shared" si="6"/>
        <v/>
      </c>
      <c r="H77" s="16" t="str">
        <f t="shared" si="7"/>
        <v/>
      </c>
      <c r="J77" s="16" t="str">
        <f>IF(B77="","",SUMIF(Download!B:B,B77,Download!G:G))</f>
        <v/>
      </c>
      <c r="K77" s="16" t="str">
        <f>IF(B77="","",SUMIF(Download!B:B,B77,Download!H:H))</f>
        <v/>
      </c>
      <c r="M77" s="16" t="str">
        <f t="shared" si="8"/>
        <v/>
      </c>
      <c r="N77" s="16" t="str">
        <f t="shared" si="9"/>
        <v/>
      </c>
    </row>
    <row r="78" spans="1:14" x14ac:dyDescent="0.25">
      <c r="A78" t="s">
        <v>29</v>
      </c>
      <c r="B78" t="str">
        <f t="shared" si="5"/>
        <v/>
      </c>
      <c r="C78" s="45"/>
      <c r="D78" s="45"/>
      <c r="E78" s="45"/>
      <c r="F78" s="44"/>
      <c r="G78" s="16" t="str">
        <f t="shared" si="6"/>
        <v/>
      </c>
      <c r="H78" s="16" t="str">
        <f t="shared" si="7"/>
        <v/>
      </c>
      <c r="J78" s="16" t="str">
        <f>IF(B78="","",SUMIF(Download!B:B,B78,Download!G:G))</f>
        <v/>
      </c>
      <c r="K78" s="16" t="str">
        <f>IF(B78="","",SUMIF(Download!B:B,B78,Download!H:H))</f>
        <v/>
      </c>
      <c r="M78" s="16" t="str">
        <f t="shared" si="8"/>
        <v/>
      </c>
      <c r="N78" s="16" t="str">
        <f t="shared" si="9"/>
        <v/>
      </c>
    </row>
    <row r="79" spans="1:14" x14ac:dyDescent="0.25">
      <c r="A79" t="s">
        <v>29</v>
      </c>
      <c r="B79" t="str">
        <f t="shared" si="5"/>
        <v/>
      </c>
      <c r="C79" s="45"/>
      <c r="D79" s="45"/>
      <c r="E79" s="45"/>
      <c r="F79" s="44"/>
      <c r="G79" s="16" t="str">
        <f t="shared" si="6"/>
        <v/>
      </c>
      <c r="H79" s="16" t="str">
        <f t="shared" si="7"/>
        <v/>
      </c>
      <c r="J79" s="16" t="str">
        <f>IF(B79="","",SUMIF(Download!B:B,B79,Download!G:G))</f>
        <v/>
      </c>
      <c r="K79" s="16" t="str">
        <f>IF(B79="","",SUMIF(Download!B:B,B79,Download!H:H))</f>
        <v/>
      </c>
      <c r="M79" s="16" t="str">
        <f t="shared" si="8"/>
        <v/>
      </c>
      <c r="N79" s="16" t="str">
        <f t="shared" si="9"/>
        <v/>
      </c>
    </row>
    <row r="80" spans="1:14" x14ac:dyDescent="0.25">
      <c r="A80" t="s">
        <v>29</v>
      </c>
      <c r="B80" t="str">
        <f t="shared" si="5"/>
        <v/>
      </c>
      <c r="C80" s="45"/>
      <c r="D80" s="45"/>
      <c r="E80" s="45"/>
      <c r="F80" s="44"/>
      <c r="G80" s="16" t="str">
        <f t="shared" si="6"/>
        <v/>
      </c>
      <c r="H80" s="16" t="str">
        <f t="shared" si="7"/>
        <v/>
      </c>
      <c r="J80" s="16" t="str">
        <f>IF(B80="","",SUMIF(Download!B:B,B80,Download!G:G))</f>
        <v/>
      </c>
      <c r="K80" s="16" t="str">
        <f>IF(B80="","",SUMIF(Download!B:B,B80,Download!H:H))</f>
        <v/>
      </c>
      <c r="M80" s="16" t="str">
        <f t="shared" si="8"/>
        <v/>
      </c>
      <c r="N80" s="16" t="str">
        <f t="shared" si="9"/>
        <v/>
      </c>
    </row>
    <row r="81" spans="1:14" x14ac:dyDescent="0.25">
      <c r="A81" t="s">
        <v>29</v>
      </c>
      <c r="B81" t="str">
        <f t="shared" si="5"/>
        <v/>
      </c>
      <c r="C81" s="45"/>
      <c r="D81" s="45"/>
      <c r="E81" s="45"/>
      <c r="F81" s="44"/>
      <c r="G81" s="16" t="str">
        <f t="shared" si="6"/>
        <v/>
      </c>
      <c r="H81" s="16" t="str">
        <f t="shared" si="7"/>
        <v/>
      </c>
      <c r="J81" s="16" t="str">
        <f>IF(B81="","",SUMIF(Download!B:B,B81,Download!G:G))</f>
        <v/>
      </c>
      <c r="K81" s="16" t="str">
        <f>IF(B81="","",SUMIF(Download!B:B,B81,Download!H:H))</f>
        <v/>
      </c>
      <c r="M81" s="16" t="str">
        <f t="shared" si="8"/>
        <v/>
      </c>
      <c r="N81" s="16" t="str">
        <f t="shared" si="9"/>
        <v/>
      </c>
    </row>
    <row r="82" spans="1:14" x14ac:dyDescent="0.25">
      <c r="A82" t="s">
        <v>29</v>
      </c>
      <c r="B82" t="str">
        <f t="shared" si="5"/>
        <v/>
      </c>
      <c r="C82" s="45"/>
      <c r="D82" s="45"/>
      <c r="E82" s="45"/>
      <c r="F82" s="44"/>
      <c r="G82" s="16" t="str">
        <f t="shared" si="6"/>
        <v/>
      </c>
      <c r="H82" s="16" t="str">
        <f t="shared" si="7"/>
        <v/>
      </c>
      <c r="J82" s="16" t="str">
        <f>IF(B82="","",SUMIF(Download!B:B,B82,Download!G:G))</f>
        <v/>
      </c>
      <c r="K82" s="16" t="str">
        <f>IF(B82="","",SUMIF(Download!B:B,B82,Download!H:H))</f>
        <v/>
      </c>
      <c r="M82" s="16" t="str">
        <f t="shared" si="8"/>
        <v/>
      </c>
      <c r="N82" s="16" t="str">
        <f t="shared" si="9"/>
        <v/>
      </c>
    </row>
    <row r="83" spans="1:14" x14ac:dyDescent="0.25">
      <c r="A83" t="s">
        <v>29</v>
      </c>
      <c r="B83" t="str">
        <f t="shared" si="5"/>
        <v/>
      </c>
      <c r="C83" s="45"/>
      <c r="D83" s="45"/>
      <c r="E83" s="45"/>
      <c r="F83" s="44"/>
      <c r="G83" s="16" t="str">
        <f t="shared" si="6"/>
        <v/>
      </c>
      <c r="H83" s="16" t="str">
        <f t="shared" si="7"/>
        <v/>
      </c>
      <c r="J83" s="16" t="str">
        <f>IF(B83="","",SUMIF(Download!B:B,B83,Download!G:G))</f>
        <v/>
      </c>
      <c r="K83" s="16" t="str">
        <f>IF(B83="","",SUMIF(Download!B:B,B83,Download!H:H))</f>
        <v/>
      </c>
      <c r="M83" s="16" t="str">
        <f t="shared" si="8"/>
        <v/>
      </c>
      <c r="N83" s="16" t="str">
        <f t="shared" si="9"/>
        <v/>
      </c>
    </row>
    <row r="84" spans="1:14" x14ac:dyDescent="0.25">
      <c r="A84" t="s">
        <v>29</v>
      </c>
      <c r="B84" t="str">
        <f t="shared" si="5"/>
        <v/>
      </c>
      <c r="C84" s="45"/>
      <c r="D84" s="45"/>
      <c r="E84" s="45"/>
      <c r="F84" s="44"/>
      <c r="G84" s="16" t="str">
        <f t="shared" si="6"/>
        <v/>
      </c>
      <c r="H84" s="16" t="str">
        <f t="shared" si="7"/>
        <v/>
      </c>
      <c r="J84" s="16" t="str">
        <f>IF(B84="","",SUMIF(Download!B:B,B84,Download!G:G))</f>
        <v/>
      </c>
      <c r="K84" s="16" t="str">
        <f>IF(B84="","",SUMIF(Download!B:B,B84,Download!H:H))</f>
        <v/>
      </c>
      <c r="M84" s="16" t="str">
        <f t="shared" si="8"/>
        <v/>
      </c>
      <c r="N84" s="16" t="str">
        <f t="shared" si="9"/>
        <v/>
      </c>
    </row>
    <row r="85" spans="1:14" x14ac:dyDescent="0.25">
      <c r="A85" t="s">
        <v>29</v>
      </c>
      <c r="B85" t="str">
        <f t="shared" si="5"/>
        <v/>
      </c>
      <c r="C85" s="45"/>
      <c r="D85" s="45"/>
      <c r="E85" s="45"/>
      <c r="F85" s="44"/>
      <c r="G85" s="16" t="str">
        <f t="shared" si="6"/>
        <v/>
      </c>
      <c r="H85" s="16" t="str">
        <f t="shared" si="7"/>
        <v/>
      </c>
      <c r="J85" s="16" t="str">
        <f>IF(B85="","",SUMIF(Download!B:B,B85,Download!G:G))</f>
        <v/>
      </c>
      <c r="K85" s="16" t="str">
        <f>IF(B85="","",SUMIF(Download!B:B,B85,Download!H:H))</f>
        <v/>
      </c>
      <c r="M85" s="16" t="str">
        <f t="shared" si="8"/>
        <v/>
      </c>
      <c r="N85" s="16" t="str">
        <f t="shared" si="9"/>
        <v/>
      </c>
    </row>
    <row r="86" spans="1:14" x14ac:dyDescent="0.25">
      <c r="A86" t="s">
        <v>29</v>
      </c>
      <c r="B86" t="str">
        <f t="shared" si="5"/>
        <v/>
      </c>
      <c r="C86" s="45"/>
      <c r="D86" s="45"/>
      <c r="E86" s="45"/>
      <c r="F86" s="44"/>
      <c r="G86" s="16" t="str">
        <f t="shared" si="6"/>
        <v/>
      </c>
      <c r="H86" s="16" t="str">
        <f t="shared" si="7"/>
        <v/>
      </c>
      <c r="J86" s="16" t="str">
        <f>IF(B86="","",SUMIF(Download!B:B,B86,Download!G:G))</f>
        <v/>
      </c>
      <c r="K86" s="16" t="str">
        <f>IF(B86="","",SUMIF(Download!B:B,B86,Download!H:H))</f>
        <v/>
      </c>
      <c r="M86" s="16" t="str">
        <f t="shared" si="8"/>
        <v/>
      </c>
      <c r="N86" s="16" t="str">
        <f t="shared" si="9"/>
        <v/>
      </c>
    </row>
    <row r="87" spans="1:14" x14ac:dyDescent="0.25">
      <c r="A87" t="s">
        <v>29</v>
      </c>
      <c r="B87" t="str">
        <f t="shared" si="5"/>
        <v/>
      </c>
      <c r="C87" s="45"/>
      <c r="D87" s="45"/>
      <c r="E87" s="45"/>
      <c r="F87" s="44"/>
      <c r="G87" s="16" t="str">
        <f t="shared" si="6"/>
        <v/>
      </c>
      <c r="H87" s="16" t="str">
        <f t="shared" si="7"/>
        <v/>
      </c>
      <c r="J87" s="16" t="str">
        <f>IF(B87="","",SUMIF(Download!B:B,B87,Download!G:G))</f>
        <v/>
      </c>
      <c r="K87" s="16" t="str">
        <f>IF(B87="","",SUMIF(Download!B:B,B87,Download!H:H))</f>
        <v/>
      </c>
      <c r="M87" s="16" t="str">
        <f t="shared" si="8"/>
        <v/>
      </c>
      <c r="N87" s="16" t="str">
        <f t="shared" si="9"/>
        <v/>
      </c>
    </row>
    <row r="88" spans="1:14" x14ac:dyDescent="0.25">
      <c r="B88" t="str">
        <f t="shared" si="5"/>
        <v/>
      </c>
      <c r="C88" s="45"/>
      <c r="D88" s="45"/>
      <c r="E88" s="45"/>
      <c r="F88" s="44"/>
      <c r="G88" s="16" t="str">
        <f t="shared" si="6"/>
        <v/>
      </c>
      <c r="H88" s="16" t="str">
        <f t="shared" si="7"/>
        <v/>
      </c>
      <c r="J88" s="16" t="str">
        <f>IF(B88="","",SUMIF(Download!B:B,B88,Download!G:G))</f>
        <v/>
      </c>
      <c r="K88" s="16" t="str">
        <f>IF(B88="","",SUMIF(Download!B:B,B88,Download!H:H))</f>
        <v/>
      </c>
      <c r="M88" s="16" t="str">
        <f t="shared" si="8"/>
        <v/>
      </c>
      <c r="N88" s="16" t="str">
        <f t="shared" si="9"/>
        <v/>
      </c>
    </row>
    <row r="89" spans="1:14" x14ac:dyDescent="0.25">
      <c r="A89" t="s">
        <v>32</v>
      </c>
      <c r="B89" t="str">
        <f t="shared" si="5"/>
        <v/>
      </c>
      <c r="C89" s="45"/>
      <c r="D89" s="45"/>
      <c r="E89" s="45"/>
      <c r="F89" s="44"/>
      <c r="G89" s="16" t="str">
        <f t="shared" si="6"/>
        <v/>
      </c>
      <c r="H89" s="16" t="str">
        <f t="shared" si="7"/>
        <v/>
      </c>
      <c r="J89" s="16" t="str">
        <f>IF(B89="","",SUMIF(Download!B:B,B89,Download!G:G))</f>
        <v/>
      </c>
      <c r="K89" s="16" t="str">
        <f>IF(B89="","",SUMIF(Download!B:B,B89,Download!H:H))</f>
        <v/>
      </c>
      <c r="M89" s="16" t="str">
        <f t="shared" si="8"/>
        <v/>
      </c>
      <c r="N89" s="16" t="str">
        <f t="shared" si="9"/>
        <v/>
      </c>
    </row>
    <row r="90" spans="1:14" x14ac:dyDescent="0.25">
      <c r="A90" t="s">
        <v>32</v>
      </c>
      <c r="B90" t="str">
        <f t="shared" si="5"/>
        <v/>
      </c>
      <c r="C90" s="45"/>
      <c r="D90" s="45"/>
      <c r="E90" s="45"/>
      <c r="F90" s="44"/>
      <c r="G90" s="16" t="str">
        <f t="shared" si="6"/>
        <v/>
      </c>
      <c r="H90" s="16" t="str">
        <f t="shared" si="7"/>
        <v/>
      </c>
      <c r="J90" s="16" t="str">
        <f>IF(B90="","",SUMIF(Download!B:B,B90,Download!G:G))</f>
        <v/>
      </c>
      <c r="K90" s="16" t="str">
        <f>IF(B90="","",SUMIF(Download!B:B,B90,Download!H:H))</f>
        <v/>
      </c>
      <c r="M90" s="16" t="str">
        <f t="shared" si="8"/>
        <v/>
      </c>
      <c r="N90" s="16" t="str">
        <f t="shared" si="9"/>
        <v/>
      </c>
    </row>
    <row r="91" spans="1:14" x14ac:dyDescent="0.25">
      <c r="A91" t="s">
        <v>32</v>
      </c>
      <c r="B91" t="str">
        <f t="shared" si="5"/>
        <v/>
      </c>
      <c r="C91" s="45"/>
      <c r="D91" s="45"/>
      <c r="E91" s="45"/>
      <c r="F91" s="44"/>
      <c r="G91" s="16" t="str">
        <f t="shared" si="6"/>
        <v/>
      </c>
      <c r="H91" s="16" t="str">
        <f t="shared" si="7"/>
        <v/>
      </c>
      <c r="J91" s="16" t="str">
        <f>IF(B91="","",SUMIF(Download!B:B,B91,Download!G:G))</f>
        <v/>
      </c>
      <c r="K91" s="16" t="str">
        <f>IF(B91="","",SUMIF(Download!B:B,B91,Download!H:H))</f>
        <v/>
      </c>
      <c r="M91" s="16" t="str">
        <f t="shared" si="8"/>
        <v/>
      </c>
      <c r="N91" s="16" t="str">
        <f t="shared" si="9"/>
        <v/>
      </c>
    </row>
    <row r="92" spans="1:14" x14ac:dyDescent="0.25">
      <c r="A92" t="s">
        <v>32</v>
      </c>
      <c r="B92" t="str">
        <f t="shared" si="5"/>
        <v/>
      </c>
      <c r="C92" s="45"/>
      <c r="D92" s="45"/>
      <c r="E92" s="45"/>
      <c r="F92" s="44"/>
      <c r="G92" s="16" t="str">
        <f t="shared" si="6"/>
        <v/>
      </c>
      <c r="H92" s="16" t="str">
        <f t="shared" si="7"/>
        <v/>
      </c>
      <c r="J92" s="16" t="str">
        <f>IF(B92="","",SUMIF(Download!B:B,B92,Download!G:G))</f>
        <v/>
      </c>
      <c r="K92" s="16" t="str">
        <f>IF(B92="","",SUMIF(Download!B:B,B92,Download!H:H))</f>
        <v/>
      </c>
      <c r="M92" s="16" t="str">
        <f t="shared" si="8"/>
        <v/>
      </c>
      <c r="N92" s="16" t="str">
        <f t="shared" si="9"/>
        <v/>
      </c>
    </row>
    <row r="93" spans="1:14" x14ac:dyDescent="0.25">
      <c r="A93" t="s">
        <v>32</v>
      </c>
      <c r="B93" t="str">
        <f t="shared" si="5"/>
        <v/>
      </c>
      <c r="C93" s="45"/>
      <c r="D93" s="46"/>
      <c r="E93" s="45"/>
      <c r="F93" s="44"/>
      <c r="G93" s="16" t="str">
        <f t="shared" si="6"/>
        <v/>
      </c>
      <c r="H93" s="16" t="str">
        <f t="shared" si="7"/>
        <v/>
      </c>
      <c r="J93" s="16" t="str">
        <f>IF(B93="","",SUMIF(Download!B:B,B93,Download!G:G))</f>
        <v/>
      </c>
      <c r="K93" s="16" t="str">
        <f>IF(B93="","",SUMIF(Download!B:B,B93,Download!H:H))</f>
        <v/>
      </c>
      <c r="M93" s="16" t="str">
        <f t="shared" si="8"/>
        <v/>
      </c>
      <c r="N93" s="16" t="str">
        <f t="shared" si="9"/>
        <v/>
      </c>
    </row>
    <row r="94" spans="1:14" x14ac:dyDescent="0.25">
      <c r="A94" t="s">
        <v>32</v>
      </c>
      <c r="B94" t="str">
        <f t="shared" si="5"/>
        <v/>
      </c>
      <c r="C94" s="45"/>
      <c r="D94" s="45"/>
      <c r="E94" s="45"/>
      <c r="F94" s="44"/>
      <c r="G94" s="16" t="str">
        <f t="shared" si="6"/>
        <v/>
      </c>
      <c r="H94" s="16" t="str">
        <f t="shared" si="7"/>
        <v/>
      </c>
      <c r="J94" s="16" t="str">
        <f>IF(B94="","",SUMIF(Download!B:B,B94,Download!G:G))</f>
        <v/>
      </c>
      <c r="K94" s="16" t="str">
        <f>IF(B94="","",SUMIF(Download!B:B,B94,Download!H:H))</f>
        <v/>
      </c>
      <c r="M94" s="16" t="str">
        <f t="shared" si="8"/>
        <v/>
      </c>
      <c r="N94" s="16" t="str">
        <f t="shared" si="9"/>
        <v/>
      </c>
    </row>
    <row r="95" spans="1:14" x14ac:dyDescent="0.25">
      <c r="A95" t="s">
        <v>32</v>
      </c>
      <c r="B95" t="str">
        <f t="shared" si="5"/>
        <v/>
      </c>
      <c r="C95" s="45"/>
      <c r="D95" s="45"/>
      <c r="E95" s="45"/>
      <c r="F95" s="44"/>
      <c r="G95" s="16" t="str">
        <f t="shared" si="6"/>
        <v/>
      </c>
      <c r="H95" s="16" t="str">
        <f t="shared" si="7"/>
        <v/>
      </c>
      <c r="J95" s="16" t="str">
        <f>IF(B95="","",SUMIF(Download!B:B,B95,Download!G:G))</f>
        <v/>
      </c>
      <c r="K95" s="16" t="str">
        <f>IF(B95="","",SUMIF(Download!B:B,B95,Download!H:H))</f>
        <v/>
      </c>
      <c r="M95" s="16" t="str">
        <f t="shared" si="8"/>
        <v/>
      </c>
      <c r="N95" s="16" t="str">
        <f t="shared" si="9"/>
        <v/>
      </c>
    </row>
    <row r="96" spans="1:14" x14ac:dyDescent="0.25">
      <c r="A96" t="s">
        <v>32</v>
      </c>
      <c r="B96" t="str">
        <f t="shared" si="5"/>
        <v/>
      </c>
      <c r="C96" s="45"/>
      <c r="D96" s="45"/>
      <c r="E96" s="45"/>
      <c r="F96" s="44"/>
      <c r="G96" s="16" t="str">
        <f t="shared" si="6"/>
        <v/>
      </c>
      <c r="H96" s="16" t="str">
        <f t="shared" si="7"/>
        <v/>
      </c>
      <c r="J96" s="16" t="str">
        <f>IF(B96="","",SUMIF(Download!B:B,B96,Download!G:G))</f>
        <v/>
      </c>
      <c r="K96" s="16" t="str">
        <f>IF(B96="","",SUMIF(Download!B:B,B96,Download!H:H))</f>
        <v/>
      </c>
      <c r="M96" s="16" t="str">
        <f t="shared" si="8"/>
        <v/>
      </c>
      <c r="N96" s="16" t="str">
        <f t="shared" si="9"/>
        <v/>
      </c>
    </row>
    <row r="97" spans="1:14" x14ac:dyDescent="0.25">
      <c r="A97" t="s">
        <v>32</v>
      </c>
      <c r="B97" t="str">
        <f t="shared" si="5"/>
        <v/>
      </c>
      <c r="C97" s="45"/>
      <c r="D97" s="45"/>
      <c r="E97" s="45"/>
      <c r="F97" s="44"/>
      <c r="G97" s="16" t="str">
        <f t="shared" si="6"/>
        <v/>
      </c>
      <c r="H97" s="16" t="str">
        <f t="shared" si="7"/>
        <v/>
      </c>
      <c r="J97" s="16" t="str">
        <f>IF(B97="","",SUMIF(Download!B:B,B97,Download!G:G))</f>
        <v/>
      </c>
      <c r="K97" s="16" t="str">
        <f>IF(B97="","",SUMIF(Download!B:B,B97,Download!H:H))</f>
        <v/>
      </c>
      <c r="M97" s="16" t="str">
        <f t="shared" si="8"/>
        <v/>
      </c>
      <c r="N97" s="16" t="str">
        <f t="shared" si="9"/>
        <v/>
      </c>
    </row>
    <row r="98" spans="1:14" x14ac:dyDescent="0.25">
      <c r="A98" t="s">
        <v>32</v>
      </c>
      <c r="B98" t="str">
        <f t="shared" si="5"/>
        <v/>
      </c>
      <c r="C98" s="45"/>
      <c r="D98" s="45"/>
      <c r="E98" s="45"/>
      <c r="F98" s="44"/>
      <c r="G98" s="16" t="str">
        <f t="shared" si="6"/>
        <v/>
      </c>
      <c r="H98" s="16" t="str">
        <f t="shared" si="7"/>
        <v/>
      </c>
      <c r="J98" s="16" t="str">
        <f>IF(B98="","",SUMIF(Download!B:B,B98,Download!G:G))</f>
        <v/>
      </c>
      <c r="K98" s="16" t="str">
        <f>IF(B98="","",SUMIF(Download!B:B,B98,Download!H:H))</f>
        <v/>
      </c>
      <c r="M98" s="16" t="str">
        <f t="shared" si="8"/>
        <v/>
      </c>
      <c r="N98" s="16" t="str">
        <f t="shared" si="9"/>
        <v/>
      </c>
    </row>
    <row r="99" spans="1:14" x14ac:dyDescent="0.25">
      <c r="B99" t="str">
        <f t="shared" si="5"/>
        <v/>
      </c>
      <c r="C99" s="45"/>
      <c r="D99" s="45"/>
      <c r="E99" s="45"/>
      <c r="F99" s="44"/>
      <c r="G99" s="16" t="str">
        <f t="shared" si="6"/>
        <v/>
      </c>
      <c r="H99" s="16" t="str">
        <f t="shared" si="7"/>
        <v/>
      </c>
      <c r="J99" s="16" t="str">
        <f>IF(B99="","",SUMIF(Download!B:B,B99,Download!G:G))</f>
        <v/>
      </c>
      <c r="K99" s="16" t="str">
        <f>IF(B99="","",SUMIF(Download!B:B,B99,Download!H:H))</f>
        <v/>
      </c>
      <c r="M99" s="16" t="str">
        <f t="shared" si="8"/>
        <v/>
      </c>
      <c r="N99" s="16" t="str">
        <f t="shared" si="9"/>
        <v/>
      </c>
    </row>
    <row r="100" spans="1:14" x14ac:dyDescent="0.25">
      <c r="A100" t="s">
        <v>34</v>
      </c>
      <c r="B100" t="str">
        <f t="shared" si="5"/>
        <v/>
      </c>
      <c r="C100" s="45"/>
      <c r="D100" s="45"/>
      <c r="E100" s="45"/>
      <c r="F100" s="44"/>
      <c r="G100" s="16" t="str">
        <f t="shared" si="6"/>
        <v/>
      </c>
      <c r="H100" s="16" t="str">
        <f t="shared" si="7"/>
        <v/>
      </c>
      <c r="J100" s="16" t="str">
        <f>IF(B100="","",SUMIF(Download!B:B,B100,Download!G:G))</f>
        <v/>
      </c>
      <c r="K100" s="16" t="str">
        <f>IF(B100="","",SUMIF(Download!B:B,B100,Download!H:H))</f>
        <v/>
      </c>
      <c r="M100" s="16" t="str">
        <f t="shared" si="8"/>
        <v/>
      </c>
      <c r="N100" s="16" t="str">
        <f t="shared" si="9"/>
        <v/>
      </c>
    </row>
    <row r="101" spans="1:14" x14ac:dyDescent="0.25">
      <c r="A101" t="s">
        <v>34</v>
      </c>
      <c r="B101" t="str">
        <f t="shared" si="5"/>
        <v/>
      </c>
      <c r="C101" s="45"/>
      <c r="D101" s="45"/>
      <c r="E101" s="45"/>
      <c r="F101" s="44"/>
      <c r="G101" s="16" t="str">
        <f t="shared" si="6"/>
        <v/>
      </c>
      <c r="H101" s="16" t="str">
        <f t="shared" si="7"/>
        <v/>
      </c>
      <c r="J101" s="16" t="str">
        <f>IF(B101="","",SUMIF(Download!B:B,B101,Download!G:G))</f>
        <v/>
      </c>
      <c r="K101" s="16" t="str">
        <f>IF(B101="","",SUMIF(Download!B:B,B101,Download!H:H))</f>
        <v/>
      </c>
      <c r="M101" s="16" t="str">
        <f t="shared" si="8"/>
        <v/>
      </c>
      <c r="N101" s="16" t="str">
        <f t="shared" si="9"/>
        <v/>
      </c>
    </row>
    <row r="102" spans="1:14" x14ac:dyDescent="0.25">
      <c r="A102" t="s">
        <v>34</v>
      </c>
      <c r="B102" t="str">
        <f t="shared" si="5"/>
        <v/>
      </c>
      <c r="C102" s="45"/>
      <c r="D102" s="45"/>
      <c r="E102" s="45"/>
      <c r="F102" s="44"/>
      <c r="G102" s="16" t="str">
        <f t="shared" si="6"/>
        <v/>
      </c>
      <c r="H102" s="16" t="str">
        <f t="shared" si="7"/>
        <v/>
      </c>
      <c r="J102" s="16" t="str">
        <f>IF(B102="","",SUMIF(Download!B:B,B102,Download!G:G))</f>
        <v/>
      </c>
      <c r="K102" s="16" t="str">
        <f>IF(B102="","",SUMIF(Download!B:B,B102,Download!H:H))</f>
        <v/>
      </c>
      <c r="M102" s="16" t="str">
        <f t="shared" si="8"/>
        <v/>
      </c>
      <c r="N102" s="16" t="str">
        <f t="shared" si="9"/>
        <v/>
      </c>
    </row>
    <row r="103" spans="1:14" x14ac:dyDescent="0.25">
      <c r="A103" t="s">
        <v>34</v>
      </c>
      <c r="B103" t="str">
        <f t="shared" si="5"/>
        <v/>
      </c>
      <c r="C103" s="45"/>
      <c r="D103" s="45"/>
      <c r="E103" s="45"/>
      <c r="F103" s="44"/>
      <c r="G103" s="16" t="str">
        <f t="shared" si="6"/>
        <v/>
      </c>
      <c r="H103" s="16" t="str">
        <f t="shared" si="7"/>
        <v/>
      </c>
      <c r="J103" s="16" t="str">
        <f>IF(B103="","",SUMIF(Download!B:B,B103,Download!G:G))</f>
        <v/>
      </c>
      <c r="K103" s="16" t="str">
        <f>IF(B103="","",SUMIF(Download!B:B,B103,Download!H:H))</f>
        <v/>
      </c>
      <c r="M103" s="16" t="str">
        <f t="shared" si="8"/>
        <v/>
      </c>
      <c r="N103" s="16" t="str">
        <f t="shared" si="9"/>
        <v/>
      </c>
    </row>
    <row r="104" spans="1:14" x14ac:dyDescent="0.25">
      <c r="A104" t="s">
        <v>34</v>
      </c>
      <c r="B104" t="str">
        <f t="shared" si="5"/>
        <v/>
      </c>
      <c r="C104" s="45"/>
      <c r="D104" s="45"/>
      <c r="E104" s="45"/>
      <c r="F104" s="44"/>
      <c r="G104" s="16" t="str">
        <f t="shared" si="6"/>
        <v/>
      </c>
      <c r="H104" s="16" t="str">
        <f t="shared" si="7"/>
        <v/>
      </c>
      <c r="J104" s="16" t="str">
        <f>IF(B104="","",SUMIF(Download!B:B,B104,Download!G:G))</f>
        <v/>
      </c>
      <c r="K104" s="16" t="str">
        <f>IF(B104="","",SUMIF(Download!B:B,B104,Download!H:H))</f>
        <v/>
      </c>
      <c r="M104" s="16" t="str">
        <f t="shared" si="8"/>
        <v/>
      </c>
      <c r="N104" s="16" t="str">
        <f t="shared" si="9"/>
        <v/>
      </c>
    </row>
    <row r="105" spans="1:14" x14ac:dyDescent="0.25">
      <c r="A105" t="s">
        <v>34</v>
      </c>
      <c r="B105" t="str">
        <f t="shared" si="5"/>
        <v/>
      </c>
      <c r="C105" s="45"/>
      <c r="D105" s="45"/>
      <c r="E105" s="45"/>
      <c r="F105" s="44"/>
      <c r="G105" s="16" t="str">
        <f t="shared" si="6"/>
        <v/>
      </c>
      <c r="H105" s="16" t="str">
        <f t="shared" si="7"/>
        <v/>
      </c>
      <c r="J105" s="16" t="str">
        <f>IF(B105="","",SUMIF(Download!B:B,B105,Download!G:G))</f>
        <v/>
      </c>
      <c r="K105" s="16" t="str">
        <f>IF(B105="","",SUMIF(Download!B:B,B105,Download!H:H))</f>
        <v/>
      </c>
      <c r="M105" s="16" t="str">
        <f t="shared" si="8"/>
        <v/>
      </c>
      <c r="N105" s="16" t="str">
        <f t="shared" si="9"/>
        <v/>
      </c>
    </row>
    <row r="106" spans="1:14" x14ac:dyDescent="0.25">
      <c r="A106" t="s">
        <v>34</v>
      </c>
      <c r="B106" t="str">
        <f t="shared" si="5"/>
        <v/>
      </c>
      <c r="C106" s="45"/>
      <c r="D106" s="45"/>
      <c r="E106" s="45"/>
      <c r="F106" s="44"/>
      <c r="G106" s="16" t="str">
        <f t="shared" si="6"/>
        <v/>
      </c>
      <c r="H106" s="16" t="str">
        <f t="shared" si="7"/>
        <v/>
      </c>
      <c r="J106" s="16" t="str">
        <f>IF(B106="","",SUMIF(Download!B:B,B106,Download!G:G))</f>
        <v/>
      </c>
      <c r="K106" s="16" t="str">
        <f>IF(B106="","",SUMIF(Download!B:B,B106,Download!H:H))</f>
        <v/>
      </c>
      <c r="M106" s="16" t="str">
        <f t="shared" si="8"/>
        <v/>
      </c>
      <c r="N106" s="16" t="str">
        <f t="shared" si="9"/>
        <v/>
      </c>
    </row>
    <row r="107" spans="1:14" x14ac:dyDescent="0.25">
      <c r="A107" t="s">
        <v>34</v>
      </c>
      <c r="B107" t="str">
        <f t="shared" si="5"/>
        <v/>
      </c>
      <c r="C107" s="45"/>
      <c r="D107" s="45"/>
      <c r="E107" s="45"/>
      <c r="F107" s="44"/>
      <c r="G107" s="16" t="str">
        <f t="shared" si="6"/>
        <v/>
      </c>
      <c r="H107" s="16" t="str">
        <f t="shared" si="7"/>
        <v/>
      </c>
      <c r="J107" s="16" t="str">
        <f>IF(B107="","",SUMIF(Download!B:B,B107,Download!G:G))</f>
        <v/>
      </c>
      <c r="K107" s="16" t="str">
        <f>IF(B107="","",SUMIF(Download!B:B,B107,Download!H:H))</f>
        <v/>
      </c>
      <c r="M107" s="16" t="str">
        <f t="shared" si="8"/>
        <v/>
      </c>
      <c r="N107" s="16" t="str">
        <f t="shared" si="9"/>
        <v/>
      </c>
    </row>
    <row r="108" spans="1:14" x14ac:dyDescent="0.25">
      <c r="A108" t="s">
        <v>34</v>
      </c>
      <c r="B108" t="str">
        <f t="shared" si="5"/>
        <v/>
      </c>
      <c r="C108" s="45"/>
      <c r="D108" s="45"/>
      <c r="E108" s="45"/>
      <c r="F108" s="44"/>
      <c r="G108" s="16" t="str">
        <f t="shared" si="6"/>
        <v/>
      </c>
      <c r="H108" s="16" t="str">
        <f t="shared" si="7"/>
        <v/>
      </c>
      <c r="J108" s="16" t="str">
        <f>IF(B108="","",SUMIF(Download!B:B,B108,Download!G:G))</f>
        <v/>
      </c>
      <c r="K108" s="16" t="str">
        <f>IF(B108="","",SUMIF(Download!B:B,B108,Download!H:H))</f>
        <v/>
      </c>
      <c r="M108" s="16" t="str">
        <f t="shared" si="8"/>
        <v/>
      </c>
      <c r="N108" s="16" t="str">
        <f t="shared" si="9"/>
        <v/>
      </c>
    </row>
    <row r="109" spans="1:14" x14ac:dyDescent="0.25">
      <c r="A109" t="s">
        <v>34</v>
      </c>
      <c r="B109" t="str">
        <f t="shared" si="5"/>
        <v/>
      </c>
      <c r="C109" s="45"/>
      <c r="D109" s="45"/>
      <c r="E109" s="45"/>
      <c r="F109" s="44"/>
      <c r="G109" s="16" t="str">
        <f t="shared" si="6"/>
        <v/>
      </c>
      <c r="H109" s="16" t="str">
        <f t="shared" si="7"/>
        <v/>
      </c>
      <c r="J109" s="16" t="str">
        <f>IF(B109="","",SUMIF(Download!B:B,B109,Download!G:G))</f>
        <v/>
      </c>
      <c r="K109" s="16" t="str">
        <f>IF(B109="","",SUMIF(Download!B:B,B109,Download!H:H))</f>
        <v/>
      </c>
      <c r="M109" s="16" t="str">
        <f t="shared" si="8"/>
        <v/>
      </c>
      <c r="N109" s="16" t="str">
        <f t="shared" si="9"/>
        <v/>
      </c>
    </row>
    <row r="110" spans="1:14" x14ac:dyDescent="0.25">
      <c r="A110" t="s">
        <v>34</v>
      </c>
      <c r="B110" t="str">
        <f t="shared" si="5"/>
        <v/>
      </c>
      <c r="C110" s="45"/>
      <c r="D110" s="45"/>
      <c r="E110" s="45"/>
      <c r="F110" s="44"/>
      <c r="G110" s="16" t="str">
        <f t="shared" si="6"/>
        <v/>
      </c>
      <c r="H110" s="16" t="str">
        <f t="shared" si="7"/>
        <v/>
      </c>
      <c r="J110" s="16" t="str">
        <f>IF(B110="","",SUMIF(Download!B:B,B110,Download!G:G))</f>
        <v/>
      </c>
      <c r="K110" s="16" t="str">
        <f>IF(B110="","",SUMIF(Download!B:B,B110,Download!H:H))</f>
        <v/>
      </c>
      <c r="M110" s="16" t="str">
        <f t="shared" si="8"/>
        <v/>
      </c>
      <c r="N110" s="16" t="str">
        <f t="shared" si="9"/>
        <v/>
      </c>
    </row>
    <row r="111" spans="1:14" x14ac:dyDescent="0.25">
      <c r="A111" t="s">
        <v>34</v>
      </c>
      <c r="B111" t="str">
        <f t="shared" si="5"/>
        <v/>
      </c>
      <c r="C111" s="45"/>
      <c r="D111" s="45"/>
      <c r="E111" s="45"/>
      <c r="F111" s="44"/>
      <c r="G111" s="16" t="str">
        <f t="shared" si="6"/>
        <v/>
      </c>
      <c r="H111" s="16" t="str">
        <f t="shared" si="7"/>
        <v/>
      </c>
      <c r="J111" s="16" t="str">
        <f>IF(B111="","",SUMIF(Download!B:B,B111,Download!G:G))</f>
        <v/>
      </c>
      <c r="K111" s="16" t="str">
        <f>IF(B111="","",SUMIF(Download!B:B,B111,Download!H:H))</f>
        <v/>
      </c>
      <c r="M111" s="16" t="str">
        <f t="shared" si="8"/>
        <v/>
      </c>
      <c r="N111" s="16" t="str">
        <f t="shared" si="9"/>
        <v/>
      </c>
    </row>
    <row r="112" spans="1:14" x14ac:dyDescent="0.25">
      <c r="A112" t="s">
        <v>34</v>
      </c>
      <c r="B112" t="str">
        <f t="shared" si="5"/>
        <v/>
      </c>
      <c r="C112" s="45"/>
      <c r="D112" s="45"/>
      <c r="E112" s="45"/>
      <c r="F112" s="44"/>
      <c r="G112" s="16" t="str">
        <f t="shared" si="6"/>
        <v/>
      </c>
      <c r="H112" s="16" t="str">
        <f t="shared" si="7"/>
        <v/>
      </c>
      <c r="J112" s="16" t="str">
        <f>IF(B112="","",SUMIF(Download!B:B,B112,Download!G:G))</f>
        <v/>
      </c>
      <c r="K112" s="16" t="str">
        <f>IF(B112="","",SUMIF(Download!B:B,B112,Download!H:H))</f>
        <v/>
      </c>
      <c r="M112" s="16" t="str">
        <f t="shared" si="8"/>
        <v/>
      </c>
      <c r="N112" s="16" t="str">
        <f t="shared" si="9"/>
        <v/>
      </c>
    </row>
    <row r="113" spans="1:14" x14ac:dyDescent="0.25">
      <c r="A113" t="s">
        <v>34</v>
      </c>
      <c r="B113" t="str">
        <f t="shared" si="5"/>
        <v/>
      </c>
      <c r="C113" s="45"/>
      <c r="D113" s="45"/>
      <c r="E113" s="45"/>
      <c r="F113" s="44"/>
      <c r="G113" s="16" t="str">
        <f t="shared" si="6"/>
        <v/>
      </c>
      <c r="H113" s="16" t="str">
        <f t="shared" si="7"/>
        <v/>
      </c>
      <c r="J113" s="16" t="str">
        <f>IF(B113="","",SUMIF(Download!B:B,B113,Download!G:G))</f>
        <v/>
      </c>
      <c r="K113" s="16" t="str">
        <f>IF(B113="","",SUMIF(Download!B:B,B113,Download!H:H))</f>
        <v/>
      </c>
      <c r="M113" s="16" t="str">
        <f t="shared" si="8"/>
        <v/>
      </c>
      <c r="N113" s="16" t="str">
        <f t="shared" si="9"/>
        <v/>
      </c>
    </row>
    <row r="114" spans="1:14" x14ac:dyDescent="0.25">
      <c r="A114" t="s">
        <v>34</v>
      </c>
      <c r="B114" t="str">
        <f t="shared" si="5"/>
        <v/>
      </c>
      <c r="C114" s="45"/>
      <c r="D114" s="45"/>
      <c r="E114" s="45"/>
      <c r="F114" s="44"/>
      <c r="G114" s="16" t="str">
        <f t="shared" si="6"/>
        <v/>
      </c>
      <c r="H114" s="16" t="str">
        <f t="shared" si="7"/>
        <v/>
      </c>
      <c r="J114" s="16" t="str">
        <f>IF(B114="","",SUMIF(Download!B:B,B114,Download!G:G))</f>
        <v/>
      </c>
      <c r="K114" s="16" t="str">
        <f>IF(B114="","",SUMIF(Download!B:B,B114,Download!H:H))</f>
        <v/>
      </c>
      <c r="M114" s="16" t="str">
        <f t="shared" si="8"/>
        <v/>
      </c>
      <c r="N114" s="16" t="str">
        <f t="shared" si="9"/>
        <v/>
      </c>
    </row>
    <row r="115" spans="1:14" x14ac:dyDescent="0.25">
      <c r="B115" t="str">
        <f t="shared" si="5"/>
        <v/>
      </c>
      <c r="C115" s="45"/>
      <c r="D115" s="45"/>
      <c r="E115" s="45"/>
      <c r="F115" s="44"/>
      <c r="G115" s="16" t="str">
        <f t="shared" si="6"/>
        <v/>
      </c>
      <c r="H115" s="16" t="str">
        <f t="shared" si="7"/>
        <v/>
      </c>
      <c r="J115" s="16" t="str">
        <f>IF(B115="","",SUMIF(Download!B:B,B115,Download!G:G))</f>
        <v/>
      </c>
      <c r="K115" s="16" t="str">
        <f>IF(B115="","",SUMIF(Download!B:B,B115,Download!H:H))</f>
        <v/>
      </c>
      <c r="M115" s="16" t="str">
        <f t="shared" si="8"/>
        <v/>
      </c>
      <c r="N115" s="16" t="str">
        <f t="shared" si="9"/>
        <v/>
      </c>
    </row>
    <row r="116" spans="1:14" x14ac:dyDescent="0.25">
      <c r="A116" t="s">
        <v>27</v>
      </c>
      <c r="B116" t="str">
        <f t="shared" si="5"/>
        <v/>
      </c>
      <c r="C116" s="45"/>
      <c r="D116" s="45"/>
      <c r="E116" s="45"/>
      <c r="F116" s="44"/>
      <c r="G116" s="16" t="str">
        <f t="shared" si="6"/>
        <v/>
      </c>
      <c r="H116" s="16" t="str">
        <f t="shared" si="7"/>
        <v/>
      </c>
      <c r="J116" s="16" t="str">
        <f>IF(B116="","",SUMIF(Download!B:B,B116,Download!G:G))</f>
        <v/>
      </c>
      <c r="K116" s="16" t="str">
        <f>IF(B116="","",SUMIF(Download!B:B,B116,Download!H:H))</f>
        <v/>
      </c>
      <c r="M116" s="16" t="str">
        <f t="shared" si="8"/>
        <v/>
      </c>
      <c r="N116" s="16" t="str">
        <f t="shared" si="9"/>
        <v/>
      </c>
    </row>
    <row r="117" spans="1:14" x14ac:dyDescent="0.25">
      <c r="A117" t="s">
        <v>27</v>
      </c>
      <c r="B117" t="str">
        <f t="shared" si="5"/>
        <v/>
      </c>
      <c r="C117" s="45"/>
      <c r="D117" s="45"/>
      <c r="E117" s="45"/>
      <c r="F117" s="44"/>
      <c r="G117" s="16" t="str">
        <f t="shared" si="6"/>
        <v/>
      </c>
      <c r="H117" s="16" t="str">
        <f t="shared" si="7"/>
        <v/>
      </c>
      <c r="J117" s="16" t="str">
        <f>IF(B117="","",SUMIF(Download!B:B,B117,Download!G:G))</f>
        <v/>
      </c>
      <c r="K117" s="16" t="str">
        <f>IF(B117="","",SUMIF(Download!B:B,B117,Download!H:H))</f>
        <v/>
      </c>
      <c r="M117" s="16" t="str">
        <f t="shared" si="8"/>
        <v/>
      </c>
      <c r="N117" s="16" t="str">
        <f t="shared" si="9"/>
        <v/>
      </c>
    </row>
    <row r="118" spans="1:14" x14ac:dyDescent="0.25">
      <c r="A118" t="s">
        <v>27</v>
      </c>
      <c r="B118" t="str">
        <f t="shared" si="5"/>
        <v/>
      </c>
      <c r="C118" s="45"/>
      <c r="D118" s="45"/>
      <c r="E118" s="45"/>
      <c r="F118" s="44"/>
      <c r="G118" s="16" t="str">
        <f t="shared" si="6"/>
        <v/>
      </c>
      <c r="H118" s="16" t="str">
        <f t="shared" si="7"/>
        <v/>
      </c>
      <c r="J118" s="16" t="str">
        <f>IF(B118="","",SUMIF(Download!B:B,B118,Download!G:G))</f>
        <v/>
      </c>
      <c r="K118" s="16" t="str">
        <f>IF(B118="","",SUMIF(Download!B:B,B118,Download!H:H))</f>
        <v/>
      </c>
      <c r="M118" s="16" t="str">
        <f t="shared" si="8"/>
        <v/>
      </c>
      <c r="N118" s="16" t="str">
        <f t="shared" si="9"/>
        <v/>
      </c>
    </row>
    <row r="119" spans="1:14" x14ac:dyDescent="0.25">
      <c r="A119" t="s">
        <v>27</v>
      </c>
      <c r="B119" t="str">
        <f t="shared" si="5"/>
        <v/>
      </c>
      <c r="C119" s="45"/>
      <c r="D119" s="45"/>
      <c r="E119" s="45"/>
      <c r="F119" s="44"/>
      <c r="G119" s="16" t="str">
        <f t="shared" si="6"/>
        <v/>
      </c>
      <c r="H119" s="16" t="str">
        <f t="shared" si="7"/>
        <v/>
      </c>
      <c r="J119" s="16" t="str">
        <f>IF(B119="","",SUMIF(Download!B:B,B119,Download!G:G))</f>
        <v/>
      </c>
      <c r="K119" s="16" t="str">
        <f>IF(B119="","",SUMIF(Download!B:B,B119,Download!H:H))</f>
        <v/>
      </c>
      <c r="M119" s="16" t="str">
        <f t="shared" si="8"/>
        <v/>
      </c>
      <c r="N119" s="16" t="str">
        <f t="shared" si="9"/>
        <v/>
      </c>
    </row>
    <row r="120" spans="1:14" x14ac:dyDescent="0.25">
      <c r="A120" t="s">
        <v>27</v>
      </c>
      <c r="B120" t="str">
        <f t="shared" si="5"/>
        <v/>
      </c>
      <c r="C120" s="45"/>
      <c r="D120" s="45"/>
      <c r="E120" s="45"/>
      <c r="F120" s="44"/>
      <c r="G120" s="16" t="str">
        <f t="shared" si="6"/>
        <v/>
      </c>
      <c r="H120" s="16" t="str">
        <f t="shared" si="7"/>
        <v/>
      </c>
      <c r="J120" s="16" t="str">
        <f>IF(B120="","",SUMIF(Download!B:B,B120,Download!G:G))</f>
        <v/>
      </c>
      <c r="K120" s="16" t="str">
        <f>IF(B120="","",SUMIF(Download!B:B,B120,Download!H:H))</f>
        <v/>
      </c>
      <c r="M120" s="16" t="str">
        <f t="shared" si="8"/>
        <v/>
      </c>
      <c r="N120" s="16" t="str">
        <f t="shared" si="9"/>
        <v/>
      </c>
    </row>
    <row r="121" spans="1:14" x14ac:dyDescent="0.25">
      <c r="A121" t="s">
        <v>27</v>
      </c>
      <c r="B121" t="str">
        <f t="shared" si="5"/>
        <v/>
      </c>
      <c r="C121" s="45"/>
      <c r="D121" s="45"/>
      <c r="E121" s="45"/>
      <c r="F121" s="44"/>
      <c r="G121" s="16" t="str">
        <f t="shared" si="6"/>
        <v/>
      </c>
      <c r="H121" s="16" t="str">
        <f t="shared" si="7"/>
        <v/>
      </c>
      <c r="J121" s="16" t="str">
        <f>IF(B121="","",SUMIF(Download!B:B,B121,Download!G:G))</f>
        <v/>
      </c>
      <c r="K121" s="16" t="str">
        <f>IF(B121="","",SUMIF(Download!B:B,B121,Download!H:H))</f>
        <v/>
      </c>
      <c r="M121" s="16" t="str">
        <f t="shared" si="8"/>
        <v/>
      </c>
      <c r="N121" s="16" t="str">
        <f t="shared" si="9"/>
        <v/>
      </c>
    </row>
    <row r="122" spans="1:14" x14ac:dyDescent="0.25">
      <c r="A122" t="s">
        <v>27</v>
      </c>
      <c r="B122" t="str">
        <f t="shared" si="5"/>
        <v/>
      </c>
      <c r="C122" s="45"/>
      <c r="D122" s="45"/>
      <c r="E122" s="45"/>
      <c r="F122" s="44"/>
      <c r="G122" s="16" t="str">
        <f t="shared" si="6"/>
        <v/>
      </c>
      <c r="H122" s="16" t="str">
        <f t="shared" si="7"/>
        <v/>
      </c>
      <c r="J122" s="16" t="str">
        <f>IF(B122="","",SUMIF(Download!B:B,B122,Download!G:G))</f>
        <v/>
      </c>
      <c r="K122" s="16" t="str">
        <f>IF(B122="","",SUMIF(Download!B:B,B122,Download!H:H))</f>
        <v/>
      </c>
      <c r="M122" s="16" t="str">
        <f t="shared" si="8"/>
        <v/>
      </c>
      <c r="N122" s="16" t="str">
        <f t="shared" si="9"/>
        <v/>
      </c>
    </row>
    <row r="123" spans="1:14" x14ac:dyDescent="0.25">
      <c r="A123" t="s">
        <v>27</v>
      </c>
      <c r="B123" t="str">
        <f t="shared" si="5"/>
        <v/>
      </c>
      <c r="C123" s="45"/>
      <c r="D123" s="45"/>
      <c r="E123" s="45"/>
      <c r="F123" s="44"/>
      <c r="G123" s="16" t="str">
        <f t="shared" si="6"/>
        <v/>
      </c>
      <c r="H123" s="16" t="str">
        <f t="shared" si="7"/>
        <v/>
      </c>
      <c r="J123" s="16" t="str">
        <f>IF(B123="","",SUMIF(Download!B:B,B123,Download!G:G))</f>
        <v/>
      </c>
      <c r="K123" s="16" t="str">
        <f>IF(B123="","",SUMIF(Download!B:B,B123,Download!H:H))</f>
        <v/>
      </c>
      <c r="M123" s="16" t="str">
        <f t="shared" si="8"/>
        <v/>
      </c>
      <c r="N123" s="16" t="str">
        <f t="shared" si="9"/>
        <v/>
      </c>
    </row>
    <row r="124" spans="1:14" x14ac:dyDescent="0.25">
      <c r="A124" t="s">
        <v>27</v>
      </c>
      <c r="B124" t="str">
        <f t="shared" si="5"/>
        <v/>
      </c>
      <c r="C124" s="45"/>
      <c r="D124" s="45"/>
      <c r="E124" s="45"/>
      <c r="F124" s="44"/>
      <c r="G124" s="16" t="str">
        <f t="shared" si="6"/>
        <v/>
      </c>
      <c r="H124" s="16" t="str">
        <f t="shared" si="7"/>
        <v/>
      </c>
      <c r="J124" s="16" t="str">
        <f>IF(B124="","",SUMIF(Download!B:B,B124,Download!G:G))</f>
        <v/>
      </c>
      <c r="K124" s="16" t="str">
        <f>IF(B124="","",SUMIF(Download!B:B,B124,Download!H:H))</f>
        <v/>
      </c>
      <c r="M124" s="16" t="str">
        <f t="shared" si="8"/>
        <v/>
      </c>
      <c r="N124" s="16" t="str">
        <f t="shared" si="9"/>
        <v/>
      </c>
    </row>
    <row r="125" spans="1:14" x14ac:dyDescent="0.25">
      <c r="A125" t="s">
        <v>27</v>
      </c>
      <c r="B125" t="str">
        <f t="shared" si="5"/>
        <v/>
      </c>
      <c r="C125" s="45"/>
      <c r="D125" s="45"/>
      <c r="E125" s="45"/>
      <c r="F125" s="44"/>
      <c r="G125" s="16" t="str">
        <f t="shared" si="6"/>
        <v/>
      </c>
      <c r="H125" s="16" t="str">
        <f t="shared" si="7"/>
        <v/>
      </c>
      <c r="J125" s="16" t="str">
        <f>IF(B125="","",SUMIF(Download!B:B,B125,Download!G:G))</f>
        <v/>
      </c>
      <c r="K125" s="16" t="str">
        <f>IF(B125="","",SUMIF(Download!B:B,B125,Download!H:H))</f>
        <v/>
      </c>
      <c r="M125" s="16" t="str">
        <f t="shared" si="8"/>
        <v/>
      </c>
      <c r="N125" s="16" t="str">
        <f t="shared" si="9"/>
        <v/>
      </c>
    </row>
    <row r="126" spans="1:14" x14ac:dyDescent="0.25">
      <c r="B126" t="str">
        <f t="shared" si="5"/>
        <v/>
      </c>
      <c r="C126" s="45"/>
      <c r="D126" s="45"/>
      <c r="E126" s="45"/>
      <c r="F126" s="44"/>
      <c r="G126" s="16" t="str">
        <f t="shared" si="6"/>
        <v/>
      </c>
      <c r="H126" s="16" t="str">
        <f t="shared" si="7"/>
        <v/>
      </c>
      <c r="J126" s="16" t="str">
        <f>IF(B126="","",SUMIF(Download!B:B,B126,Download!G:G))</f>
        <v/>
      </c>
      <c r="K126" s="16" t="str">
        <f>IF(B126="","",SUMIF(Download!B:B,B126,Download!H:H))</f>
        <v/>
      </c>
      <c r="M126" s="16" t="str">
        <f t="shared" si="8"/>
        <v/>
      </c>
      <c r="N126" s="16" t="str">
        <f t="shared" si="9"/>
        <v/>
      </c>
    </row>
    <row r="127" spans="1:14" x14ac:dyDescent="0.25">
      <c r="B127" t="str">
        <f t="shared" si="5"/>
        <v/>
      </c>
      <c r="C127" s="45"/>
      <c r="D127" s="45"/>
      <c r="E127" s="45"/>
      <c r="F127" s="44"/>
      <c r="G127" s="16" t="str">
        <f t="shared" si="6"/>
        <v/>
      </c>
      <c r="H127" s="16" t="str">
        <f t="shared" si="7"/>
        <v/>
      </c>
      <c r="J127" s="16" t="str">
        <f>IF(B127="","",SUMIF(Download!B:B,B127,Download!G:G))</f>
        <v/>
      </c>
      <c r="K127" s="16" t="str">
        <f>IF(B127="","",SUMIF(Download!B:B,B127,Download!H:H))</f>
        <v/>
      </c>
      <c r="M127" s="16" t="str">
        <f t="shared" si="8"/>
        <v/>
      </c>
      <c r="N127" s="16" t="str">
        <f t="shared" si="9"/>
        <v/>
      </c>
    </row>
    <row r="128" spans="1:14" x14ac:dyDescent="0.25">
      <c r="B128" t="str">
        <f t="shared" si="5"/>
        <v/>
      </c>
      <c r="C128" s="45"/>
      <c r="D128" s="45"/>
      <c r="E128" s="45"/>
      <c r="F128" s="44"/>
      <c r="G128" s="16" t="str">
        <f t="shared" si="6"/>
        <v/>
      </c>
      <c r="H128" s="16" t="str">
        <f t="shared" si="7"/>
        <v/>
      </c>
      <c r="J128" s="16" t="str">
        <f>IF(B128="","",SUMIF(Download!B:B,B128,Download!G:G))</f>
        <v/>
      </c>
      <c r="K128" s="16" t="str">
        <f>IF(B128="","",SUMIF(Download!B:B,B128,Download!H:H))</f>
        <v/>
      </c>
      <c r="M128" s="16" t="str">
        <f t="shared" si="8"/>
        <v/>
      </c>
      <c r="N128" s="16" t="str">
        <f t="shared" si="9"/>
        <v/>
      </c>
    </row>
    <row r="129" spans="2:14" x14ac:dyDescent="0.25">
      <c r="B129" t="str">
        <f t="shared" si="5"/>
        <v/>
      </c>
      <c r="C129" s="45"/>
      <c r="D129" s="45"/>
      <c r="E129" s="45"/>
      <c r="F129" s="44"/>
      <c r="G129" s="16" t="str">
        <f t="shared" si="6"/>
        <v/>
      </c>
      <c r="H129" s="16" t="str">
        <f t="shared" si="7"/>
        <v/>
      </c>
      <c r="J129" s="16" t="str">
        <f>IF(B129="","",SUMIF(Download!B:B,B129,Download!G:G))</f>
        <v/>
      </c>
      <c r="K129" s="16" t="str">
        <f>IF(B129="","",SUMIF(Download!B:B,B129,Download!H:H))</f>
        <v/>
      </c>
      <c r="M129" s="16" t="str">
        <f t="shared" si="8"/>
        <v/>
      </c>
      <c r="N129" s="16" t="str">
        <f t="shared" si="9"/>
        <v/>
      </c>
    </row>
    <row r="130" spans="2:14" x14ac:dyDescent="0.25">
      <c r="B130" t="str">
        <f t="shared" ref="B130:B193" si="10">IF(C130="","",A130&amp;C130)</f>
        <v/>
      </c>
      <c r="C130" s="45"/>
      <c r="D130" s="45"/>
      <c r="E130" s="45"/>
      <c r="F130" s="44"/>
      <c r="G130" s="16" t="str">
        <f t="shared" ref="G130:G193" si="11">IFERROR(VALUE(LEFT(D130,LEN(D130)-7)),"")</f>
        <v/>
      </c>
      <c r="H130" s="16" t="str">
        <f t="shared" ref="H130:H193" si="12">IFERROR(VALUE(RIGHT(E130,LEN(E130)-4)),"")</f>
        <v/>
      </c>
      <c r="J130" s="16" t="str">
        <f>IF(B130="","",SUMIF(Download!B:B,B130,Download!G:G))</f>
        <v/>
      </c>
      <c r="K130" s="16" t="str">
        <f>IF(B130="","",SUMIF(Download!B:B,B130,Download!H:H))</f>
        <v/>
      </c>
      <c r="M130" s="16" t="str">
        <f t="shared" ref="M130:M193" si="13">IF(B130="","",G130-J130)</f>
        <v/>
      </c>
      <c r="N130" s="16" t="str">
        <f t="shared" ref="N130:N193" si="14">IF(B130="","",H130-K130)</f>
        <v/>
      </c>
    </row>
    <row r="131" spans="2:14" x14ac:dyDescent="0.25">
      <c r="B131" t="str">
        <f t="shared" si="10"/>
        <v/>
      </c>
      <c r="C131" s="45"/>
      <c r="D131" s="45"/>
      <c r="E131" s="45"/>
      <c r="F131" s="44"/>
      <c r="G131" s="16" t="str">
        <f t="shared" si="11"/>
        <v/>
      </c>
      <c r="H131" s="16" t="str">
        <f t="shared" si="12"/>
        <v/>
      </c>
      <c r="J131" s="16" t="str">
        <f>IF(B131="","",SUMIF(Download!B:B,B131,Download!G:G))</f>
        <v/>
      </c>
      <c r="K131" s="16" t="str">
        <f>IF(B131="","",SUMIF(Download!B:B,B131,Download!H:H))</f>
        <v/>
      </c>
      <c r="M131" s="16" t="str">
        <f t="shared" si="13"/>
        <v/>
      </c>
      <c r="N131" s="16" t="str">
        <f t="shared" si="14"/>
        <v/>
      </c>
    </row>
    <row r="132" spans="2:14" x14ac:dyDescent="0.25">
      <c r="B132" t="str">
        <f t="shared" si="10"/>
        <v/>
      </c>
      <c r="C132" s="45"/>
      <c r="D132" s="45"/>
      <c r="E132" s="45"/>
      <c r="F132" s="44"/>
      <c r="G132" s="16" t="str">
        <f t="shared" si="11"/>
        <v/>
      </c>
      <c r="H132" s="16" t="str">
        <f t="shared" si="12"/>
        <v/>
      </c>
      <c r="J132" s="16" t="str">
        <f>IF(B132="","",SUMIF(Download!B:B,B132,Download!G:G))</f>
        <v/>
      </c>
      <c r="K132" s="16" t="str">
        <f>IF(B132="","",SUMIF(Download!B:B,B132,Download!H:H))</f>
        <v/>
      </c>
      <c r="M132" s="16" t="str">
        <f t="shared" si="13"/>
        <v/>
      </c>
      <c r="N132" s="16" t="str">
        <f t="shared" si="14"/>
        <v/>
      </c>
    </row>
    <row r="133" spans="2:14" x14ac:dyDescent="0.25">
      <c r="B133" t="str">
        <f t="shared" si="10"/>
        <v/>
      </c>
      <c r="C133" s="45"/>
      <c r="D133" s="45"/>
      <c r="E133" s="45"/>
      <c r="F133" s="44"/>
      <c r="G133" s="16" t="str">
        <f t="shared" si="11"/>
        <v/>
      </c>
      <c r="H133" s="16" t="str">
        <f t="shared" si="12"/>
        <v/>
      </c>
      <c r="J133" s="16" t="str">
        <f>IF(B133="","",SUMIF(Download!B:B,B133,Download!G:G))</f>
        <v/>
      </c>
      <c r="K133" s="16" t="str">
        <f>IF(B133="","",SUMIF(Download!B:B,B133,Download!H:H))</f>
        <v/>
      </c>
      <c r="M133" s="16" t="str">
        <f t="shared" si="13"/>
        <v/>
      </c>
      <c r="N133" s="16" t="str">
        <f t="shared" si="14"/>
        <v/>
      </c>
    </row>
    <row r="134" spans="2:14" x14ac:dyDescent="0.25">
      <c r="B134" t="str">
        <f t="shared" si="10"/>
        <v/>
      </c>
      <c r="C134" s="45"/>
      <c r="D134" s="45"/>
      <c r="E134" s="45"/>
      <c r="F134" s="44"/>
      <c r="G134" s="16" t="str">
        <f t="shared" si="11"/>
        <v/>
      </c>
      <c r="H134" s="16" t="str">
        <f t="shared" si="12"/>
        <v/>
      </c>
      <c r="J134" s="16" t="str">
        <f>IF(B134="","",SUMIF(Download!B:B,B134,Download!G:G))</f>
        <v/>
      </c>
      <c r="K134" s="16" t="str">
        <f>IF(B134="","",SUMIF(Download!B:B,B134,Download!H:H))</f>
        <v/>
      </c>
      <c r="M134" s="16" t="str">
        <f t="shared" si="13"/>
        <v/>
      </c>
      <c r="N134" s="16" t="str">
        <f t="shared" si="14"/>
        <v/>
      </c>
    </row>
    <row r="135" spans="2:14" x14ac:dyDescent="0.25">
      <c r="B135" t="str">
        <f t="shared" si="10"/>
        <v/>
      </c>
      <c r="C135" s="45"/>
      <c r="D135" s="45"/>
      <c r="E135" s="45"/>
      <c r="F135" s="44"/>
      <c r="G135" s="16" t="str">
        <f t="shared" si="11"/>
        <v/>
      </c>
      <c r="H135" s="16" t="str">
        <f t="shared" si="12"/>
        <v/>
      </c>
      <c r="J135" s="16" t="str">
        <f>IF(B135="","",SUMIF(Download!B:B,B135,Download!G:G))</f>
        <v/>
      </c>
      <c r="K135" s="16" t="str">
        <f>IF(B135="","",SUMIF(Download!B:B,B135,Download!H:H))</f>
        <v/>
      </c>
      <c r="M135" s="16" t="str">
        <f t="shared" si="13"/>
        <v/>
      </c>
      <c r="N135" s="16" t="str">
        <f t="shared" si="14"/>
        <v/>
      </c>
    </row>
    <row r="136" spans="2:14" x14ac:dyDescent="0.25">
      <c r="B136" t="str">
        <f t="shared" si="10"/>
        <v/>
      </c>
      <c r="C136" s="45"/>
      <c r="D136" s="45"/>
      <c r="E136" s="45"/>
      <c r="F136" s="44"/>
      <c r="G136" s="16" t="str">
        <f t="shared" si="11"/>
        <v/>
      </c>
      <c r="H136" s="16" t="str">
        <f t="shared" si="12"/>
        <v/>
      </c>
      <c r="J136" s="16" t="str">
        <f>IF(B136="","",SUMIF(Download!B:B,B136,Download!G:G))</f>
        <v/>
      </c>
      <c r="K136" s="16" t="str">
        <f>IF(B136="","",SUMIF(Download!B:B,B136,Download!H:H))</f>
        <v/>
      </c>
      <c r="M136" s="16" t="str">
        <f t="shared" si="13"/>
        <v/>
      </c>
      <c r="N136" s="16" t="str">
        <f t="shared" si="14"/>
        <v/>
      </c>
    </row>
    <row r="137" spans="2:14" x14ac:dyDescent="0.25">
      <c r="B137" t="str">
        <f t="shared" si="10"/>
        <v/>
      </c>
      <c r="C137" s="45"/>
      <c r="D137" s="45"/>
      <c r="E137" s="45"/>
      <c r="F137" s="44"/>
      <c r="G137" s="16" t="str">
        <f t="shared" si="11"/>
        <v/>
      </c>
      <c r="H137" s="16" t="str">
        <f t="shared" si="12"/>
        <v/>
      </c>
      <c r="J137" s="16" t="str">
        <f>IF(B137="","",SUMIF(Download!B:B,B137,Download!G:G))</f>
        <v/>
      </c>
      <c r="K137" s="16" t="str">
        <f>IF(B137="","",SUMIF(Download!B:B,B137,Download!H:H))</f>
        <v/>
      </c>
      <c r="M137" s="16" t="str">
        <f t="shared" si="13"/>
        <v/>
      </c>
      <c r="N137" s="16" t="str">
        <f t="shared" si="14"/>
        <v/>
      </c>
    </row>
    <row r="138" spans="2:14" x14ac:dyDescent="0.25">
      <c r="B138" t="str">
        <f t="shared" si="10"/>
        <v/>
      </c>
      <c r="C138" s="45"/>
      <c r="D138" s="45"/>
      <c r="E138" s="45"/>
      <c r="F138" s="44"/>
      <c r="G138" s="16" t="str">
        <f t="shared" si="11"/>
        <v/>
      </c>
      <c r="H138" s="16" t="str">
        <f t="shared" si="12"/>
        <v/>
      </c>
      <c r="J138" s="16" t="str">
        <f>IF(B138="","",SUMIF(Download!B:B,B138,Download!G:G))</f>
        <v/>
      </c>
      <c r="K138" s="16" t="str">
        <f>IF(B138="","",SUMIF(Download!B:B,B138,Download!H:H))</f>
        <v/>
      </c>
      <c r="M138" s="16" t="str">
        <f t="shared" si="13"/>
        <v/>
      </c>
      <c r="N138" s="16" t="str">
        <f t="shared" si="14"/>
        <v/>
      </c>
    </row>
    <row r="139" spans="2:14" x14ac:dyDescent="0.25">
      <c r="B139" t="str">
        <f t="shared" si="10"/>
        <v/>
      </c>
      <c r="C139" s="45"/>
      <c r="D139" s="45"/>
      <c r="E139" s="45"/>
      <c r="F139" s="44"/>
      <c r="G139" s="16" t="str">
        <f t="shared" si="11"/>
        <v/>
      </c>
      <c r="H139" s="16" t="str">
        <f t="shared" si="12"/>
        <v/>
      </c>
      <c r="J139" s="16" t="str">
        <f>IF(B139="","",SUMIF(Download!B:B,B139,Download!G:G))</f>
        <v/>
      </c>
      <c r="K139" s="16" t="str">
        <f>IF(B139="","",SUMIF(Download!B:B,B139,Download!H:H))</f>
        <v/>
      </c>
      <c r="M139" s="16" t="str">
        <f t="shared" si="13"/>
        <v/>
      </c>
      <c r="N139" s="16" t="str">
        <f t="shared" si="14"/>
        <v/>
      </c>
    </row>
    <row r="140" spans="2:14" x14ac:dyDescent="0.25">
      <c r="B140" t="str">
        <f t="shared" si="10"/>
        <v/>
      </c>
      <c r="C140" s="45"/>
      <c r="D140" s="45"/>
      <c r="E140" s="45"/>
      <c r="F140" s="44"/>
      <c r="G140" s="16" t="str">
        <f t="shared" si="11"/>
        <v/>
      </c>
      <c r="H140" s="16" t="str">
        <f t="shared" si="12"/>
        <v/>
      </c>
      <c r="J140" s="16" t="str">
        <f>IF(B140="","",SUMIF(Download!B:B,B140,Download!G:G))</f>
        <v/>
      </c>
      <c r="K140" s="16" t="str">
        <f>IF(B140="","",SUMIF(Download!B:B,B140,Download!H:H))</f>
        <v/>
      </c>
      <c r="M140" s="16" t="str">
        <f t="shared" si="13"/>
        <v/>
      </c>
      <c r="N140" s="16" t="str">
        <f t="shared" si="14"/>
        <v/>
      </c>
    </row>
    <row r="141" spans="2:14" x14ac:dyDescent="0.25">
      <c r="B141" t="str">
        <f t="shared" si="10"/>
        <v/>
      </c>
      <c r="C141" s="45"/>
      <c r="D141" s="45"/>
      <c r="E141" s="45"/>
      <c r="F141" s="44"/>
      <c r="G141" s="16" t="str">
        <f t="shared" si="11"/>
        <v/>
      </c>
      <c r="H141" s="16" t="str">
        <f t="shared" si="12"/>
        <v/>
      </c>
      <c r="J141" s="16" t="str">
        <f>IF(B141="","",SUMIF(Download!B:B,B141,Download!G:G))</f>
        <v/>
      </c>
      <c r="K141" s="16" t="str">
        <f>IF(B141="","",SUMIF(Download!B:B,B141,Download!H:H))</f>
        <v/>
      </c>
      <c r="M141" s="16" t="str">
        <f t="shared" si="13"/>
        <v/>
      </c>
      <c r="N141" s="16" t="str">
        <f t="shared" si="14"/>
        <v/>
      </c>
    </row>
    <row r="142" spans="2:14" x14ac:dyDescent="0.25">
      <c r="B142" t="str">
        <f t="shared" si="10"/>
        <v/>
      </c>
      <c r="C142" s="45"/>
      <c r="D142" s="45"/>
      <c r="E142" s="45"/>
      <c r="F142" s="44"/>
      <c r="G142" s="16" t="str">
        <f t="shared" si="11"/>
        <v/>
      </c>
      <c r="H142" s="16" t="str">
        <f t="shared" si="12"/>
        <v/>
      </c>
      <c r="J142" s="16" t="str">
        <f>IF(B142="","",SUMIF(Download!B:B,B142,Download!G:G))</f>
        <v/>
      </c>
      <c r="K142" s="16" t="str">
        <f>IF(B142="","",SUMIF(Download!B:B,B142,Download!H:H))</f>
        <v/>
      </c>
      <c r="M142" s="16" t="str">
        <f t="shared" si="13"/>
        <v/>
      </c>
      <c r="N142" s="16" t="str">
        <f t="shared" si="14"/>
        <v/>
      </c>
    </row>
    <row r="143" spans="2:14" x14ac:dyDescent="0.25">
      <c r="B143" t="str">
        <f t="shared" si="10"/>
        <v/>
      </c>
      <c r="C143" s="45"/>
      <c r="D143" s="45"/>
      <c r="E143" s="45"/>
      <c r="F143" s="44"/>
      <c r="G143" s="16" t="str">
        <f t="shared" si="11"/>
        <v/>
      </c>
      <c r="H143" s="16" t="str">
        <f t="shared" si="12"/>
        <v/>
      </c>
      <c r="J143" s="16" t="str">
        <f>IF(B143="","",SUMIF(Download!B:B,B143,Download!G:G))</f>
        <v/>
      </c>
      <c r="K143" s="16" t="str">
        <f>IF(B143="","",SUMIF(Download!B:B,B143,Download!H:H))</f>
        <v/>
      </c>
      <c r="M143" s="16" t="str">
        <f t="shared" si="13"/>
        <v/>
      </c>
      <c r="N143" s="16" t="str">
        <f t="shared" si="14"/>
        <v/>
      </c>
    </row>
    <row r="144" spans="2:14" x14ac:dyDescent="0.25">
      <c r="B144" t="str">
        <f t="shared" si="10"/>
        <v/>
      </c>
      <c r="C144" s="45"/>
      <c r="D144" s="45"/>
      <c r="E144" s="45"/>
      <c r="F144" s="44"/>
      <c r="G144" s="16" t="str">
        <f t="shared" si="11"/>
        <v/>
      </c>
      <c r="H144" s="16" t="str">
        <f t="shared" si="12"/>
        <v/>
      </c>
      <c r="J144" s="16" t="str">
        <f>IF(B144="","",SUMIF(Download!B:B,B144,Download!G:G))</f>
        <v/>
      </c>
      <c r="K144" s="16" t="str">
        <f>IF(B144="","",SUMIF(Download!B:B,B144,Download!H:H))</f>
        <v/>
      </c>
      <c r="M144" s="16" t="str">
        <f t="shared" si="13"/>
        <v/>
      </c>
      <c r="N144" s="16" t="str">
        <f t="shared" si="14"/>
        <v/>
      </c>
    </row>
    <row r="145" spans="2:14" x14ac:dyDescent="0.25">
      <c r="B145" t="str">
        <f t="shared" si="10"/>
        <v/>
      </c>
      <c r="C145" s="45"/>
      <c r="D145" s="45"/>
      <c r="E145" s="45"/>
      <c r="F145" s="44"/>
      <c r="G145" s="16" t="str">
        <f t="shared" si="11"/>
        <v/>
      </c>
      <c r="H145" s="16" t="str">
        <f t="shared" si="12"/>
        <v/>
      </c>
      <c r="J145" s="16" t="str">
        <f>IF(B145="","",SUMIF(Download!B:B,B145,Download!G:G))</f>
        <v/>
      </c>
      <c r="K145" s="16" t="str">
        <f>IF(B145="","",SUMIF(Download!B:B,B145,Download!H:H))</f>
        <v/>
      </c>
      <c r="M145" s="16" t="str">
        <f t="shared" si="13"/>
        <v/>
      </c>
      <c r="N145" s="16" t="str">
        <f t="shared" si="14"/>
        <v/>
      </c>
    </row>
    <row r="146" spans="2:14" x14ac:dyDescent="0.25">
      <c r="B146" t="str">
        <f t="shared" si="10"/>
        <v/>
      </c>
      <c r="C146" s="45"/>
      <c r="D146" s="45"/>
      <c r="E146" s="45"/>
      <c r="F146" s="44"/>
      <c r="G146" s="16" t="str">
        <f t="shared" si="11"/>
        <v/>
      </c>
      <c r="H146" s="16" t="str">
        <f t="shared" si="12"/>
        <v/>
      </c>
      <c r="J146" s="16" t="str">
        <f>IF(B146="","",SUMIF(Download!B:B,B146,Download!G:G))</f>
        <v/>
      </c>
      <c r="K146" s="16" t="str">
        <f>IF(B146="","",SUMIF(Download!B:B,B146,Download!H:H))</f>
        <v/>
      </c>
      <c r="M146" s="16" t="str">
        <f t="shared" si="13"/>
        <v/>
      </c>
      <c r="N146" s="16" t="str">
        <f t="shared" si="14"/>
        <v/>
      </c>
    </row>
    <row r="147" spans="2:14" x14ac:dyDescent="0.25">
      <c r="B147" t="str">
        <f t="shared" si="10"/>
        <v/>
      </c>
      <c r="C147" s="45"/>
      <c r="D147" s="45"/>
      <c r="E147" s="45"/>
      <c r="F147" s="44"/>
      <c r="G147" s="16" t="str">
        <f t="shared" si="11"/>
        <v/>
      </c>
      <c r="H147" s="16" t="str">
        <f t="shared" si="12"/>
        <v/>
      </c>
      <c r="J147" s="16" t="str">
        <f>IF(B147="","",SUMIF(Download!B:B,B147,Download!G:G))</f>
        <v/>
      </c>
      <c r="K147" s="16" t="str">
        <f>IF(B147="","",SUMIF(Download!B:B,B147,Download!H:H))</f>
        <v/>
      </c>
      <c r="M147" s="16" t="str">
        <f t="shared" si="13"/>
        <v/>
      </c>
      <c r="N147" s="16" t="str">
        <f t="shared" si="14"/>
        <v/>
      </c>
    </row>
    <row r="148" spans="2:14" x14ac:dyDescent="0.25">
      <c r="B148" t="str">
        <f t="shared" si="10"/>
        <v/>
      </c>
      <c r="C148" s="45"/>
      <c r="D148" s="45"/>
      <c r="E148" s="45"/>
      <c r="F148" s="44"/>
      <c r="G148" s="16" t="str">
        <f t="shared" si="11"/>
        <v/>
      </c>
      <c r="H148" s="16" t="str">
        <f t="shared" si="12"/>
        <v/>
      </c>
      <c r="J148" s="16" t="str">
        <f>IF(B148="","",SUMIF(Download!B:B,B148,Download!G:G))</f>
        <v/>
      </c>
      <c r="K148" s="16" t="str">
        <f>IF(B148="","",SUMIF(Download!B:B,B148,Download!H:H))</f>
        <v/>
      </c>
      <c r="M148" s="16" t="str">
        <f t="shared" si="13"/>
        <v/>
      </c>
      <c r="N148" s="16" t="str">
        <f t="shared" si="14"/>
        <v/>
      </c>
    </row>
    <row r="149" spans="2:14" x14ac:dyDescent="0.25">
      <c r="B149" t="str">
        <f t="shared" si="10"/>
        <v/>
      </c>
      <c r="C149" s="45"/>
      <c r="D149" s="45"/>
      <c r="E149" s="45"/>
      <c r="F149" s="44"/>
      <c r="G149" s="16" t="str">
        <f t="shared" si="11"/>
        <v/>
      </c>
      <c r="H149" s="16" t="str">
        <f t="shared" si="12"/>
        <v/>
      </c>
      <c r="J149" s="16" t="str">
        <f>IF(B149="","",SUMIF(Download!B:B,B149,Download!G:G))</f>
        <v/>
      </c>
      <c r="K149" s="16" t="str">
        <f>IF(B149="","",SUMIF(Download!B:B,B149,Download!H:H))</f>
        <v/>
      </c>
      <c r="M149" s="16" t="str">
        <f t="shared" si="13"/>
        <v/>
      </c>
      <c r="N149" s="16" t="str">
        <f t="shared" si="14"/>
        <v/>
      </c>
    </row>
    <row r="150" spans="2:14" x14ac:dyDescent="0.25">
      <c r="B150" t="str">
        <f t="shared" si="10"/>
        <v/>
      </c>
      <c r="C150" s="45"/>
      <c r="D150" s="45"/>
      <c r="E150" s="45"/>
      <c r="F150" s="44"/>
      <c r="G150" s="16" t="str">
        <f t="shared" si="11"/>
        <v/>
      </c>
      <c r="H150" s="16" t="str">
        <f t="shared" si="12"/>
        <v/>
      </c>
      <c r="J150" s="16" t="str">
        <f>IF(B150="","",SUMIF(Download!B:B,B150,Download!G:G))</f>
        <v/>
      </c>
      <c r="K150" s="16" t="str">
        <f>IF(B150="","",SUMIF(Download!B:B,B150,Download!H:H))</f>
        <v/>
      </c>
      <c r="M150" s="16" t="str">
        <f t="shared" si="13"/>
        <v/>
      </c>
      <c r="N150" s="16" t="str">
        <f t="shared" si="14"/>
        <v/>
      </c>
    </row>
    <row r="151" spans="2:14" x14ac:dyDescent="0.25">
      <c r="B151" t="str">
        <f t="shared" si="10"/>
        <v/>
      </c>
      <c r="C151" s="45"/>
      <c r="D151" s="45"/>
      <c r="E151" s="45"/>
      <c r="F151" s="44"/>
      <c r="G151" s="16" t="str">
        <f t="shared" si="11"/>
        <v/>
      </c>
      <c r="H151" s="16" t="str">
        <f t="shared" si="12"/>
        <v/>
      </c>
      <c r="J151" s="16" t="str">
        <f>IF(B151="","",SUMIF(Download!B:B,B151,Download!G:G))</f>
        <v/>
      </c>
      <c r="K151" s="16" t="str">
        <f>IF(B151="","",SUMIF(Download!B:B,B151,Download!H:H))</f>
        <v/>
      </c>
      <c r="M151" s="16" t="str">
        <f t="shared" si="13"/>
        <v/>
      </c>
      <c r="N151" s="16" t="str">
        <f t="shared" si="14"/>
        <v/>
      </c>
    </row>
    <row r="152" spans="2:14" x14ac:dyDescent="0.25">
      <c r="B152" t="str">
        <f t="shared" si="10"/>
        <v/>
      </c>
      <c r="C152" s="45"/>
      <c r="D152" s="45"/>
      <c r="E152" s="45"/>
      <c r="F152" s="44"/>
      <c r="G152" s="16" t="str">
        <f t="shared" si="11"/>
        <v/>
      </c>
      <c r="H152" s="16" t="str">
        <f t="shared" si="12"/>
        <v/>
      </c>
      <c r="J152" s="16" t="str">
        <f>IF(B152="","",SUMIF(Download!B:B,B152,Download!G:G))</f>
        <v/>
      </c>
      <c r="K152" s="16" t="str">
        <f>IF(B152="","",SUMIF(Download!B:B,B152,Download!H:H))</f>
        <v/>
      </c>
      <c r="M152" s="16" t="str">
        <f t="shared" si="13"/>
        <v/>
      </c>
      <c r="N152" s="16" t="str">
        <f t="shared" si="14"/>
        <v/>
      </c>
    </row>
    <row r="153" spans="2:14" x14ac:dyDescent="0.25">
      <c r="B153" t="str">
        <f t="shared" si="10"/>
        <v/>
      </c>
      <c r="C153" s="45"/>
      <c r="D153" s="45"/>
      <c r="E153" s="45"/>
      <c r="F153" s="44"/>
      <c r="G153" s="16" t="str">
        <f t="shared" si="11"/>
        <v/>
      </c>
      <c r="H153" s="16" t="str">
        <f t="shared" si="12"/>
        <v/>
      </c>
      <c r="J153" s="16" t="str">
        <f>IF(B153="","",SUMIF(Download!B:B,B153,Download!G:G))</f>
        <v/>
      </c>
      <c r="K153" s="16" t="str">
        <f>IF(B153="","",SUMIF(Download!B:B,B153,Download!H:H))</f>
        <v/>
      </c>
      <c r="M153" s="16" t="str">
        <f t="shared" si="13"/>
        <v/>
      </c>
      <c r="N153" s="16" t="str">
        <f t="shared" si="14"/>
        <v/>
      </c>
    </row>
    <row r="154" spans="2:14" x14ac:dyDescent="0.25">
      <c r="B154" t="str">
        <f t="shared" si="10"/>
        <v/>
      </c>
      <c r="C154" s="45"/>
      <c r="D154" s="45"/>
      <c r="E154" s="45"/>
      <c r="F154" s="44"/>
      <c r="G154" s="16" t="str">
        <f t="shared" si="11"/>
        <v/>
      </c>
      <c r="H154" s="16" t="str">
        <f t="shared" si="12"/>
        <v/>
      </c>
      <c r="J154" s="16" t="str">
        <f>IF(B154="","",SUMIF(Download!B:B,B154,Download!G:G))</f>
        <v/>
      </c>
      <c r="K154" s="16" t="str">
        <f>IF(B154="","",SUMIF(Download!B:B,B154,Download!H:H))</f>
        <v/>
      </c>
      <c r="M154" s="16" t="str">
        <f t="shared" si="13"/>
        <v/>
      </c>
      <c r="N154" s="16" t="str">
        <f t="shared" si="14"/>
        <v/>
      </c>
    </row>
    <row r="155" spans="2:14" x14ac:dyDescent="0.25">
      <c r="B155" t="str">
        <f t="shared" si="10"/>
        <v/>
      </c>
      <c r="C155" s="45"/>
      <c r="D155" s="45"/>
      <c r="E155" s="45"/>
      <c r="F155" s="44"/>
      <c r="G155" s="16" t="str">
        <f t="shared" si="11"/>
        <v/>
      </c>
      <c r="H155" s="16" t="str">
        <f t="shared" si="12"/>
        <v/>
      </c>
      <c r="J155" s="16" t="str">
        <f>IF(B155="","",SUMIF(Download!B:B,B155,Download!G:G))</f>
        <v/>
      </c>
      <c r="K155" s="16" t="str">
        <f>IF(B155="","",SUMIF(Download!B:B,B155,Download!H:H))</f>
        <v/>
      </c>
      <c r="M155" s="16" t="str">
        <f t="shared" si="13"/>
        <v/>
      </c>
      <c r="N155" s="16" t="str">
        <f t="shared" si="14"/>
        <v/>
      </c>
    </row>
    <row r="156" spans="2:14" x14ac:dyDescent="0.25">
      <c r="B156" t="str">
        <f t="shared" si="10"/>
        <v/>
      </c>
      <c r="C156" s="45"/>
      <c r="D156" s="45"/>
      <c r="E156" s="45"/>
      <c r="F156" s="44"/>
      <c r="G156" s="16" t="str">
        <f t="shared" si="11"/>
        <v/>
      </c>
      <c r="H156" s="16" t="str">
        <f t="shared" si="12"/>
        <v/>
      </c>
      <c r="J156" s="16" t="str">
        <f>IF(B156="","",SUMIF(Download!B:B,B156,Download!G:G))</f>
        <v/>
      </c>
      <c r="K156" s="16" t="str">
        <f>IF(B156="","",SUMIF(Download!B:B,B156,Download!H:H))</f>
        <v/>
      </c>
      <c r="M156" s="16" t="str">
        <f t="shared" si="13"/>
        <v/>
      </c>
      <c r="N156" s="16" t="str">
        <f t="shared" si="14"/>
        <v/>
      </c>
    </row>
    <row r="157" spans="2:14" x14ac:dyDescent="0.25">
      <c r="B157" t="str">
        <f t="shared" si="10"/>
        <v/>
      </c>
      <c r="C157" s="45"/>
      <c r="D157" s="45"/>
      <c r="E157" s="45"/>
      <c r="F157" s="44"/>
      <c r="G157" s="16" t="str">
        <f t="shared" si="11"/>
        <v/>
      </c>
      <c r="H157" s="16" t="str">
        <f t="shared" si="12"/>
        <v/>
      </c>
      <c r="J157" s="16" t="str">
        <f>IF(B157="","",SUMIF(Download!B:B,B157,Download!G:G))</f>
        <v/>
      </c>
      <c r="K157" s="16" t="str">
        <f>IF(B157="","",SUMIF(Download!B:B,B157,Download!H:H))</f>
        <v/>
      </c>
      <c r="M157" s="16" t="str">
        <f t="shared" si="13"/>
        <v/>
      </c>
      <c r="N157" s="16" t="str">
        <f t="shared" si="14"/>
        <v/>
      </c>
    </row>
    <row r="158" spans="2:14" x14ac:dyDescent="0.25">
      <c r="B158" t="str">
        <f t="shared" si="10"/>
        <v/>
      </c>
      <c r="C158" s="45"/>
      <c r="D158" s="45"/>
      <c r="E158" s="45"/>
      <c r="F158" s="44"/>
      <c r="G158" s="16" t="str">
        <f t="shared" si="11"/>
        <v/>
      </c>
      <c r="H158" s="16" t="str">
        <f t="shared" si="12"/>
        <v/>
      </c>
      <c r="J158" s="16" t="str">
        <f>IF(B158="","",SUMIF(Download!B:B,B158,Download!G:G))</f>
        <v/>
      </c>
      <c r="K158" s="16" t="str">
        <f>IF(B158="","",SUMIF(Download!B:B,B158,Download!H:H))</f>
        <v/>
      </c>
      <c r="M158" s="16" t="str">
        <f t="shared" si="13"/>
        <v/>
      </c>
      <c r="N158" s="16" t="str">
        <f t="shared" si="14"/>
        <v/>
      </c>
    </row>
    <row r="159" spans="2:14" x14ac:dyDescent="0.25">
      <c r="B159" t="str">
        <f t="shared" si="10"/>
        <v/>
      </c>
      <c r="C159" s="45"/>
      <c r="D159" s="45"/>
      <c r="E159" s="45"/>
      <c r="F159" s="44"/>
      <c r="G159" s="16" t="str">
        <f t="shared" si="11"/>
        <v/>
      </c>
      <c r="H159" s="16" t="str">
        <f t="shared" si="12"/>
        <v/>
      </c>
      <c r="J159" s="16" t="str">
        <f>IF(B159="","",SUMIF(Download!B:B,B159,Download!G:G))</f>
        <v/>
      </c>
      <c r="K159" s="16" t="str">
        <f>IF(B159="","",SUMIF(Download!B:B,B159,Download!H:H))</f>
        <v/>
      </c>
      <c r="M159" s="16" t="str">
        <f t="shared" si="13"/>
        <v/>
      </c>
      <c r="N159" s="16" t="str">
        <f t="shared" si="14"/>
        <v/>
      </c>
    </row>
    <row r="160" spans="2:14" x14ac:dyDescent="0.25">
      <c r="B160" t="str">
        <f t="shared" si="10"/>
        <v/>
      </c>
      <c r="C160" s="45"/>
      <c r="D160" s="45"/>
      <c r="E160" s="45"/>
      <c r="F160" s="44"/>
      <c r="G160" s="16" t="str">
        <f t="shared" si="11"/>
        <v/>
      </c>
      <c r="H160" s="16" t="str">
        <f t="shared" si="12"/>
        <v/>
      </c>
      <c r="J160" s="16" t="str">
        <f>IF(B160="","",SUMIF(Download!B:B,B160,Download!G:G))</f>
        <v/>
      </c>
      <c r="K160" s="16" t="str">
        <f>IF(B160="","",SUMIF(Download!B:B,B160,Download!H:H))</f>
        <v/>
      </c>
      <c r="M160" s="16" t="str">
        <f t="shared" si="13"/>
        <v/>
      </c>
      <c r="N160" s="16" t="str">
        <f t="shared" si="14"/>
        <v/>
      </c>
    </row>
    <row r="161" spans="2:14" x14ac:dyDescent="0.25">
      <c r="B161" t="str">
        <f t="shared" si="10"/>
        <v/>
      </c>
      <c r="C161" s="45"/>
      <c r="D161" s="45"/>
      <c r="E161" s="45"/>
      <c r="F161" s="44"/>
      <c r="G161" s="16" t="str">
        <f t="shared" si="11"/>
        <v/>
      </c>
      <c r="H161" s="16" t="str">
        <f t="shared" si="12"/>
        <v/>
      </c>
      <c r="J161" s="16" t="str">
        <f>IF(B161="","",SUMIF(Download!B:B,B161,Download!G:G))</f>
        <v/>
      </c>
      <c r="K161" s="16" t="str">
        <f>IF(B161="","",SUMIF(Download!B:B,B161,Download!H:H))</f>
        <v/>
      </c>
      <c r="M161" s="16" t="str">
        <f t="shared" si="13"/>
        <v/>
      </c>
      <c r="N161" s="16" t="str">
        <f t="shared" si="14"/>
        <v/>
      </c>
    </row>
    <row r="162" spans="2:14" x14ac:dyDescent="0.25">
      <c r="B162" t="str">
        <f t="shared" si="10"/>
        <v/>
      </c>
      <c r="C162" s="45"/>
      <c r="D162" s="45"/>
      <c r="E162" s="45"/>
      <c r="F162" s="44"/>
      <c r="G162" s="16" t="str">
        <f t="shared" si="11"/>
        <v/>
      </c>
      <c r="H162" s="16" t="str">
        <f t="shared" si="12"/>
        <v/>
      </c>
      <c r="J162" s="16" t="str">
        <f>IF(B162="","",SUMIF(Download!B:B,B162,Download!G:G))</f>
        <v/>
      </c>
      <c r="K162" s="16" t="str">
        <f>IF(B162="","",SUMIF(Download!B:B,B162,Download!H:H))</f>
        <v/>
      </c>
      <c r="M162" s="16" t="str">
        <f t="shared" si="13"/>
        <v/>
      </c>
      <c r="N162" s="16" t="str">
        <f t="shared" si="14"/>
        <v/>
      </c>
    </row>
    <row r="163" spans="2:14" x14ac:dyDescent="0.25">
      <c r="B163" t="str">
        <f t="shared" si="10"/>
        <v/>
      </c>
      <c r="C163" s="45"/>
      <c r="D163" s="45"/>
      <c r="E163" s="45"/>
      <c r="F163" s="44"/>
      <c r="G163" s="16" t="str">
        <f t="shared" si="11"/>
        <v/>
      </c>
      <c r="H163" s="16" t="str">
        <f t="shared" si="12"/>
        <v/>
      </c>
      <c r="J163" s="16" t="str">
        <f>IF(B163="","",SUMIF(Download!B:B,B163,Download!G:G))</f>
        <v/>
      </c>
      <c r="K163" s="16" t="str">
        <f>IF(B163="","",SUMIF(Download!B:B,B163,Download!H:H))</f>
        <v/>
      </c>
      <c r="M163" s="16" t="str">
        <f t="shared" si="13"/>
        <v/>
      </c>
      <c r="N163" s="16" t="str">
        <f t="shared" si="14"/>
        <v/>
      </c>
    </row>
    <row r="164" spans="2:14" x14ac:dyDescent="0.25">
      <c r="B164" t="str">
        <f t="shared" si="10"/>
        <v/>
      </c>
      <c r="C164" s="45"/>
      <c r="D164" s="45"/>
      <c r="E164" s="45"/>
      <c r="F164" s="44"/>
      <c r="G164" s="16" t="str">
        <f t="shared" si="11"/>
        <v/>
      </c>
      <c r="H164" s="16" t="str">
        <f t="shared" si="12"/>
        <v/>
      </c>
      <c r="J164" s="16" t="str">
        <f>IF(B164="","",SUMIF(Download!B:B,B164,Download!G:G))</f>
        <v/>
      </c>
      <c r="K164" s="16" t="str">
        <f>IF(B164="","",SUMIF(Download!B:B,B164,Download!H:H))</f>
        <v/>
      </c>
      <c r="M164" s="16" t="str">
        <f t="shared" si="13"/>
        <v/>
      </c>
      <c r="N164" s="16" t="str">
        <f t="shared" si="14"/>
        <v/>
      </c>
    </row>
    <row r="165" spans="2:14" x14ac:dyDescent="0.25">
      <c r="B165" t="str">
        <f t="shared" si="10"/>
        <v/>
      </c>
      <c r="C165" s="45"/>
      <c r="D165" s="45"/>
      <c r="E165" s="45"/>
      <c r="F165" s="44"/>
      <c r="G165" s="16" t="str">
        <f t="shared" si="11"/>
        <v/>
      </c>
      <c r="H165" s="16" t="str">
        <f t="shared" si="12"/>
        <v/>
      </c>
      <c r="J165" s="16" t="str">
        <f>IF(B165="","",SUMIF(Download!B:B,B165,Download!G:G))</f>
        <v/>
      </c>
      <c r="K165" s="16" t="str">
        <f>IF(B165="","",SUMIF(Download!B:B,B165,Download!H:H))</f>
        <v/>
      </c>
      <c r="M165" s="16" t="str">
        <f t="shared" si="13"/>
        <v/>
      </c>
      <c r="N165" s="16" t="str">
        <f t="shared" si="14"/>
        <v/>
      </c>
    </row>
    <row r="166" spans="2:14" x14ac:dyDescent="0.25">
      <c r="B166" t="str">
        <f t="shared" si="10"/>
        <v/>
      </c>
      <c r="C166" s="45"/>
      <c r="D166" s="45"/>
      <c r="E166" s="45"/>
      <c r="F166" s="44"/>
      <c r="G166" s="16" t="str">
        <f t="shared" si="11"/>
        <v/>
      </c>
      <c r="H166" s="16" t="str">
        <f t="shared" si="12"/>
        <v/>
      </c>
      <c r="J166" s="16" t="str">
        <f>IF(B166="","",SUMIF(Download!B:B,B166,Download!G:G))</f>
        <v/>
      </c>
      <c r="K166" s="16" t="str">
        <f>IF(B166="","",SUMIF(Download!B:B,B166,Download!H:H))</f>
        <v/>
      </c>
      <c r="M166" s="16" t="str">
        <f t="shared" si="13"/>
        <v/>
      </c>
      <c r="N166" s="16" t="str">
        <f t="shared" si="14"/>
        <v/>
      </c>
    </row>
    <row r="167" spans="2:14" x14ac:dyDescent="0.25">
      <c r="B167" t="str">
        <f t="shared" si="10"/>
        <v/>
      </c>
      <c r="C167" s="45"/>
      <c r="D167" s="45"/>
      <c r="E167" s="45"/>
      <c r="F167" s="44"/>
      <c r="G167" s="16" t="str">
        <f t="shared" si="11"/>
        <v/>
      </c>
      <c r="H167" s="16" t="str">
        <f t="shared" si="12"/>
        <v/>
      </c>
      <c r="J167" s="16" t="str">
        <f>IF(B167="","",SUMIF(Download!B:B,B167,Download!G:G))</f>
        <v/>
      </c>
      <c r="K167" s="16" t="str">
        <f>IF(B167="","",SUMIF(Download!B:B,B167,Download!H:H))</f>
        <v/>
      </c>
      <c r="M167" s="16" t="str">
        <f t="shared" si="13"/>
        <v/>
      </c>
      <c r="N167" s="16" t="str">
        <f t="shared" si="14"/>
        <v/>
      </c>
    </row>
    <row r="168" spans="2:14" x14ac:dyDescent="0.25">
      <c r="B168" t="str">
        <f t="shared" si="10"/>
        <v/>
      </c>
      <c r="C168" s="45"/>
      <c r="D168" s="45"/>
      <c r="E168" s="45"/>
      <c r="F168" s="44"/>
      <c r="G168" s="16" t="str">
        <f t="shared" si="11"/>
        <v/>
      </c>
      <c r="H168" s="16" t="str">
        <f t="shared" si="12"/>
        <v/>
      </c>
      <c r="J168" s="16" t="str">
        <f>IF(B168="","",SUMIF(Download!B:B,B168,Download!G:G))</f>
        <v/>
      </c>
      <c r="K168" s="16" t="str">
        <f>IF(B168="","",SUMIF(Download!B:B,B168,Download!H:H))</f>
        <v/>
      </c>
      <c r="M168" s="16" t="str">
        <f t="shared" si="13"/>
        <v/>
      </c>
      <c r="N168" s="16" t="str">
        <f t="shared" si="14"/>
        <v/>
      </c>
    </row>
    <row r="169" spans="2:14" x14ac:dyDescent="0.25">
      <c r="B169" t="str">
        <f t="shared" si="10"/>
        <v/>
      </c>
      <c r="C169" s="45"/>
      <c r="D169" s="45"/>
      <c r="E169" s="45"/>
      <c r="F169" s="44"/>
      <c r="G169" s="16" t="str">
        <f t="shared" si="11"/>
        <v/>
      </c>
      <c r="H169" s="16" t="str">
        <f t="shared" si="12"/>
        <v/>
      </c>
      <c r="J169" s="16" t="str">
        <f>IF(B169="","",SUMIF(Download!B:B,B169,Download!G:G))</f>
        <v/>
      </c>
      <c r="K169" s="16" t="str">
        <f>IF(B169="","",SUMIF(Download!B:B,B169,Download!H:H))</f>
        <v/>
      </c>
      <c r="M169" s="16" t="str">
        <f t="shared" si="13"/>
        <v/>
      </c>
      <c r="N169" s="16" t="str">
        <f t="shared" si="14"/>
        <v/>
      </c>
    </row>
    <row r="170" spans="2:14" x14ac:dyDescent="0.25">
      <c r="B170" t="str">
        <f t="shared" si="10"/>
        <v/>
      </c>
      <c r="C170" s="45"/>
      <c r="D170" s="45"/>
      <c r="E170" s="45"/>
      <c r="F170" s="44"/>
      <c r="G170" s="16" t="str">
        <f t="shared" si="11"/>
        <v/>
      </c>
      <c r="H170" s="16" t="str">
        <f t="shared" si="12"/>
        <v/>
      </c>
      <c r="J170" s="16" t="str">
        <f>IF(B170="","",SUMIF(Download!B:B,B170,Download!G:G))</f>
        <v/>
      </c>
      <c r="K170" s="16" t="str">
        <f>IF(B170="","",SUMIF(Download!B:B,B170,Download!H:H))</f>
        <v/>
      </c>
      <c r="M170" s="16" t="str">
        <f t="shared" si="13"/>
        <v/>
      </c>
      <c r="N170" s="16" t="str">
        <f t="shared" si="14"/>
        <v/>
      </c>
    </row>
    <row r="171" spans="2:14" x14ac:dyDescent="0.25">
      <c r="B171" t="str">
        <f t="shared" si="10"/>
        <v/>
      </c>
      <c r="C171" s="45"/>
      <c r="D171" s="45"/>
      <c r="E171" s="45"/>
      <c r="F171" s="44"/>
      <c r="G171" s="16" t="str">
        <f t="shared" si="11"/>
        <v/>
      </c>
      <c r="H171" s="16" t="str">
        <f t="shared" si="12"/>
        <v/>
      </c>
      <c r="J171" s="16" t="str">
        <f>IF(B171="","",SUMIF(Download!B:B,B171,Download!G:G))</f>
        <v/>
      </c>
      <c r="K171" s="16" t="str">
        <f>IF(B171="","",SUMIF(Download!B:B,B171,Download!H:H))</f>
        <v/>
      </c>
      <c r="M171" s="16" t="str">
        <f t="shared" si="13"/>
        <v/>
      </c>
      <c r="N171" s="16" t="str">
        <f t="shared" si="14"/>
        <v/>
      </c>
    </row>
    <row r="172" spans="2:14" x14ac:dyDescent="0.25">
      <c r="B172" t="str">
        <f t="shared" si="10"/>
        <v/>
      </c>
      <c r="C172" s="45"/>
      <c r="D172" s="45"/>
      <c r="E172" s="45"/>
      <c r="F172" s="44"/>
      <c r="G172" s="16" t="str">
        <f t="shared" si="11"/>
        <v/>
      </c>
      <c r="H172" s="16" t="str">
        <f t="shared" si="12"/>
        <v/>
      </c>
      <c r="J172" s="16" t="str">
        <f>IF(B172="","",SUMIF(Download!B:B,B172,Download!G:G))</f>
        <v/>
      </c>
      <c r="K172" s="16" t="str">
        <f>IF(B172="","",SUMIF(Download!B:B,B172,Download!H:H))</f>
        <v/>
      </c>
      <c r="M172" s="16" t="str">
        <f t="shared" si="13"/>
        <v/>
      </c>
      <c r="N172" s="16" t="str">
        <f t="shared" si="14"/>
        <v/>
      </c>
    </row>
    <row r="173" spans="2:14" x14ac:dyDescent="0.25">
      <c r="B173" t="str">
        <f t="shared" si="10"/>
        <v/>
      </c>
      <c r="C173" s="45"/>
      <c r="D173" s="45"/>
      <c r="E173" s="45"/>
      <c r="F173" s="44"/>
      <c r="G173" s="16" t="str">
        <f t="shared" si="11"/>
        <v/>
      </c>
      <c r="H173" s="16" t="str">
        <f t="shared" si="12"/>
        <v/>
      </c>
      <c r="J173" s="16" t="str">
        <f>IF(B173="","",SUMIF(Download!B:B,B173,Download!G:G))</f>
        <v/>
      </c>
      <c r="K173" s="16" t="str">
        <f>IF(B173="","",SUMIF(Download!B:B,B173,Download!H:H))</f>
        <v/>
      </c>
      <c r="M173" s="16" t="str">
        <f t="shared" si="13"/>
        <v/>
      </c>
      <c r="N173" s="16" t="str">
        <f t="shared" si="14"/>
        <v/>
      </c>
    </row>
    <row r="174" spans="2:14" x14ac:dyDescent="0.25">
      <c r="B174" t="str">
        <f t="shared" si="10"/>
        <v/>
      </c>
      <c r="C174" s="45"/>
      <c r="D174" s="45"/>
      <c r="E174" s="45"/>
      <c r="F174" s="44"/>
      <c r="G174" s="16" t="str">
        <f t="shared" si="11"/>
        <v/>
      </c>
      <c r="H174" s="16" t="str">
        <f t="shared" si="12"/>
        <v/>
      </c>
      <c r="J174" s="16" t="str">
        <f>IF(B174="","",SUMIF(Download!B:B,B174,Download!G:G))</f>
        <v/>
      </c>
      <c r="K174" s="16" t="str">
        <f>IF(B174="","",SUMIF(Download!B:B,B174,Download!H:H))</f>
        <v/>
      </c>
      <c r="M174" s="16" t="str">
        <f t="shared" si="13"/>
        <v/>
      </c>
      <c r="N174" s="16" t="str">
        <f t="shared" si="14"/>
        <v/>
      </c>
    </row>
    <row r="175" spans="2:14" x14ac:dyDescent="0.25">
      <c r="B175" t="str">
        <f t="shared" si="10"/>
        <v/>
      </c>
      <c r="C175" s="45"/>
      <c r="D175" s="45"/>
      <c r="E175" s="45"/>
      <c r="F175" s="44"/>
      <c r="G175" s="16" t="str">
        <f t="shared" si="11"/>
        <v/>
      </c>
      <c r="H175" s="16" t="str">
        <f t="shared" si="12"/>
        <v/>
      </c>
      <c r="J175" s="16" t="str">
        <f>IF(B175="","",SUMIF(Download!B:B,B175,Download!G:G))</f>
        <v/>
      </c>
      <c r="K175" s="16" t="str">
        <f>IF(B175="","",SUMIF(Download!B:B,B175,Download!H:H))</f>
        <v/>
      </c>
      <c r="M175" s="16" t="str">
        <f t="shared" si="13"/>
        <v/>
      </c>
      <c r="N175" s="16" t="str">
        <f t="shared" si="14"/>
        <v/>
      </c>
    </row>
    <row r="176" spans="2:14" x14ac:dyDescent="0.25">
      <c r="B176" t="str">
        <f t="shared" si="10"/>
        <v/>
      </c>
      <c r="C176" s="45"/>
      <c r="D176" s="45"/>
      <c r="E176" s="45"/>
      <c r="F176" s="44"/>
      <c r="G176" s="16" t="str">
        <f t="shared" si="11"/>
        <v/>
      </c>
      <c r="H176" s="16" t="str">
        <f t="shared" si="12"/>
        <v/>
      </c>
      <c r="J176" s="16" t="str">
        <f>IF(B176="","",SUMIF(Download!B:B,B176,Download!G:G))</f>
        <v/>
      </c>
      <c r="K176" s="16" t="str">
        <f>IF(B176="","",SUMIF(Download!B:B,B176,Download!H:H))</f>
        <v/>
      </c>
      <c r="M176" s="16" t="str">
        <f t="shared" si="13"/>
        <v/>
      </c>
      <c r="N176" s="16" t="str">
        <f t="shared" si="14"/>
        <v/>
      </c>
    </row>
    <row r="177" spans="2:14" x14ac:dyDescent="0.25">
      <c r="B177" t="str">
        <f t="shared" si="10"/>
        <v/>
      </c>
      <c r="C177" s="45"/>
      <c r="D177" s="45"/>
      <c r="E177" s="45"/>
      <c r="F177" s="44"/>
      <c r="G177" s="16" t="str">
        <f t="shared" si="11"/>
        <v/>
      </c>
      <c r="H177" s="16" t="str">
        <f t="shared" si="12"/>
        <v/>
      </c>
      <c r="J177" s="16" t="str">
        <f>IF(B177="","",SUMIF(Download!B:B,B177,Download!G:G))</f>
        <v/>
      </c>
      <c r="K177" s="16" t="str">
        <f>IF(B177="","",SUMIF(Download!B:B,B177,Download!H:H))</f>
        <v/>
      </c>
      <c r="M177" s="16" t="str">
        <f t="shared" si="13"/>
        <v/>
      </c>
      <c r="N177" s="16" t="str">
        <f t="shared" si="14"/>
        <v/>
      </c>
    </row>
    <row r="178" spans="2:14" x14ac:dyDescent="0.25">
      <c r="B178" t="str">
        <f t="shared" si="10"/>
        <v/>
      </c>
      <c r="C178" s="45"/>
      <c r="D178" s="45"/>
      <c r="E178" s="45"/>
      <c r="F178" s="44"/>
      <c r="G178" s="16" t="str">
        <f t="shared" si="11"/>
        <v/>
      </c>
      <c r="H178" s="16" t="str">
        <f t="shared" si="12"/>
        <v/>
      </c>
      <c r="J178" s="16" t="str">
        <f>IF(B178="","",SUMIF(Download!B:B,B178,Download!G:G))</f>
        <v/>
      </c>
      <c r="K178" s="16" t="str">
        <f>IF(B178="","",SUMIF(Download!B:B,B178,Download!H:H))</f>
        <v/>
      </c>
      <c r="M178" s="16" t="str">
        <f t="shared" si="13"/>
        <v/>
      </c>
      <c r="N178" s="16" t="str">
        <f t="shared" si="14"/>
        <v/>
      </c>
    </row>
    <row r="179" spans="2:14" x14ac:dyDescent="0.25">
      <c r="B179" t="str">
        <f t="shared" si="10"/>
        <v/>
      </c>
      <c r="C179" s="45"/>
      <c r="D179" s="45"/>
      <c r="E179" s="45"/>
      <c r="F179" s="44"/>
      <c r="G179" s="16" t="str">
        <f t="shared" si="11"/>
        <v/>
      </c>
      <c r="H179" s="16" t="str">
        <f t="shared" si="12"/>
        <v/>
      </c>
      <c r="J179" s="16" t="str">
        <f>IF(B179="","",SUMIF(Download!B:B,B179,Download!G:G))</f>
        <v/>
      </c>
      <c r="K179" s="16" t="str">
        <f>IF(B179="","",SUMIF(Download!B:B,B179,Download!H:H))</f>
        <v/>
      </c>
      <c r="M179" s="16" t="str">
        <f t="shared" si="13"/>
        <v/>
      </c>
      <c r="N179" s="16" t="str">
        <f t="shared" si="14"/>
        <v/>
      </c>
    </row>
    <row r="180" spans="2:14" x14ac:dyDescent="0.25">
      <c r="B180" t="str">
        <f t="shared" si="10"/>
        <v/>
      </c>
      <c r="C180" s="45"/>
      <c r="D180" s="45"/>
      <c r="E180" s="45"/>
      <c r="F180" s="44"/>
      <c r="G180" s="16" t="str">
        <f t="shared" si="11"/>
        <v/>
      </c>
      <c r="H180" s="16" t="str">
        <f t="shared" si="12"/>
        <v/>
      </c>
      <c r="J180" s="16" t="str">
        <f>IF(B180="","",SUMIF(Download!B:B,B180,Download!G:G))</f>
        <v/>
      </c>
      <c r="K180" s="16" t="str">
        <f>IF(B180="","",SUMIF(Download!B:B,B180,Download!H:H))</f>
        <v/>
      </c>
      <c r="M180" s="16" t="str">
        <f t="shared" si="13"/>
        <v/>
      </c>
      <c r="N180" s="16" t="str">
        <f t="shared" si="14"/>
        <v/>
      </c>
    </row>
    <row r="181" spans="2:14" x14ac:dyDescent="0.25">
      <c r="B181" t="str">
        <f t="shared" si="10"/>
        <v/>
      </c>
      <c r="C181" s="45"/>
      <c r="D181" s="45"/>
      <c r="E181" s="45"/>
      <c r="F181" s="44"/>
      <c r="G181" s="16" t="str">
        <f t="shared" si="11"/>
        <v/>
      </c>
      <c r="H181" s="16" t="str">
        <f t="shared" si="12"/>
        <v/>
      </c>
      <c r="J181" s="16" t="str">
        <f>IF(B181="","",SUMIF(Download!B:B,B181,Download!G:G))</f>
        <v/>
      </c>
      <c r="K181" s="16" t="str">
        <f>IF(B181="","",SUMIF(Download!B:B,B181,Download!H:H))</f>
        <v/>
      </c>
      <c r="M181" s="16" t="str">
        <f t="shared" si="13"/>
        <v/>
      </c>
      <c r="N181" s="16" t="str">
        <f t="shared" si="14"/>
        <v/>
      </c>
    </row>
    <row r="182" spans="2:14" x14ac:dyDescent="0.25">
      <c r="B182" t="str">
        <f t="shared" si="10"/>
        <v/>
      </c>
      <c r="C182" s="45"/>
      <c r="D182" s="45"/>
      <c r="E182" s="45"/>
      <c r="F182" s="44"/>
      <c r="G182" s="16" t="str">
        <f t="shared" si="11"/>
        <v/>
      </c>
      <c r="H182" s="16" t="str">
        <f t="shared" si="12"/>
        <v/>
      </c>
      <c r="J182" s="16" t="str">
        <f>IF(B182="","",SUMIF(Download!B:B,B182,Download!G:G))</f>
        <v/>
      </c>
      <c r="K182" s="16" t="str">
        <f>IF(B182="","",SUMIF(Download!B:B,B182,Download!H:H))</f>
        <v/>
      </c>
      <c r="M182" s="16" t="str">
        <f t="shared" si="13"/>
        <v/>
      </c>
      <c r="N182" s="16" t="str">
        <f t="shared" si="14"/>
        <v/>
      </c>
    </row>
    <row r="183" spans="2:14" x14ac:dyDescent="0.25">
      <c r="B183" t="str">
        <f t="shared" si="10"/>
        <v/>
      </c>
      <c r="C183" s="45"/>
      <c r="D183" s="45"/>
      <c r="E183" s="45"/>
      <c r="F183" s="44"/>
      <c r="G183" s="16" t="str">
        <f t="shared" si="11"/>
        <v/>
      </c>
      <c r="H183" s="16" t="str">
        <f t="shared" si="12"/>
        <v/>
      </c>
      <c r="J183" s="16" t="str">
        <f>IF(B183="","",SUMIF(Download!B:B,B183,Download!G:G))</f>
        <v/>
      </c>
      <c r="K183" s="16" t="str">
        <f>IF(B183="","",SUMIF(Download!B:B,B183,Download!H:H))</f>
        <v/>
      </c>
      <c r="M183" s="16" t="str">
        <f t="shared" si="13"/>
        <v/>
      </c>
      <c r="N183" s="16" t="str">
        <f t="shared" si="14"/>
        <v/>
      </c>
    </row>
    <row r="184" spans="2:14" x14ac:dyDescent="0.25">
      <c r="B184" t="str">
        <f t="shared" si="10"/>
        <v/>
      </c>
      <c r="C184" s="45"/>
      <c r="D184" s="45"/>
      <c r="E184" s="45"/>
      <c r="F184" s="44"/>
      <c r="G184" s="16" t="str">
        <f t="shared" si="11"/>
        <v/>
      </c>
      <c r="H184" s="16" t="str">
        <f t="shared" si="12"/>
        <v/>
      </c>
      <c r="J184" s="16" t="str">
        <f>IF(B184="","",SUMIF(Download!B:B,B184,Download!G:G))</f>
        <v/>
      </c>
      <c r="K184" s="16" t="str">
        <f>IF(B184="","",SUMIF(Download!B:B,B184,Download!H:H))</f>
        <v/>
      </c>
      <c r="M184" s="16" t="str">
        <f t="shared" si="13"/>
        <v/>
      </c>
      <c r="N184" s="16" t="str">
        <f t="shared" si="14"/>
        <v/>
      </c>
    </row>
    <row r="185" spans="2:14" x14ac:dyDescent="0.25">
      <c r="B185" t="str">
        <f t="shared" si="10"/>
        <v/>
      </c>
      <c r="C185" s="45"/>
      <c r="D185" s="45"/>
      <c r="E185" s="45"/>
      <c r="F185" s="44"/>
      <c r="G185" s="16" t="str">
        <f t="shared" si="11"/>
        <v/>
      </c>
      <c r="H185" s="16" t="str">
        <f t="shared" si="12"/>
        <v/>
      </c>
      <c r="J185" s="16" t="str">
        <f>IF(B185="","",SUMIF(Download!B:B,B185,Download!G:G))</f>
        <v/>
      </c>
      <c r="K185" s="16" t="str">
        <f>IF(B185="","",SUMIF(Download!B:B,B185,Download!H:H))</f>
        <v/>
      </c>
      <c r="M185" s="16" t="str">
        <f t="shared" si="13"/>
        <v/>
      </c>
      <c r="N185" s="16" t="str">
        <f t="shared" si="14"/>
        <v/>
      </c>
    </row>
    <row r="186" spans="2:14" x14ac:dyDescent="0.25">
      <c r="B186" t="str">
        <f t="shared" si="10"/>
        <v/>
      </c>
      <c r="C186" s="45"/>
      <c r="D186" s="45"/>
      <c r="E186" s="45"/>
      <c r="F186" s="44"/>
      <c r="G186" s="16" t="str">
        <f t="shared" si="11"/>
        <v/>
      </c>
      <c r="H186" s="16" t="str">
        <f t="shared" si="12"/>
        <v/>
      </c>
      <c r="J186" s="16" t="str">
        <f>IF(B186="","",SUMIF(Download!B:B,B186,Download!G:G))</f>
        <v/>
      </c>
      <c r="K186" s="16" t="str">
        <f>IF(B186="","",SUMIF(Download!B:B,B186,Download!H:H))</f>
        <v/>
      </c>
      <c r="M186" s="16" t="str">
        <f t="shared" si="13"/>
        <v/>
      </c>
      <c r="N186" s="16" t="str">
        <f t="shared" si="14"/>
        <v/>
      </c>
    </row>
    <row r="187" spans="2:14" x14ac:dyDescent="0.25">
      <c r="B187" t="str">
        <f t="shared" si="10"/>
        <v/>
      </c>
      <c r="C187" s="45"/>
      <c r="D187" s="45"/>
      <c r="E187" s="45"/>
      <c r="F187" s="44"/>
      <c r="G187" s="16" t="str">
        <f t="shared" si="11"/>
        <v/>
      </c>
      <c r="H187" s="16" t="str">
        <f t="shared" si="12"/>
        <v/>
      </c>
      <c r="J187" s="16" t="str">
        <f>IF(B187="","",SUMIF(Download!B:B,B187,Download!G:G))</f>
        <v/>
      </c>
      <c r="K187" s="16" t="str">
        <f>IF(B187="","",SUMIF(Download!B:B,B187,Download!H:H))</f>
        <v/>
      </c>
      <c r="M187" s="16" t="str">
        <f t="shared" si="13"/>
        <v/>
      </c>
      <c r="N187" s="16" t="str">
        <f t="shared" si="14"/>
        <v/>
      </c>
    </row>
    <row r="188" spans="2:14" x14ac:dyDescent="0.25">
      <c r="B188" t="str">
        <f t="shared" si="10"/>
        <v/>
      </c>
      <c r="C188" s="45"/>
      <c r="D188" s="45"/>
      <c r="E188" s="45"/>
      <c r="F188" s="44"/>
      <c r="G188" s="16" t="str">
        <f t="shared" si="11"/>
        <v/>
      </c>
      <c r="H188" s="16" t="str">
        <f t="shared" si="12"/>
        <v/>
      </c>
      <c r="J188" s="16" t="str">
        <f>IF(B188="","",SUMIF(Download!B:B,B188,Download!G:G))</f>
        <v/>
      </c>
      <c r="K188" s="16" t="str">
        <f>IF(B188="","",SUMIF(Download!B:B,B188,Download!H:H))</f>
        <v/>
      </c>
      <c r="M188" s="16" t="str">
        <f t="shared" si="13"/>
        <v/>
      </c>
      <c r="N188" s="16" t="str">
        <f t="shared" si="14"/>
        <v/>
      </c>
    </row>
    <row r="189" spans="2:14" x14ac:dyDescent="0.25">
      <c r="B189" t="str">
        <f t="shared" si="10"/>
        <v/>
      </c>
      <c r="C189" s="45"/>
      <c r="D189" s="45"/>
      <c r="E189" s="45"/>
      <c r="F189" s="44"/>
      <c r="G189" s="16" t="str">
        <f t="shared" si="11"/>
        <v/>
      </c>
      <c r="H189" s="16" t="str">
        <f t="shared" si="12"/>
        <v/>
      </c>
      <c r="J189" s="16" t="str">
        <f>IF(B189="","",SUMIF(Download!B:B,B189,Download!G:G))</f>
        <v/>
      </c>
      <c r="K189" s="16" t="str">
        <f>IF(B189="","",SUMIF(Download!B:B,B189,Download!H:H))</f>
        <v/>
      </c>
      <c r="M189" s="16" t="str">
        <f t="shared" si="13"/>
        <v/>
      </c>
      <c r="N189" s="16" t="str">
        <f t="shared" si="14"/>
        <v/>
      </c>
    </row>
    <row r="190" spans="2:14" x14ac:dyDescent="0.25">
      <c r="B190" t="str">
        <f t="shared" si="10"/>
        <v/>
      </c>
      <c r="C190" s="45"/>
      <c r="D190" s="45"/>
      <c r="E190" s="45"/>
      <c r="F190" s="44"/>
      <c r="G190" s="16" t="str">
        <f t="shared" si="11"/>
        <v/>
      </c>
      <c r="H190" s="16" t="str">
        <f t="shared" si="12"/>
        <v/>
      </c>
      <c r="J190" s="16" t="str">
        <f>IF(B190="","",SUMIF(Download!B:B,B190,Download!G:G))</f>
        <v/>
      </c>
      <c r="K190" s="16" t="str">
        <f>IF(B190="","",SUMIF(Download!B:B,B190,Download!H:H))</f>
        <v/>
      </c>
      <c r="M190" s="16" t="str">
        <f t="shared" si="13"/>
        <v/>
      </c>
      <c r="N190" s="16" t="str">
        <f t="shared" si="14"/>
        <v/>
      </c>
    </row>
    <row r="191" spans="2:14" x14ac:dyDescent="0.25">
      <c r="B191" t="str">
        <f t="shared" si="10"/>
        <v/>
      </c>
      <c r="C191" s="45"/>
      <c r="D191" s="45"/>
      <c r="E191" s="45"/>
      <c r="F191" s="44"/>
      <c r="G191" s="16" t="str">
        <f t="shared" si="11"/>
        <v/>
      </c>
      <c r="H191" s="16" t="str">
        <f t="shared" si="12"/>
        <v/>
      </c>
      <c r="J191" s="16" t="str">
        <f>IF(B191="","",SUMIF(Download!B:B,B191,Download!G:G))</f>
        <v/>
      </c>
      <c r="K191" s="16" t="str">
        <f>IF(B191="","",SUMIF(Download!B:B,B191,Download!H:H))</f>
        <v/>
      </c>
      <c r="M191" s="16" t="str">
        <f t="shared" si="13"/>
        <v/>
      </c>
      <c r="N191" s="16" t="str">
        <f t="shared" si="14"/>
        <v/>
      </c>
    </row>
    <row r="192" spans="2:14" x14ac:dyDescent="0.25">
      <c r="B192" t="str">
        <f t="shared" si="10"/>
        <v/>
      </c>
      <c r="C192" s="45"/>
      <c r="D192" s="45"/>
      <c r="E192" s="45"/>
      <c r="F192" s="44"/>
      <c r="G192" s="16" t="str">
        <f t="shared" si="11"/>
        <v/>
      </c>
      <c r="H192" s="16" t="str">
        <f t="shared" si="12"/>
        <v/>
      </c>
      <c r="J192" s="16" t="str">
        <f>IF(B192="","",SUMIF(Download!B:B,B192,Download!G:G))</f>
        <v/>
      </c>
      <c r="K192" s="16" t="str">
        <f>IF(B192="","",SUMIF(Download!B:B,B192,Download!H:H))</f>
        <v/>
      </c>
      <c r="M192" s="16" t="str">
        <f t="shared" si="13"/>
        <v/>
      </c>
      <c r="N192" s="16" t="str">
        <f t="shared" si="14"/>
        <v/>
      </c>
    </row>
    <row r="193" spans="2:14" x14ac:dyDescent="0.25">
      <c r="B193" t="str">
        <f t="shared" si="10"/>
        <v/>
      </c>
      <c r="C193" s="45"/>
      <c r="D193" s="45"/>
      <c r="E193" s="45"/>
      <c r="F193" s="44"/>
      <c r="G193" s="16" t="str">
        <f t="shared" si="11"/>
        <v/>
      </c>
      <c r="H193" s="16" t="str">
        <f t="shared" si="12"/>
        <v/>
      </c>
      <c r="J193" s="16" t="str">
        <f>IF(B193="","",SUMIF(Download!B:B,B193,Download!G:G))</f>
        <v/>
      </c>
      <c r="K193" s="16" t="str">
        <f>IF(B193="","",SUMIF(Download!B:B,B193,Download!H:H))</f>
        <v/>
      </c>
      <c r="M193" s="16" t="str">
        <f t="shared" si="13"/>
        <v/>
      </c>
      <c r="N193" s="16" t="str">
        <f t="shared" si="14"/>
        <v/>
      </c>
    </row>
    <row r="194" spans="2:14" x14ac:dyDescent="0.25">
      <c r="B194" t="str">
        <f t="shared" ref="B194:B257" si="15">IF(C194="","",A194&amp;C194)</f>
        <v/>
      </c>
      <c r="C194" s="45"/>
      <c r="D194" s="45"/>
      <c r="E194" s="45"/>
      <c r="F194" s="44"/>
      <c r="G194" s="16" t="str">
        <f t="shared" ref="G194:G257" si="16">IFERROR(VALUE(LEFT(D194,LEN(D194)-7)),"")</f>
        <v/>
      </c>
      <c r="H194" s="16" t="str">
        <f t="shared" ref="H194:H257" si="17">IFERROR(VALUE(RIGHT(E194,LEN(E194)-4)),"")</f>
        <v/>
      </c>
      <c r="J194" s="16" t="str">
        <f>IF(B194="","",SUMIF(Download!B:B,B194,Download!G:G))</f>
        <v/>
      </c>
      <c r="K194" s="16" t="str">
        <f>IF(B194="","",SUMIF(Download!B:B,B194,Download!H:H))</f>
        <v/>
      </c>
      <c r="M194" s="16" t="str">
        <f t="shared" ref="M194:M257" si="18">IF(B194="","",G194-J194)</f>
        <v/>
      </c>
      <c r="N194" s="16" t="str">
        <f t="shared" ref="N194:N257" si="19">IF(B194="","",H194-K194)</f>
        <v/>
      </c>
    </row>
    <row r="195" spans="2:14" x14ac:dyDescent="0.25">
      <c r="B195" t="str">
        <f t="shared" si="15"/>
        <v/>
      </c>
      <c r="C195" s="45"/>
      <c r="D195" s="45"/>
      <c r="E195" s="45"/>
      <c r="F195" s="44"/>
      <c r="G195" s="16" t="str">
        <f t="shared" si="16"/>
        <v/>
      </c>
      <c r="H195" s="16" t="str">
        <f t="shared" si="17"/>
        <v/>
      </c>
      <c r="J195" s="16" t="str">
        <f>IF(B195="","",SUMIF(Download!B:B,B195,Download!G:G))</f>
        <v/>
      </c>
      <c r="K195" s="16" t="str">
        <f>IF(B195="","",SUMIF(Download!B:B,B195,Download!H:H))</f>
        <v/>
      </c>
      <c r="M195" s="16" t="str">
        <f t="shared" si="18"/>
        <v/>
      </c>
      <c r="N195" s="16" t="str">
        <f t="shared" si="19"/>
        <v/>
      </c>
    </row>
    <row r="196" spans="2:14" x14ac:dyDescent="0.25">
      <c r="B196" t="str">
        <f t="shared" si="15"/>
        <v/>
      </c>
      <c r="C196" s="45"/>
      <c r="D196" s="45"/>
      <c r="E196" s="45"/>
      <c r="F196" s="44"/>
      <c r="G196" s="16" t="str">
        <f t="shared" si="16"/>
        <v/>
      </c>
      <c r="H196" s="16" t="str">
        <f t="shared" si="17"/>
        <v/>
      </c>
      <c r="J196" s="16" t="str">
        <f>IF(B196="","",SUMIF(Download!B:B,B196,Download!G:G))</f>
        <v/>
      </c>
      <c r="K196" s="16" t="str">
        <f>IF(B196="","",SUMIF(Download!B:B,B196,Download!H:H))</f>
        <v/>
      </c>
      <c r="M196" s="16" t="str">
        <f t="shared" si="18"/>
        <v/>
      </c>
      <c r="N196" s="16" t="str">
        <f t="shared" si="19"/>
        <v/>
      </c>
    </row>
    <row r="197" spans="2:14" x14ac:dyDescent="0.25">
      <c r="B197" t="str">
        <f t="shared" si="15"/>
        <v/>
      </c>
      <c r="C197" s="45"/>
      <c r="D197" s="45"/>
      <c r="E197" s="45"/>
      <c r="F197" s="44"/>
      <c r="G197" s="16" t="str">
        <f t="shared" si="16"/>
        <v/>
      </c>
      <c r="H197" s="16" t="str">
        <f t="shared" si="17"/>
        <v/>
      </c>
      <c r="J197" s="16" t="str">
        <f>IF(B197="","",SUMIF(Download!B:B,B197,Download!G:G))</f>
        <v/>
      </c>
      <c r="K197" s="16" t="str">
        <f>IF(B197="","",SUMIF(Download!B:B,B197,Download!H:H))</f>
        <v/>
      </c>
      <c r="M197" s="16" t="str">
        <f t="shared" si="18"/>
        <v/>
      </c>
      <c r="N197" s="16" t="str">
        <f t="shared" si="19"/>
        <v/>
      </c>
    </row>
    <row r="198" spans="2:14" x14ac:dyDescent="0.25">
      <c r="B198" t="str">
        <f t="shared" si="15"/>
        <v/>
      </c>
      <c r="C198" s="45"/>
      <c r="D198" s="45"/>
      <c r="E198" s="45"/>
      <c r="F198" s="44"/>
      <c r="G198" s="16" t="str">
        <f t="shared" si="16"/>
        <v/>
      </c>
      <c r="H198" s="16" t="str">
        <f t="shared" si="17"/>
        <v/>
      </c>
      <c r="J198" s="16" t="str">
        <f>IF(B198="","",SUMIF(Download!B:B,B198,Download!G:G))</f>
        <v/>
      </c>
      <c r="K198" s="16" t="str">
        <f>IF(B198="","",SUMIF(Download!B:B,B198,Download!H:H))</f>
        <v/>
      </c>
      <c r="M198" s="16" t="str">
        <f t="shared" si="18"/>
        <v/>
      </c>
      <c r="N198" s="16" t="str">
        <f t="shared" si="19"/>
        <v/>
      </c>
    </row>
    <row r="199" spans="2:14" x14ac:dyDescent="0.25">
      <c r="B199" t="str">
        <f t="shared" si="15"/>
        <v/>
      </c>
      <c r="C199" s="45"/>
      <c r="D199" s="45"/>
      <c r="E199" s="45"/>
      <c r="F199" s="44"/>
      <c r="G199" s="16" t="str">
        <f t="shared" si="16"/>
        <v/>
      </c>
      <c r="H199" s="16" t="str">
        <f t="shared" si="17"/>
        <v/>
      </c>
      <c r="J199" s="16" t="str">
        <f>IF(B199="","",SUMIF(Download!B:B,B199,Download!G:G))</f>
        <v/>
      </c>
      <c r="K199" s="16" t="str">
        <f>IF(B199="","",SUMIF(Download!B:B,B199,Download!H:H))</f>
        <v/>
      </c>
      <c r="M199" s="16" t="str">
        <f t="shared" si="18"/>
        <v/>
      </c>
      <c r="N199" s="16" t="str">
        <f t="shared" si="19"/>
        <v/>
      </c>
    </row>
    <row r="200" spans="2:14" x14ac:dyDescent="0.25">
      <c r="B200" t="str">
        <f t="shared" si="15"/>
        <v/>
      </c>
      <c r="C200" s="45"/>
      <c r="D200" s="45"/>
      <c r="E200" s="45"/>
      <c r="F200" s="44"/>
      <c r="G200" s="16" t="str">
        <f t="shared" si="16"/>
        <v/>
      </c>
      <c r="H200" s="16" t="str">
        <f t="shared" si="17"/>
        <v/>
      </c>
      <c r="J200" s="16" t="str">
        <f>IF(B200="","",SUMIF(Download!B:B,B200,Download!G:G))</f>
        <v/>
      </c>
      <c r="K200" s="16" t="str">
        <f>IF(B200="","",SUMIF(Download!B:B,B200,Download!H:H))</f>
        <v/>
      </c>
      <c r="M200" s="16" t="str">
        <f t="shared" si="18"/>
        <v/>
      </c>
      <c r="N200" s="16" t="str">
        <f t="shared" si="19"/>
        <v/>
      </c>
    </row>
    <row r="201" spans="2:14" x14ac:dyDescent="0.25">
      <c r="B201" t="str">
        <f t="shared" si="15"/>
        <v/>
      </c>
      <c r="C201" s="45"/>
      <c r="D201" s="45"/>
      <c r="E201" s="45"/>
      <c r="F201" s="44"/>
      <c r="G201" s="16" t="str">
        <f t="shared" si="16"/>
        <v/>
      </c>
      <c r="H201" s="16" t="str">
        <f t="shared" si="17"/>
        <v/>
      </c>
      <c r="J201" s="16" t="str">
        <f>IF(B201="","",SUMIF(Download!B:B,B201,Download!G:G))</f>
        <v/>
      </c>
      <c r="K201" s="16" t="str">
        <f>IF(B201="","",SUMIF(Download!B:B,B201,Download!H:H))</f>
        <v/>
      </c>
      <c r="M201" s="16" t="str">
        <f t="shared" si="18"/>
        <v/>
      </c>
      <c r="N201" s="16" t="str">
        <f t="shared" si="19"/>
        <v/>
      </c>
    </row>
    <row r="202" spans="2:14" x14ac:dyDescent="0.25">
      <c r="B202" t="str">
        <f t="shared" si="15"/>
        <v/>
      </c>
      <c r="C202" s="45"/>
      <c r="D202" s="45"/>
      <c r="E202" s="45"/>
      <c r="F202" s="44"/>
      <c r="G202" s="16" t="str">
        <f t="shared" si="16"/>
        <v/>
      </c>
      <c r="H202" s="16" t="str">
        <f t="shared" si="17"/>
        <v/>
      </c>
      <c r="J202" s="16" t="str">
        <f>IF(B202="","",SUMIF(Download!B:B,B202,Download!G:G))</f>
        <v/>
      </c>
      <c r="K202" s="16" t="str">
        <f>IF(B202="","",SUMIF(Download!B:B,B202,Download!H:H))</f>
        <v/>
      </c>
      <c r="M202" s="16" t="str">
        <f t="shared" si="18"/>
        <v/>
      </c>
      <c r="N202" s="16" t="str">
        <f t="shared" si="19"/>
        <v/>
      </c>
    </row>
    <row r="203" spans="2:14" x14ac:dyDescent="0.25">
      <c r="B203" t="str">
        <f t="shared" si="15"/>
        <v/>
      </c>
      <c r="C203" s="45"/>
      <c r="D203" s="45"/>
      <c r="E203" s="45"/>
      <c r="F203" s="44"/>
      <c r="G203" s="16" t="str">
        <f t="shared" si="16"/>
        <v/>
      </c>
      <c r="H203" s="16" t="str">
        <f t="shared" si="17"/>
        <v/>
      </c>
      <c r="J203" s="16" t="str">
        <f>IF(B203="","",SUMIF(Download!B:B,B203,Download!G:G))</f>
        <v/>
      </c>
      <c r="K203" s="16" t="str">
        <f>IF(B203="","",SUMIF(Download!B:B,B203,Download!H:H))</f>
        <v/>
      </c>
      <c r="M203" s="16" t="str">
        <f t="shared" si="18"/>
        <v/>
      </c>
      <c r="N203" s="16" t="str">
        <f t="shared" si="19"/>
        <v/>
      </c>
    </row>
    <row r="204" spans="2:14" x14ac:dyDescent="0.25">
      <c r="B204" t="str">
        <f t="shared" si="15"/>
        <v/>
      </c>
      <c r="C204" s="45"/>
      <c r="D204" s="45"/>
      <c r="E204" s="45"/>
      <c r="F204" s="44"/>
      <c r="G204" s="16" t="str">
        <f t="shared" si="16"/>
        <v/>
      </c>
      <c r="H204" s="16" t="str">
        <f t="shared" si="17"/>
        <v/>
      </c>
      <c r="J204" s="16" t="str">
        <f>IF(B204="","",SUMIF(Download!B:B,B204,Download!G:G))</f>
        <v/>
      </c>
      <c r="K204" s="16" t="str">
        <f>IF(B204="","",SUMIF(Download!B:B,B204,Download!H:H))</f>
        <v/>
      </c>
      <c r="M204" s="16" t="str">
        <f t="shared" si="18"/>
        <v/>
      </c>
      <c r="N204" s="16" t="str">
        <f t="shared" si="19"/>
        <v/>
      </c>
    </row>
    <row r="205" spans="2:14" x14ac:dyDescent="0.25">
      <c r="B205" t="str">
        <f t="shared" si="15"/>
        <v/>
      </c>
      <c r="C205" s="45"/>
      <c r="D205" s="45"/>
      <c r="E205" s="45"/>
      <c r="F205" s="44"/>
      <c r="G205" s="16" t="str">
        <f t="shared" si="16"/>
        <v/>
      </c>
      <c r="H205" s="16" t="str">
        <f t="shared" si="17"/>
        <v/>
      </c>
      <c r="J205" s="16" t="str">
        <f>IF(B205="","",SUMIF(Download!B:B,B205,Download!G:G))</f>
        <v/>
      </c>
      <c r="K205" s="16" t="str">
        <f>IF(B205="","",SUMIF(Download!B:B,B205,Download!H:H))</f>
        <v/>
      </c>
      <c r="M205" s="16" t="str">
        <f t="shared" si="18"/>
        <v/>
      </c>
      <c r="N205" s="16" t="str">
        <f t="shared" si="19"/>
        <v/>
      </c>
    </row>
    <row r="206" spans="2:14" x14ac:dyDescent="0.25">
      <c r="B206" t="str">
        <f t="shared" si="15"/>
        <v/>
      </c>
      <c r="C206" s="45"/>
      <c r="D206" s="45"/>
      <c r="E206" s="45"/>
      <c r="F206" s="44"/>
      <c r="G206" s="16" t="str">
        <f t="shared" si="16"/>
        <v/>
      </c>
      <c r="H206" s="16" t="str">
        <f t="shared" si="17"/>
        <v/>
      </c>
      <c r="J206" s="16" t="str">
        <f>IF(B206="","",SUMIF(Download!B:B,B206,Download!G:G))</f>
        <v/>
      </c>
      <c r="K206" s="16" t="str">
        <f>IF(B206="","",SUMIF(Download!B:B,B206,Download!H:H))</f>
        <v/>
      </c>
      <c r="M206" s="16" t="str">
        <f t="shared" si="18"/>
        <v/>
      </c>
      <c r="N206" s="16" t="str">
        <f t="shared" si="19"/>
        <v/>
      </c>
    </row>
    <row r="207" spans="2:14" x14ac:dyDescent="0.25">
      <c r="B207" t="str">
        <f t="shared" si="15"/>
        <v/>
      </c>
      <c r="C207" s="45"/>
      <c r="D207" s="45"/>
      <c r="E207" s="45"/>
      <c r="F207" s="44"/>
      <c r="G207" s="16" t="str">
        <f t="shared" si="16"/>
        <v/>
      </c>
      <c r="H207" s="16" t="str">
        <f t="shared" si="17"/>
        <v/>
      </c>
      <c r="J207" s="16" t="str">
        <f>IF(B207="","",SUMIF(Download!B:B,B207,Download!G:G))</f>
        <v/>
      </c>
      <c r="K207" s="16" t="str">
        <f>IF(B207="","",SUMIF(Download!B:B,B207,Download!H:H))</f>
        <v/>
      </c>
      <c r="M207" s="16" t="str">
        <f t="shared" si="18"/>
        <v/>
      </c>
      <c r="N207" s="16" t="str">
        <f t="shared" si="19"/>
        <v/>
      </c>
    </row>
    <row r="208" spans="2:14" x14ac:dyDescent="0.25">
      <c r="B208" t="str">
        <f t="shared" si="15"/>
        <v/>
      </c>
      <c r="C208" s="45"/>
      <c r="D208" s="45"/>
      <c r="E208" s="45"/>
      <c r="F208" s="44"/>
      <c r="G208" s="16" t="str">
        <f t="shared" si="16"/>
        <v/>
      </c>
      <c r="H208" s="16" t="str">
        <f t="shared" si="17"/>
        <v/>
      </c>
      <c r="J208" s="16" t="str">
        <f>IF(B208="","",SUMIF(Download!B:B,B208,Download!G:G))</f>
        <v/>
      </c>
      <c r="K208" s="16" t="str">
        <f>IF(B208="","",SUMIF(Download!B:B,B208,Download!H:H))</f>
        <v/>
      </c>
      <c r="M208" s="16" t="str">
        <f t="shared" si="18"/>
        <v/>
      </c>
      <c r="N208" s="16" t="str">
        <f t="shared" si="19"/>
        <v/>
      </c>
    </row>
    <row r="209" spans="2:14" x14ac:dyDescent="0.25">
      <c r="B209" t="str">
        <f t="shared" si="15"/>
        <v/>
      </c>
      <c r="C209" s="45"/>
      <c r="D209" s="45"/>
      <c r="E209" s="45"/>
      <c r="F209" s="44"/>
      <c r="G209" s="16" t="str">
        <f t="shared" si="16"/>
        <v/>
      </c>
      <c r="H209" s="16" t="str">
        <f t="shared" si="17"/>
        <v/>
      </c>
      <c r="J209" s="16" t="str">
        <f>IF(B209="","",SUMIF(Download!B:B,B209,Download!G:G))</f>
        <v/>
      </c>
      <c r="K209" s="16" t="str">
        <f>IF(B209="","",SUMIF(Download!B:B,B209,Download!H:H))</f>
        <v/>
      </c>
      <c r="M209" s="16" t="str">
        <f t="shared" si="18"/>
        <v/>
      </c>
      <c r="N209" s="16" t="str">
        <f t="shared" si="19"/>
        <v/>
      </c>
    </row>
    <row r="210" spans="2:14" x14ac:dyDescent="0.25">
      <c r="B210" t="str">
        <f t="shared" si="15"/>
        <v/>
      </c>
      <c r="C210" s="45"/>
      <c r="D210" s="45"/>
      <c r="E210" s="45"/>
      <c r="F210" s="44"/>
      <c r="G210" s="16" t="str">
        <f t="shared" si="16"/>
        <v/>
      </c>
      <c r="H210" s="16" t="str">
        <f t="shared" si="17"/>
        <v/>
      </c>
      <c r="J210" s="16" t="str">
        <f>IF(B210="","",SUMIF(Download!B:B,B210,Download!G:G))</f>
        <v/>
      </c>
      <c r="K210" s="16" t="str">
        <f>IF(B210="","",SUMIF(Download!B:B,B210,Download!H:H))</f>
        <v/>
      </c>
      <c r="M210" s="16" t="str">
        <f t="shared" si="18"/>
        <v/>
      </c>
      <c r="N210" s="16" t="str">
        <f t="shared" si="19"/>
        <v/>
      </c>
    </row>
    <row r="211" spans="2:14" x14ac:dyDescent="0.25">
      <c r="B211" t="str">
        <f t="shared" si="15"/>
        <v/>
      </c>
      <c r="C211" s="45"/>
      <c r="D211" s="45"/>
      <c r="E211" s="45"/>
      <c r="F211" s="44"/>
      <c r="G211" s="16" t="str">
        <f t="shared" si="16"/>
        <v/>
      </c>
      <c r="H211" s="16" t="str">
        <f t="shared" si="17"/>
        <v/>
      </c>
      <c r="J211" s="16" t="str">
        <f>IF(B211="","",SUMIF(Download!B:B,B211,Download!G:G))</f>
        <v/>
      </c>
      <c r="K211" s="16" t="str">
        <f>IF(B211="","",SUMIF(Download!B:B,B211,Download!H:H))</f>
        <v/>
      </c>
      <c r="M211" s="16" t="str">
        <f t="shared" si="18"/>
        <v/>
      </c>
      <c r="N211" s="16" t="str">
        <f t="shared" si="19"/>
        <v/>
      </c>
    </row>
    <row r="212" spans="2:14" x14ac:dyDescent="0.25">
      <c r="B212" t="str">
        <f t="shared" si="15"/>
        <v/>
      </c>
      <c r="C212" s="45"/>
      <c r="D212" s="45"/>
      <c r="E212" s="45"/>
      <c r="F212" s="44"/>
      <c r="G212" s="16" t="str">
        <f t="shared" si="16"/>
        <v/>
      </c>
      <c r="H212" s="16" t="str">
        <f t="shared" si="17"/>
        <v/>
      </c>
      <c r="J212" s="16" t="str">
        <f>IF(B212="","",SUMIF(Download!B:B,B212,Download!G:G))</f>
        <v/>
      </c>
      <c r="K212" s="16" t="str">
        <f>IF(B212="","",SUMIF(Download!B:B,B212,Download!H:H))</f>
        <v/>
      </c>
      <c r="M212" s="16" t="str">
        <f t="shared" si="18"/>
        <v/>
      </c>
      <c r="N212" s="16" t="str">
        <f t="shared" si="19"/>
        <v/>
      </c>
    </row>
    <row r="213" spans="2:14" x14ac:dyDescent="0.25">
      <c r="B213" t="str">
        <f t="shared" si="15"/>
        <v/>
      </c>
      <c r="C213" s="45"/>
      <c r="D213" s="45"/>
      <c r="E213" s="45"/>
      <c r="F213" s="44"/>
      <c r="G213" s="16" t="str">
        <f t="shared" si="16"/>
        <v/>
      </c>
      <c r="H213" s="16" t="str">
        <f t="shared" si="17"/>
        <v/>
      </c>
      <c r="J213" s="16" t="str">
        <f>IF(B213="","",SUMIF(Download!B:B,B213,Download!G:G))</f>
        <v/>
      </c>
      <c r="K213" s="16" t="str">
        <f>IF(B213="","",SUMIF(Download!B:B,B213,Download!H:H))</f>
        <v/>
      </c>
      <c r="M213" s="16" t="str">
        <f t="shared" si="18"/>
        <v/>
      </c>
      <c r="N213" s="16" t="str">
        <f t="shared" si="19"/>
        <v/>
      </c>
    </row>
    <row r="214" spans="2:14" x14ac:dyDescent="0.25">
      <c r="B214" t="str">
        <f t="shared" si="15"/>
        <v/>
      </c>
      <c r="C214" s="45"/>
      <c r="D214" s="45"/>
      <c r="E214" s="45"/>
      <c r="F214" s="44"/>
      <c r="G214" s="16" t="str">
        <f t="shared" si="16"/>
        <v/>
      </c>
      <c r="H214" s="16" t="str">
        <f t="shared" si="17"/>
        <v/>
      </c>
      <c r="J214" s="16" t="str">
        <f>IF(B214="","",SUMIF(Download!B:B,B214,Download!G:G))</f>
        <v/>
      </c>
      <c r="K214" s="16" t="str">
        <f>IF(B214="","",SUMIF(Download!B:B,B214,Download!H:H))</f>
        <v/>
      </c>
      <c r="M214" s="16" t="str">
        <f t="shared" si="18"/>
        <v/>
      </c>
      <c r="N214" s="16" t="str">
        <f t="shared" si="19"/>
        <v/>
      </c>
    </row>
    <row r="215" spans="2:14" x14ac:dyDescent="0.25">
      <c r="B215" t="str">
        <f t="shared" si="15"/>
        <v/>
      </c>
      <c r="C215" s="45"/>
      <c r="D215" s="45"/>
      <c r="E215" s="45"/>
      <c r="F215" s="44"/>
      <c r="G215" s="16" t="str">
        <f t="shared" si="16"/>
        <v/>
      </c>
      <c r="H215" s="16" t="str">
        <f t="shared" si="17"/>
        <v/>
      </c>
      <c r="J215" s="16" t="str">
        <f>IF(B215="","",SUMIF(Download!B:B,B215,Download!G:G))</f>
        <v/>
      </c>
      <c r="K215" s="16" t="str">
        <f>IF(B215="","",SUMIF(Download!B:B,B215,Download!H:H))</f>
        <v/>
      </c>
      <c r="M215" s="16" t="str">
        <f t="shared" si="18"/>
        <v/>
      </c>
      <c r="N215" s="16" t="str">
        <f t="shared" si="19"/>
        <v/>
      </c>
    </row>
    <row r="216" spans="2:14" x14ac:dyDescent="0.25">
      <c r="B216" t="str">
        <f t="shared" si="15"/>
        <v/>
      </c>
      <c r="C216" s="45"/>
      <c r="D216" s="45"/>
      <c r="E216" s="45"/>
      <c r="F216" s="44"/>
      <c r="G216" s="16" t="str">
        <f t="shared" si="16"/>
        <v/>
      </c>
      <c r="H216" s="16" t="str">
        <f t="shared" si="17"/>
        <v/>
      </c>
      <c r="J216" s="16" t="str">
        <f>IF(B216="","",SUMIF(Download!B:B,B216,Download!G:G))</f>
        <v/>
      </c>
      <c r="K216" s="16" t="str">
        <f>IF(B216="","",SUMIF(Download!B:B,B216,Download!H:H))</f>
        <v/>
      </c>
      <c r="M216" s="16" t="str">
        <f t="shared" si="18"/>
        <v/>
      </c>
      <c r="N216" s="16" t="str">
        <f t="shared" si="19"/>
        <v/>
      </c>
    </row>
    <row r="217" spans="2:14" x14ac:dyDescent="0.25">
      <c r="B217" t="str">
        <f t="shared" si="15"/>
        <v/>
      </c>
      <c r="C217" s="45"/>
      <c r="D217" s="45"/>
      <c r="E217" s="45"/>
      <c r="F217" s="44"/>
      <c r="G217" s="16" t="str">
        <f t="shared" si="16"/>
        <v/>
      </c>
      <c r="H217" s="16" t="str">
        <f t="shared" si="17"/>
        <v/>
      </c>
      <c r="J217" s="16" t="str">
        <f>IF(B217="","",SUMIF(Download!B:B,B217,Download!G:G))</f>
        <v/>
      </c>
      <c r="K217" s="16" t="str">
        <f>IF(B217="","",SUMIF(Download!B:B,B217,Download!H:H))</f>
        <v/>
      </c>
      <c r="M217" s="16" t="str">
        <f t="shared" si="18"/>
        <v/>
      </c>
      <c r="N217" s="16" t="str">
        <f t="shared" si="19"/>
        <v/>
      </c>
    </row>
    <row r="218" spans="2:14" x14ac:dyDescent="0.25">
      <c r="B218" t="str">
        <f t="shared" si="15"/>
        <v/>
      </c>
      <c r="C218" s="45"/>
      <c r="D218" s="45"/>
      <c r="E218" s="45"/>
      <c r="F218" s="44"/>
      <c r="G218" s="16" t="str">
        <f t="shared" si="16"/>
        <v/>
      </c>
      <c r="H218" s="16" t="str">
        <f t="shared" si="17"/>
        <v/>
      </c>
      <c r="J218" s="16" t="str">
        <f>IF(B218="","",SUMIF(Download!B:B,B218,Download!G:G))</f>
        <v/>
      </c>
      <c r="K218" s="16" t="str">
        <f>IF(B218="","",SUMIF(Download!B:B,B218,Download!H:H))</f>
        <v/>
      </c>
      <c r="M218" s="16" t="str">
        <f t="shared" si="18"/>
        <v/>
      </c>
      <c r="N218" s="16" t="str">
        <f t="shared" si="19"/>
        <v/>
      </c>
    </row>
    <row r="219" spans="2:14" x14ac:dyDescent="0.25">
      <c r="B219" t="str">
        <f t="shared" si="15"/>
        <v/>
      </c>
      <c r="C219" s="45"/>
      <c r="D219" s="45"/>
      <c r="E219" s="45"/>
      <c r="F219" s="44"/>
      <c r="G219" s="16" t="str">
        <f t="shared" si="16"/>
        <v/>
      </c>
      <c r="H219" s="16" t="str">
        <f t="shared" si="17"/>
        <v/>
      </c>
      <c r="J219" s="16" t="str">
        <f>IF(B219="","",SUMIF(Download!B:B,B219,Download!G:G))</f>
        <v/>
      </c>
      <c r="K219" s="16" t="str">
        <f>IF(B219="","",SUMIF(Download!B:B,B219,Download!H:H))</f>
        <v/>
      </c>
      <c r="M219" s="16" t="str">
        <f t="shared" si="18"/>
        <v/>
      </c>
      <c r="N219" s="16" t="str">
        <f t="shared" si="19"/>
        <v/>
      </c>
    </row>
    <row r="220" spans="2:14" x14ac:dyDescent="0.25">
      <c r="B220" t="str">
        <f t="shared" si="15"/>
        <v/>
      </c>
      <c r="C220" s="45"/>
      <c r="D220" s="45"/>
      <c r="E220" s="45"/>
      <c r="F220" s="44"/>
      <c r="G220" s="16" t="str">
        <f t="shared" si="16"/>
        <v/>
      </c>
      <c r="H220" s="16" t="str">
        <f t="shared" si="17"/>
        <v/>
      </c>
      <c r="J220" s="16" t="str">
        <f>IF(B220="","",SUMIF(Download!B:B,B220,Download!G:G))</f>
        <v/>
      </c>
      <c r="K220" s="16" t="str">
        <f>IF(B220="","",SUMIF(Download!B:B,B220,Download!H:H))</f>
        <v/>
      </c>
      <c r="M220" s="16" t="str">
        <f t="shared" si="18"/>
        <v/>
      </c>
      <c r="N220" s="16" t="str">
        <f t="shared" si="19"/>
        <v/>
      </c>
    </row>
    <row r="221" spans="2:14" x14ac:dyDescent="0.25">
      <c r="B221" t="str">
        <f t="shared" si="15"/>
        <v/>
      </c>
      <c r="C221" s="45"/>
      <c r="D221" s="45"/>
      <c r="E221" s="45"/>
      <c r="F221" s="44"/>
      <c r="G221" s="16" t="str">
        <f t="shared" si="16"/>
        <v/>
      </c>
      <c r="H221" s="16" t="str">
        <f t="shared" si="17"/>
        <v/>
      </c>
      <c r="J221" s="16" t="str">
        <f>IF(B221="","",SUMIF(Download!B:B,B221,Download!G:G))</f>
        <v/>
      </c>
      <c r="K221" s="16" t="str">
        <f>IF(B221="","",SUMIF(Download!B:B,B221,Download!H:H))</f>
        <v/>
      </c>
      <c r="M221" s="16" t="str">
        <f t="shared" si="18"/>
        <v/>
      </c>
      <c r="N221" s="16" t="str">
        <f t="shared" si="19"/>
        <v/>
      </c>
    </row>
    <row r="222" spans="2:14" x14ac:dyDescent="0.25">
      <c r="B222" t="str">
        <f t="shared" si="15"/>
        <v/>
      </c>
      <c r="C222" s="45"/>
      <c r="D222" s="45"/>
      <c r="E222" s="45"/>
      <c r="F222" s="44"/>
      <c r="G222" s="16" t="str">
        <f t="shared" si="16"/>
        <v/>
      </c>
      <c r="H222" s="16" t="str">
        <f t="shared" si="17"/>
        <v/>
      </c>
      <c r="J222" s="16" t="str">
        <f>IF(B222="","",SUMIF(Download!B:B,B222,Download!G:G))</f>
        <v/>
      </c>
      <c r="K222" s="16" t="str">
        <f>IF(B222="","",SUMIF(Download!B:B,B222,Download!H:H))</f>
        <v/>
      </c>
      <c r="M222" s="16" t="str">
        <f t="shared" si="18"/>
        <v/>
      </c>
      <c r="N222" s="16" t="str">
        <f t="shared" si="19"/>
        <v/>
      </c>
    </row>
    <row r="223" spans="2:14" x14ac:dyDescent="0.25">
      <c r="B223" t="str">
        <f t="shared" si="15"/>
        <v/>
      </c>
      <c r="C223" s="45"/>
      <c r="D223" s="45"/>
      <c r="E223" s="45"/>
      <c r="F223" s="44"/>
      <c r="G223" s="16" t="str">
        <f t="shared" si="16"/>
        <v/>
      </c>
      <c r="H223" s="16" t="str">
        <f t="shared" si="17"/>
        <v/>
      </c>
      <c r="J223" s="16" t="str">
        <f>IF(B223="","",SUMIF(Download!B:B,B223,Download!G:G))</f>
        <v/>
      </c>
      <c r="K223" s="16" t="str">
        <f>IF(B223="","",SUMIF(Download!B:B,B223,Download!H:H))</f>
        <v/>
      </c>
      <c r="M223" s="16" t="str">
        <f t="shared" si="18"/>
        <v/>
      </c>
      <c r="N223" s="16" t="str">
        <f t="shared" si="19"/>
        <v/>
      </c>
    </row>
    <row r="224" spans="2:14" x14ac:dyDescent="0.25">
      <c r="B224" t="str">
        <f t="shared" si="15"/>
        <v/>
      </c>
      <c r="C224" s="45"/>
      <c r="D224" s="45"/>
      <c r="E224" s="45"/>
      <c r="F224" s="44"/>
      <c r="G224" s="16" t="str">
        <f t="shared" si="16"/>
        <v/>
      </c>
      <c r="H224" s="16" t="str">
        <f t="shared" si="17"/>
        <v/>
      </c>
      <c r="J224" s="16" t="str">
        <f>IF(B224="","",SUMIF(Download!B:B,B224,Download!G:G))</f>
        <v/>
      </c>
      <c r="K224" s="16" t="str">
        <f>IF(B224="","",SUMIF(Download!B:B,B224,Download!H:H))</f>
        <v/>
      </c>
      <c r="M224" s="16" t="str">
        <f t="shared" si="18"/>
        <v/>
      </c>
      <c r="N224" s="16" t="str">
        <f t="shared" si="19"/>
        <v/>
      </c>
    </row>
    <row r="225" spans="2:14" x14ac:dyDescent="0.25">
      <c r="B225" t="str">
        <f t="shared" si="15"/>
        <v/>
      </c>
      <c r="C225" s="45"/>
      <c r="D225" s="45"/>
      <c r="E225" s="45"/>
      <c r="F225" s="44"/>
      <c r="G225" s="16" t="str">
        <f t="shared" si="16"/>
        <v/>
      </c>
      <c r="H225" s="16" t="str">
        <f t="shared" si="17"/>
        <v/>
      </c>
      <c r="J225" s="16" t="str">
        <f>IF(B225="","",SUMIF(Download!B:B,B225,Download!G:G))</f>
        <v/>
      </c>
      <c r="K225" s="16" t="str">
        <f>IF(B225="","",SUMIF(Download!B:B,B225,Download!H:H))</f>
        <v/>
      </c>
      <c r="M225" s="16" t="str">
        <f t="shared" si="18"/>
        <v/>
      </c>
      <c r="N225" s="16" t="str">
        <f t="shared" si="19"/>
        <v/>
      </c>
    </row>
    <row r="226" spans="2:14" x14ac:dyDescent="0.25">
      <c r="B226" t="str">
        <f t="shared" si="15"/>
        <v/>
      </c>
      <c r="C226" s="45"/>
      <c r="D226" s="45"/>
      <c r="E226" s="45"/>
      <c r="F226" s="44"/>
      <c r="G226" s="16" t="str">
        <f t="shared" si="16"/>
        <v/>
      </c>
      <c r="H226" s="16" t="str">
        <f t="shared" si="17"/>
        <v/>
      </c>
      <c r="J226" s="16" t="str">
        <f>IF(B226="","",SUMIF(Download!B:B,B226,Download!G:G))</f>
        <v/>
      </c>
      <c r="K226" s="16" t="str">
        <f>IF(B226="","",SUMIF(Download!B:B,B226,Download!H:H))</f>
        <v/>
      </c>
      <c r="M226" s="16" t="str">
        <f t="shared" si="18"/>
        <v/>
      </c>
      <c r="N226" s="16" t="str">
        <f t="shared" si="19"/>
        <v/>
      </c>
    </row>
    <row r="227" spans="2:14" x14ac:dyDescent="0.25">
      <c r="B227" t="str">
        <f t="shared" si="15"/>
        <v/>
      </c>
      <c r="C227" s="45"/>
      <c r="D227" s="45"/>
      <c r="E227" s="45"/>
      <c r="F227" s="44"/>
      <c r="G227" s="16" t="str">
        <f t="shared" si="16"/>
        <v/>
      </c>
      <c r="H227" s="16" t="str">
        <f t="shared" si="17"/>
        <v/>
      </c>
      <c r="J227" s="16" t="str">
        <f>IF(B227="","",SUMIF(Download!B:B,B227,Download!G:G))</f>
        <v/>
      </c>
      <c r="K227" s="16" t="str">
        <f>IF(B227="","",SUMIF(Download!B:B,B227,Download!H:H))</f>
        <v/>
      </c>
      <c r="M227" s="16" t="str">
        <f t="shared" si="18"/>
        <v/>
      </c>
      <c r="N227" s="16" t="str">
        <f t="shared" si="19"/>
        <v/>
      </c>
    </row>
    <row r="228" spans="2:14" x14ac:dyDescent="0.25">
      <c r="B228" t="str">
        <f t="shared" si="15"/>
        <v/>
      </c>
      <c r="C228" s="45"/>
      <c r="D228" s="45"/>
      <c r="E228" s="45"/>
      <c r="F228" s="44"/>
      <c r="G228" s="16" t="str">
        <f t="shared" si="16"/>
        <v/>
      </c>
      <c r="H228" s="16" t="str">
        <f t="shared" si="17"/>
        <v/>
      </c>
      <c r="J228" s="16" t="str">
        <f>IF(B228="","",SUMIF(Download!B:B,B228,Download!G:G))</f>
        <v/>
      </c>
      <c r="K228" s="16" t="str">
        <f>IF(B228="","",SUMIF(Download!B:B,B228,Download!H:H))</f>
        <v/>
      </c>
      <c r="M228" s="16" t="str">
        <f t="shared" si="18"/>
        <v/>
      </c>
      <c r="N228" s="16" t="str">
        <f t="shared" si="19"/>
        <v/>
      </c>
    </row>
    <row r="229" spans="2:14" x14ac:dyDescent="0.25">
      <c r="B229" t="str">
        <f t="shared" si="15"/>
        <v/>
      </c>
      <c r="C229" s="45"/>
      <c r="D229" s="45"/>
      <c r="E229" s="45"/>
      <c r="F229" s="44"/>
      <c r="G229" s="16" t="str">
        <f t="shared" si="16"/>
        <v/>
      </c>
      <c r="H229" s="16" t="str">
        <f t="shared" si="17"/>
        <v/>
      </c>
      <c r="J229" s="16" t="str">
        <f>IF(B229="","",SUMIF(Download!B:B,B229,Download!G:G))</f>
        <v/>
      </c>
      <c r="K229" s="16" t="str">
        <f>IF(B229="","",SUMIF(Download!B:B,B229,Download!H:H))</f>
        <v/>
      </c>
      <c r="M229" s="16" t="str">
        <f t="shared" si="18"/>
        <v/>
      </c>
      <c r="N229" s="16" t="str">
        <f t="shared" si="19"/>
        <v/>
      </c>
    </row>
    <row r="230" spans="2:14" x14ac:dyDescent="0.25">
      <c r="B230" t="str">
        <f t="shared" si="15"/>
        <v/>
      </c>
      <c r="C230" s="45"/>
      <c r="D230" s="45"/>
      <c r="E230" s="45"/>
      <c r="F230" s="44"/>
      <c r="G230" s="16" t="str">
        <f t="shared" si="16"/>
        <v/>
      </c>
      <c r="H230" s="16" t="str">
        <f t="shared" si="17"/>
        <v/>
      </c>
      <c r="J230" s="16" t="str">
        <f>IF(B230="","",SUMIF(Download!B:B,B230,Download!G:G))</f>
        <v/>
      </c>
      <c r="K230" s="16" t="str">
        <f>IF(B230="","",SUMIF(Download!B:B,B230,Download!H:H))</f>
        <v/>
      </c>
      <c r="M230" s="16" t="str">
        <f t="shared" si="18"/>
        <v/>
      </c>
      <c r="N230" s="16" t="str">
        <f t="shared" si="19"/>
        <v/>
      </c>
    </row>
    <row r="231" spans="2:14" x14ac:dyDescent="0.25">
      <c r="B231" t="str">
        <f t="shared" si="15"/>
        <v/>
      </c>
      <c r="C231" s="45"/>
      <c r="D231" s="45"/>
      <c r="E231" s="45"/>
      <c r="F231" s="44"/>
      <c r="G231" s="16" t="str">
        <f t="shared" si="16"/>
        <v/>
      </c>
      <c r="H231" s="16" t="str">
        <f t="shared" si="17"/>
        <v/>
      </c>
      <c r="J231" s="16" t="str">
        <f>IF(B231="","",SUMIF(Download!B:B,B231,Download!G:G))</f>
        <v/>
      </c>
      <c r="K231" s="16" t="str">
        <f>IF(B231="","",SUMIF(Download!B:B,B231,Download!H:H))</f>
        <v/>
      </c>
      <c r="M231" s="16" t="str">
        <f t="shared" si="18"/>
        <v/>
      </c>
      <c r="N231" s="16" t="str">
        <f t="shared" si="19"/>
        <v/>
      </c>
    </row>
    <row r="232" spans="2:14" x14ac:dyDescent="0.25">
      <c r="B232" t="str">
        <f t="shared" si="15"/>
        <v/>
      </c>
      <c r="C232" s="45"/>
      <c r="D232" s="45"/>
      <c r="E232" s="45"/>
      <c r="F232" s="44"/>
      <c r="G232" s="16" t="str">
        <f t="shared" si="16"/>
        <v/>
      </c>
      <c r="H232" s="16" t="str">
        <f t="shared" si="17"/>
        <v/>
      </c>
      <c r="J232" s="16" t="str">
        <f>IF(B232="","",SUMIF(Download!B:B,B232,Download!G:G))</f>
        <v/>
      </c>
      <c r="K232" s="16" t="str">
        <f>IF(B232="","",SUMIF(Download!B:B,B232,Download!H:H))</f>
        <v/>
      </c>
      <c r="M232" s="16" t="str">
        <f t="shared" si="18"/>
        <v/>
      </c>
      <c r="N232" s="16" t="str">
        <f t="shared" si="19"/>
        <v/>
      </c>
    </row>
    <row r="233" spans="2:14" x14ac:dyDescent="0.25">
      <c r="B233" t="str">
        <f t="shared" si="15"/>
        <v/>
      </c>
      <c r="C233" s="45"/>
      <c r="D233" s="45"/>
      <c r="E233" s="45"/>
      <c r="F233" s="44"/>
      <c r="G233" s="16" t="str">
        <f t="shared" si="16"/>
        <v/>
      </c>
      <c r="H233" s="16" t="str">
        <f t="shared" si="17"/>
        <v/>
      </c>
      <c r="J233" s="16" t="str">
        <f>IF(B233="","",SUMIF(Download!B:B,B233,Download!G:G))</f>
        <v/>
      </c>
      <c r="K233" s="16" t="str">
        <f>IF(B233="","",SUMIF(Download!B:B,B233,Download!H:H))</f>
        <v/>
      </c>
      <c r="M233" s="16" t="str">
        <f t="shared" si="18"/>
        <v/>
      </c>
      <c r="N233" s="16" t="str">
        <f t="shared" si="19"/>
        <v/>
      </c>
    </row>
    <row r="234" spans="2:14" x14ac:dyDescent="0.25">
      <c r="B234" t="str">
        <f t="shared" si="15"/>
        <v/>
      </c>
      <c r="C234" s="45"/>
      <c r="D234" s="45"/>
      <c r="E234" s="45"/>
      <c r="F234" s="44"/>
      <c r="G234" s="16" t="str">
        <f t="shared" si="16"/>
        <v/>
      </c>
      <c r="H234" s="16" t="str">
        <f t="shared" si="17"/>
        <v/>
      </c>
      <c r="J234" s="16" t="str">
        <f>IF(B234="","",SUMIF(Download!B:B,B234,Download!G:G))</f>
        <v/>
      </c>
      <c r="K234" s="16" t="str">
        <f>IF(B234="","",SUMIF(Download!B:B,B234,Download!H:H))</f>
        <v/>
      </c>
      <c r="M234" s="16" t="str">
        <f t="shared" si="18"/>
        <v/>
      </c>
      <c r="N234" s="16" t="str">
        <f t="shared" si="19"/>
        <v/>
      </c>
    </row>
    <row r="235" spans="2:14" x14ac:dyDescent="0.25">
      <c r="B235" t="str">
        <f t="shared" si="15"/>
        <v/>
      </c>
      <c r="C235" s="45"/>
      <c r="D235" s="45"/>
      <c r="E235" s="45"/>
      <c r="F235" s="44"/>
      <c r="G235" s="16" t="str">
        <f t="shared" si="16"/>
        <v/>
      </c>
      <c r="H235" s="16" t="str">
        <f t="shared" si="17"/>
        <v/>
      </c>
      <c r="J235" s="16" t="str">
        <f>IF(B235="","",SUMIF(Download!B:B,B235,Download!G:G))</f>
        <v/>
      </c>
      <c r="K235" s="16" t="str">
        <f>IF(B235="","",SUMIF(Download!B:B,B235,Download!H:H))</f>
        <v/>
      </c>
      <c r="M235" s="16" t="str">
        <f t="shared" si="18"/>
        <v/>
      </c>
      <c r="N235" s="16" t="str">
        <f t="shared" si="19"/>
        <v/>
      </c>
    </row>
    <row r="236" spans="2:14" x14ac:dyDescent="0.25">
      <c r="B236" t="str">
        <f t="shared" si="15"/>
        <v/>
      </c>
      <c r="C236" s="45"/>
      <c r="D236" s="45"/>
      <c r="E236" s="45"/>
      <c r="F236" s="44"/>
      <c r="G236" s="16" t="str">
        <f t="shared" si="16"/>
        <v/>
      </c>
      <c r="H236" s="16" t="str">
        <f t="shared" si="17"/>
        <v/>
      </c>
      <c r="J236" s="16" t="str">
        <f>IF(B236="","",SUMIF(Download!B:B,B236,Download!G:G))</f>
        <v/>
      </c>
      <c r="K236" s="16" t="str">
        <f>IF(B236="","",SUMIF(Download!B:B,B236,Download!H:H))</f>
        <v/>
      </c>
      <c r="M236" s="16" t="str">
        <f t="shared" si="18"/>
        <v/>
      </c>
      <c r="N236" s="16" t="str">
        <f t="shared" si="19"/>
        <v/>
      </c>
    </row>
    <row r="237" spans="2:14" x14ac:dyDescent="0.25">
      <c r="B237" t="str">
        <f t="shared" si="15"/>
        <v/>
      </c>
      <c r="C237" s="45"/>
      <c r="D237" s="45"/>
      <c r="E237" s="45"/>
      <c r="F237" s="44"/>
      <c r="G237" s="16" t="str">
        <f t="shared" si="16"/>
        <v/>
      </c>
      <c r="H237" s="16" t="str">
        <f t="shared" si="17"/>
        <v/>
      </c>
      <c r="J237" s="16" t="str">
        <f>IF(B237="","",SUMIF(Download!B:B,B237,Download!G:G))</f>
        <v/>
      </c>
      <c r="K237" s="16" t="str">
        <f>IF(B237="","",SUMIF(Download!B:B,B237,Download!H:H))</f>
        <v/>
      </c>
      <c r="M237" s="16" t="str">
        <f t="shared" si="18"/>
        <v/>
      </c>
      <c r="N237" s="16" t="str">
        <f t="shared" si="19"/>
        <v/>
      </c>
    </row>
    <row r="238" spans="2:14" x14ac:dyDescent="0.25">
      <c r="B238" t="str">
        <f t="shared" si="15"/>
        <v/>
      </c>
      <c r="C238" s="45"/>
      <c r="D238" s="45"/>
      <c r="E238" s="45"/>
      <c r="F238" s="44"/>
      <c r="G238" s="16" t="str">
        <f t="shared" si="16"/>
        <v/>
      </c>
      <c r="H238" s="16" t="str">
        <f t="shared" si="17"/>
        <v/>
      </c>
      <c r="J238" s="16" t="str">
        <f>IF(B238="","",SUMIF(Download!B:B,B238,Download!G:G))</f>
        <v/>
      </c>
      <c r="K238" s="16" t="str">
        <f>IF(B238="","",SUMIF(Download!B:B,B238,Download!H:H))</f>
        <v/>
      </c>
      <c r="M238" s="16" t="str">
        <f t="shared" si="18"/>
        <v/>
      </c>
      <c r="N238" s="16" t="str">
        <f t="shared" si="19"/>
        <v/>
      </c>
    </row>
    <row r="239" spans="2:14" x14ac:dyDescent="0.25">
      <c r="B239" t="str">
        <f t="shared" si="15"/>
        <v/>
      </c>
      <c r="C239" s="45"/>
      <c r="D239" s="45"/>
      <c r="E239" s="45"/>
      <c r="F239" s="44"/>
      <c r="G239" s="16" t="str">
        <f t="shared" si="16"/>
        <v/>
      </c>
      <c r="H239" s="16" t="str">
        <f t="shared" si="17"/>
        <v/>
      </c>
      <c r="J239" s="16" t="str">
        <f>IF(B239="","",SUMIF(Download!B:B,B239,Download!G:G))</f>
        <v/>
      </c>
      <c r="K239" s="16" t="str">
        <f>IF(B239="","",SUMIF(Download!B:B,B239,Download!H:H))</f>
        <v/>
      </c>
      <c r="M239" s="16" t="str">
        <f t="shared" si="18"/>
        <v/>
      </c>
      <c r="N239" s="16" t="str">
        <f t="shared" si="19"/>
        <v/>
      </c>
    </row>
    <row r="240" spans="2:14" x14ac:dyDescent="0.25">
      <c r="B240" t="str">
        <f t="shared" si="15"/>
        <v/>
      </c>
      <c r="C240" s="45"/>
      <c r="D240" s="45"/>
      <c r="E240" s="45"/>
      <c r="F240" s="44"/>
      <c r="G240" s="16" t="str">
        <f t="shared" si="16"/>
        <v/>
      </c>
      <c r="H240" s="16" t="str">
        <f t="shared" si="17"/>
        <v/>
      </c>
      <c r="J240" s="16" t="str">
        <f>IF(B240="","",SUMIF(Download!B:B,B240,Download!G:G))</f>
        <v/>
      </c>
      <c r="K240" s="16" t="str">
        <f>IF(B240="","",SUMIF(Download!B:B,B240,Download!H:H))</f>
        <v/>
      </c>
      <c r="M240" s="16" t="str">
        <f t="shared" si="18"/>
        <v/>
      </c>
      <c r="N240" s="16" t="str">
        <f t="shared" si="19"/>
        <v/>
      </c>
    </row>
    <row r="241" spans="2:14" x14ac:dyDescent="0.25">
      <c r="B241" t="str">
        <f t="shared" si="15"/>
        <v/>
      </c>
      <c r="C241" s="45"/>
      <c r="D241" s="45"/>
      <c r="E241" s="45"/>
      <c r="F241" s="44"/>
      <c r="G241" s="16" t="str">
        <f t="shared" si="16"/>
        <v/>
      </c>
      <c r="H241" s="16" t="str">
        <f t="shared" si="17"/>
        <v/>
      </c>
      <c r="J241" s="16" t="str">
        <f>IF(B241="","",SUMIF(Download!B:B,B241,Download!G:G))</f>
        <v/>
      </c>
      <c r="K241" s="16" t="str">
        <f>IF(B241="","",SUMIF(Download!B:B,B241,Download!H:H))</f>
        <v/>
      </c>
      <c r="M241" s="16" t="str">
        <f t="shared" si="18"/>
        <v/>
      </c>
      <c r="N241" s="16" t="str">
        <f t="shared" si="19"/>
        <v/>
      </c>
    </row>
    <row r="242" spans="2:14" x14ac:dyDescent="0.25">
      <c r="B242" t="str">
        <f t="shared" si="15"/>
        <v/>
      </c>
      <c r="C242" s="45"/>
      <c r="D242" s="45"/>
      <c r="E242" s="45"/>
      <c r="F242" s="44"/>
      <c r="G242" s="16" t="str">
        <f t="shared" si="16"/>
        <v/>
      </c>
      <c r="H242" s="16" t="str">
        <f t="shared" si="17"/>
        <v/>
      </c>
      <c r="J242" s="16" t="str">
        <f>IF(B242="","",SUMIF(Download!B:B,B242,Download!G:G))</f>
        <v/>
      </c>
      <c r="K242" s="16" t="str">
        <f>IF(B242="","",SUMIF(Download!B:B,B242,Download!H:H))</f>
        <v/>
      </c>
      <c r="M242" s="16" t="str">
        <f t="shared" si="18"/>
        <v/>
      </c>
      <c r="N242" s="16" t="str">
        <f t="shared" si="19"/>
        <v/>
      </c>
    </row>
    <row r="243" spans="2:14" x14ac:dyDescent="0.25">
      <c r="B243" t="str">
        <f t="shared" si="15"/>
        <v/>
      </c>
      <c r="C243" s="45"/>
      <c r="D243" s="45"/>
      <c r="E243" s="45"/>
      <c r="F243" s="44"/>
      <c r="G243" s="16" t="str">
        <f t="shared" si="16"/>
        <v/>
      </c>
      <c r="H243" s="16" t="str">
        <f t="shared" si="17"/>
        <v/>
      </c>
      <c r="J243" s="16" t="str">
        <f>IF(B243="","",SUMIF(Download!B:B,B243,Download!G:G))</f>
        <v/>
      </c>
      <c r="K243" s="16" t="str">
        <f>IF(B243="","",SUMIF(Download!B:B,B243,Download!H:H))</f>
        <v/>
      </c>
      <c r="M243" s="16" t="str">
        <f t="shared" si="18"/>
        <v/>
      </c>
      <c r="N243" s="16" t="str">
        <f t="shared" si="19"/>
        <v/>
      </c>
    </row>
    <row r="244" spans="2:14" x14ac:dyDescent="0.25">
      <c r="B244" t="str">
        <f t="shared" si="15"/>
        <v/>
      </c>
      <c r="C244" s="45"/>
      <c r="D244" s="45"/>
      <c r="E244" s="45"/>
      <c r="F244" s="44"/>
      <c r="G244" s="16" t="str">
        <f t="shared" si="16"/>
        <v/>
      </c>
      <c r="H244" s="16" t="str">
        <f t="shared" si="17"/>
        <v/>
      </c>
      <c r="J244" s="16" t="str">
        <f>IF(B244="","",SUMIF(Download!B:B,B244,Download!G:G))</f>
        <v/>
      </c>
      <c r="K244" s="16" t="str">
        <f>IF(B244="","",SUMIF(Download!B:B,B244,Download!H:H))</f>
        <v/>
      </c>
      <c r="M244" s="16" t="str">
        <f t="shared" si="18"/>
        <v/>
      </c>
      <c r="N244" s="16" t="str">
        <f t="shared" si="19"/>
        <v/>
      </c>
    </row>
    <row r="245" spans="2:14" x14ac:dyDescent="0.25">
      <c r="B245" t="str">
        <f t="shared" si="15"/>
        <v/>
      </c>
      <c r="C245" s="45"/>
      <c r="D245" s="45"/>
      <c r="E245" s="45"/>
      <c r="F245" s="44"/>
      <c r="G245" s="16" t="str">
        <f t="shared" si="16"/>
        <v/>
      </c>
      <c r="H245" s="16" t="str">
        <f t="shared" si="17"/>
        <v/>
      </c>
      <c r="J245" s="16" t="str">
        <f>IF(B245="","",SUMIF(Download!B:B,B245,Download!G:G))</f>
        <v/>
      </c>
      <c r="K245" s="16" t="str">
        <f>IF(B245="","",SUMIF(Download!B:B,B245,Download!H:H))</f>
        <v/>
      </c>
      <c r="M245" s="16" t="str">
        <f t="shared" si="18"/>
        <v/>
      </c>
      <c r="N245" s="16" t="str">
        <f t="shared" si="19"/>
        <v/>
      </c>
    </row>
    <row r="246" spans="2:14" x14ac:dyDescent="0.25">
      <c r="B246" t="str">
        <f t="shared" si="15"/>
        <v/>
      </c>
      <c r="C246" s="45"/>
      <c r="D246" s="45"/>
      <c r="E246" s="45"/>
      <c r="F246" s="44"/>
      <c r="G246" s="16" t="str">
        <f t="shared" si="16"/>
        <v/>
      </c>
      <c r="H246" s="16" t="str">
        <f t="shared" si="17"/>
        <v/>
      </c>
      <c r="J246" s="16" t="str">
        <f>IF(B246="","",SUMIF(Download!B:B,B246,Download!G:G))</f>
        <v/>
      </c>
      <c r="K246" s="16" t="str">
        <f>IF(B246="","",SUMIF(Download!B:B,B246,Download!H:H))</f>
        <v/>
      </c>
      <c r="M246" s="16" t="str">
        <f t="shared" si="18"/>
        <v/>
      </c>
      <c r="N246" s="16" t="str">
        <f t="shared" si="19"/>
        <v/>
      </c>
    </row>
    <row r="247" spans="2:14" x14ac:dyDescent="0.25">
      <c r="B247" t="str">
        <f t="shared" si="15"/>
        <v/>
      </c>
      <c r="C247" s="45"/>
      <c r="D247" s="45"/>
      <c r="E247" s="45"/>
      <c r="F247" s="44"/>
      <c r="G247" s="16" t="str">
        <f t="shared" si="16"/>
        <v/>
      </c>
      <c r="H247" s="16" t="str">
        <f t="shared" si="17"/>
        <v/>
      </c>
      <c r="J247" s="16" t="str">
        <f>IF(B247="","",SUMIF(Download!B:B,B247,Download!G:G))</f>
        <v/>
      </c>
      <c r="K247" s="16" t="str">
        <f>IF(B247="","",SUMIF(Download!B:B,B247,Download!H:H))</f>
        <v/>
      </c>
      <c r="M247" s="16" t="str">
        <f t="shared" si="18"/>
        <v/>
      </c>
      <c r="N247" s="16" t="str">
        <f t="shared" si="19"/>
        <v/>
      </c>
    </row>
    <row r="248" spans="2:14" x14ac:dyDescent="0.25">
      <c r="B248" t="str">
        <f t="shared" si="15"/>
        <v/>
      </c>
      <c r="C248" s="45"/>
      <c r="D248" s="45"/>
      <c r="E248" s="45"/>
      <c r="F248" s="44"/>
      <c r="G248" s="16" t="str">
        <f t="shared" si="16"/>
        <v/>
      </c>
      <c r="H248" s="16" t="str">
        <f t="shared" si="17"/>
        <v/>
      </c>
      <c r="J248" s="16" t="str">
        <f>IF(B248="","",SUMIF(Download!B:B,B248,Download!G:G))</f>
        <v/>
      </c>
      <c r="K248" s="16" t="str">
        <f>IF(B248="","",SUMIF(Download!B:B,B248,Download!H:H))</f>
        <v/>
      </c>
      <c r="M248" s="16" t="str">
        <f t="shared" si="18"/>
        <v/>
      </c>
      <c r="N248" s="16" t="str">
        <f t="shared" si="19"/>
        <v/>
      </c>
    </row>
    <row r="249" spans="2:14" x14ac:dyDescent="0.25">
      <c r="B249" t="str">
        <f t="shared" si="15"/>
        <v/>
      </c>
      <c r="C249" s="45"/>
      <c r="D249" s="45"/>
      <c r="E249" s="45"/>
      <c r="F249" s="44"/>
      <c r="G249" s="16" t="str">
        <f t="shared" si="16"/>
        <v/>
      </c>
      <c r="H249" s="16" t="str">
        <f t="shared" si="17"/>
        <v/>
      </c>
      <c r="J249" s="16" t="str">
        <f>IF(B249="","",SUMIF(Download!B:B,B249,Download!G:G))</f>
        <v/>
      </c>
      <c r="K249" s="16" t="str">
        <f>IF(B249="","",SUMIF(Download!B:B,B249,Download!H:H))</f>
        <v/>
      </c>
      <c r="M249" s="16" t="str">
        <f t="shared" si="18"/>
        <v/>
      </c>
      <c r="N249" s="16" t="str">
        <f t="shared" si="19"/>
        <v/>
      </c>
    </row>
    <row r="250" spans="2:14" x14ac:dyDescent="0.25">
      <c r="B250" t="str">
        <f t="shared" si="15"/>
        <v/>
      </c>
      <c r="C250" s="45"/>
      <c r="D250" s="45"/>
      <c r="E250" s="45"/>
      <c r="F250" s="44"/>
      <c r="G250" s="16" t="str">
        <f t="shared" si="16"/>
        <v/>
      </c>
      <c r="H250" s="16" t="str">
        <f t="shared" si="17"/>
        <v/>
      </c>
      <c r="J250" s="16" t="str">
        <f>IF(B250="","",SUMIF(Download!B:B,B250,Download!G:G))</f>
        <v/>
      </c>
      <c r="K250" s="16" t="str">
        <f>IF(B250="","",SUMIF(Download!B:B,B250,Download!H:H))</f>
        <v/>
      </c>
      <c r="M250" s="16" t="str">
        <f t="shared" si="18"/>
        <v/>
      </c>
      <c r="N250" s="16" t="str">
        <f t="shared" si="19"/>
        <v/>
      </c>
    </row>
    <row r="251" spans="2:14" x14ac:dyDescent="0.25">
      <c r="B251" t="str">
        <f t="shared" si="15"/>
        <v/>
      </c>
      <c r="C251" s="45"/>
      <c r="D251" s="45"/>
      <c r="E251" s="45"/>
      <c r="F251" s="44"/>
      <c r="G251" s="16" t="str">
        <f t="shared" si="16"/>
        <v/>
      </c>
      <c r="H251" s="16" t="str">
        <f t="shared" si="17"/>
        <v/>
      </c>
      <c r="J251" s="16" t="str">
        <f>IF(B251="","",SUMIF(Download!B:B,B251,Download!G:G))</f>
        <v/>
      </c>
      <c r="K251" s="16" t="str">
        <f>IF(B251="","",SUMIF(Download!B:B,B251,Download!H:H))</f>
        <v/>
      </c>
      <c r="M251" s="16" t="str">
        <f t="shared" si="18"/>
        <v/>
      </c>
      <c r="N251" s="16" t="str">
        <f t="shared" si="19"/>
        <v/>
      </c>
    </row>
    <row r="252" spans="2:14" x14ac:dyDescent="0.25">
      <c r="B252" t="str">
        <f t="shared" si="15"/>
        <v/>
      </c>
      <c r="C252" s="45"/>
      <c r="D252" s="45"/>
      <c r="E252" s="45"/>
      <c r="F252" s="44"/>
      <c r="G252" s="16" t="str">
        <f t="shared" si="16"/>
        <v/>
      </c>
      <c r="H252" s="16" t="str">
        <f t="shared" si="17"/>
        <v/>
      </c>
      <c r="J252" s="16" t="str">
        <f>IF(B252="","",SUMIF(Download!B:B,B252,Download!G:G))</f>
        <v/>
      </c>
      <c r="K252" s="16" t="str">
        <f>IF(B252="","",SUMIF(Download!B:B,B252,Download!H:H))</f>
        <v/>
      </c>
      <c r="M252" s="16" t="str">
        <f t="shared" si="18"/>
        <v/>
      </c>
      <c r="N252" s="16" t="str">
        <f t="shared" si="19"/>
        <v/>
      </c>
    </row>
    <row r="253" spans="2:14" x14ac:dyDescent="0.25">
      <c r="B253" t="str">
        <f t="shared" si="15"/>
        <v/>
      </c>
      <c r="C253" s="45"/>
      <c r="D253" s="45"/>
      <c r="E253" s="45"/>
      <c r="F253" s="44"/>
      <c r="G253" s="16" t="str">
        <f t="shared" si="16"/>
        <v/>
      </c>
      <c r="H253" s="16" t="str">
        <f t="shared" si="17"/>
        <v/>
      </c>
      <c r="J253" s="16" t="str">
        <f>IF(B253="","",SUMIF(Download!B:B,B253,Download!G:G))</f>
        <v/>
      </c>
      <c r="K253" s="16" t="str">
        <f>IF(B253="","",SUMIF(Download!B:B,B253,Download!H:H))</f>
        <v/>
      </c>
      <c r="M253" s="16" t="str">
        <f t="shared" si="18"/>
        <v/>
      </c>
      <c r="N253" s="16" t="str">
        <f t="shared" si="19"/>
        <v/>
      </c>
    </row>
    <row r="254" spans="2:14" x14ac:dyDescent="0.25">
      <c r="B254" t="str">
        <f t="shared" si="15"/>
        <v/>
      </c>
      <c r="C254" s="45"/>
      <c r="D254" s="45"/>
      <c r="E254" s="45"/>
      <c r="F254" s="44"/>
      <c r="G254" s="16" t="str">
        <f t="shared" si="16"/>
        <v/>
      </c>
      <c r="H254" s="16" t="str">
        <f t="shared" si="17"/>
        <v/>
      </c>
      <c r="J254" s="16" t="str">
        <f>IF(B254="","",SUMIF(Download!B:B,B254,Download!G:G))</f>
        <v/>
      </c>
      <c r="K254" s="16" t="str">
        <f>IF(B254="","",SUMIF(Download!B:B,B254,Download!H:H))</f>
        <v/>
      </c>
      <c r="M254" s="16" t="str">
        <f t="shared" si="18"/>
        <v/>
      </c>
      <c r="N254" s="16" t="str">
        <f t="shared" si="19"/>
        <v/>
      </c>
    </row>
    <row r="255" spans="2:14" x14ac:dyDescent="0.25">
      <c r="B255" t="str">
        <f t="shared" si="15"/>
        <v/>
      </c>
      <c r="C255" s="45"/>
      <c r="D255" s="45"/>
      <c r="E255" s="45"/>
      <c r="F255" s="44"/>
      <c r="G255" s="16" t="str">
        <f t="shared" si="16"/>
        <v/>
      </c>
      <c r="H255" s="16" t="str">
        <f t="shared" si="17"/>
        <v/>
      </c>
      <c r="J255" s="16" t="str">
        <f>IF(B255="","",SUMIF(Download!B:B,B255,Download!G:G))</f>
        <v/>
      </c>
      <c r="K255" s="16" t="str">
        <f>IF(B255="","",SUMIF(Download!B:B,B255,Download!H:H))</f>
        <v/>
      </c>
      <c r="M255" s="16" t="str">
        <f t="shared" si="18"/>
        <v/>
      </c>
      <c r="N255" s="16" t="str">
        <f t="shared" si="19"/>
        <v/>
      </c>
    </row>
    <row r="256" spans="2:14" x14ac:dyDescent="0.25">
      <c r="B256" t="str">
        <f t="shared" si="15"/>
        <v/>
      </c>
      <c r="C256" s="45"/>
      <c r="D256" s="45"/>
      <c r="E256" s="45"/>
      <c r="F256" s="44"/>
      <c r="G256" s="16" t="str">
        <f t="shared" si="16"/>
        <v/>
      </c>
      <c r="H256" s="16" t="str">
        <f t="shared" si="17"/>
        <v/>
      </c>
      <c r="J256" s="16" t="str">
        <f>IF(B256="","",SUMIF(Download!B:B,B256,Download!G:G))</f>
        <v/>
      </c>
      <c r="K256" s="16" t="str">
        <f>IF(B256="","",SUMIF(Download!B:B,B256,Download!H:H))</f>
        <v/>
      </c>
      <c r="M256" s="16" t="str">
        <f t="shared" si="18"/>
        <v/>
      </c>
      <c r="N256" s="16" t="str">
        <f t="shared" si="19"/>
        <v/>
      </c>
    </row>
    <row r="257" spans="2:14" x14ac:dyDescent="0.25">
      <c r="B257" t="str">
        <f t="shared" si="15"/>
        <v/>
      </c>
      <c r="C257" s="45"/>
      <c r="D257" s="45"/>
      <c r="E257" s="45"/>
      <c r="F257" s="44"/>
      <c r="G257" s="16" t="str">
        <f t="shared" si="16"/>
        <v/>
      </c>
      <c r="H257" s="16" t="str">
        <f t="shared" si="17"/>
        <v/>
      </c>
      <c r="J257" s="16" t="str">
        <f>IF(B257="","",SUMIF(Download!B:B,B257,Download!G:G))</f>
        <v/>
      </c>
      <c r="K257" s="16" t="str">
        <f>IF(B257="","",SUMIF(Download!B:B,B257,Download!H:H))</f>
        <v/>
      </c>
      <c r="M257" s="16" t="str">
        <f t="shared" si="18"/>
        <v/>
      </c>
      <c r="N257" s="16" t="str">
        <f t="shared" si="19"/>
        <v/>
      </c>
    </row>
    <row r="258" spans="2:14" x14ac:dyDescent="0.25">
      <c r="B258" t="str">
        <f t="shared" ref="B258:B272" si="20">IF(C258="","",A258&amp;C258)</f>
        <v/>
      </c>
      <c r="C258" s="45"/>
      <c r="D258" s="45"/>
      <c r="E258" s="45"/>
      <c r="F258" s="44"/>
      <c r="G258" s="16" t="str">
        <f t="shared" ref="G258:G272" si="21">IFERROR(VALUE(LEFT(D258,LEN(D258)-7)),"")</f>
        <v/>
      </c>
      <c r="H258" s="16" t="str">
        <f t="shared" ref="H258:H272" si="22">IFERROR(VALUE(RIGHT(E258,LEN(E258)-4)),"")</f>
        <v/>
      </c>
      <c r="J258" s="16" t="str">
        <f>IF(B258="","",SUMIF(Download!B:B,B258,Download!G:G))</f>
        <v/>
      </c>
      <c r="K258" s="16" t="str">
        <f>IF(B258="","",SUMIF(Download!B:B,B258,Download!H:H))</f>
        <v/>
      </c>
      <c r="M258" s="16" t="str">
        <f t="shared" ref="M258:M272" si="23">IF(B258="","",G258-J258)</f>
        <v/>
      </c>
      <c r="N258" s="16" t="str">
        <f t="shared" ref="N258:N272" si="24">IF(B258="","",H258-K258)</f>
        <v/>
      </c>
    </row>
    <row r="259" spans="2:14" x14ac:dyDescent="0.25">
      <c r="B259" t="str">
        <f t="shared" si="20"/>
        <v/>
      </c>
      <c r="C259" s="45"/>
      <c r="D259" s="45"/>
      <c r="E259" s="45"/>
      <c r="F259" s="44"/>
      <c r="G259" s="16" t="str">
        <f t="shared" si="21"/>
        <v/>
      </c>
      <c r="H259" s="16" t="str">
        <f t="shared" si="22"/>
        <v/>
      </c>
      <c r="J259" s="16" t="str">
        <f>IF(B259="","",SUMIF(Download!B:B,B259,Download!G:G))</f>
        <v/>
      </c>
      <c r="K259" s="16" t="str">
        <f>IF(B259="","",SUMIF(Download!B:B,B259,Download!H:H))</f>
        <v/>
      </c>
      <c r="M259" s="16" t="str">
        <f t="shared" si="23"/>
        <v/>
      </c>
      <c r="N259" s="16" t="str">
        <f t="shared" si="24"/>
        <v/>
      </c>
    </row>
    <row r="260" spans="2:14" x14ac:dyDescent="0.25">
      <c r="B260" t="str">
        <f t="shared" si="20"/>
        <v/>
      </c>
      <c r="C260" s="45"/>
      <c r="D260" s="45"/>
      <c r="E260" s="45"/>
      <c r="F260" s="44"/>
      <c r="G260" s="16" t="str">
        <f t="shared" si="21"/>
        <v/>
      </c>
      <c r="H260" s="16" t="str">
        <f t="shared" si="22"/>
        <v/>
      </c>
      <c r="J260" s="16" t="str">
        <f>IF(B260="","",SUMIF(Download!B:B,B260,Download!G:G))</f>
        <v/>
      </c>
      <c r="K260" s="16" t="str">
        <f>IF(B260="","",SUMIF(Download!B:B,B260,Download!H:H))</f>
        <v/>
      </c>
      <c r="M260" s="16" t="str">
        <f t="shared" si="23"/>
        <v/>
      </c>
      <c r="N260" s="16" t="str">
        <f t="shared" si="24"/>
        <v/>
      </c>
    </row>
    <row r="261" spans="2:14" x14ac:dyDescent="0.25">
      <c r="B261" t="str">
        <f t="shared" si="20"/>
        <v/>
      </c>
      <c r="C261" s="45"/>
      <c r="D261" s="45"/>
      <c r="E261" s="45"/>
      <c r="F261" s="44"/>
      <c r="G261" s="16" t="str">
        <f t="shared" si="21"/>
        <v/>
      </c>
      <c r="H261" s="16" t="str">
        <f t="shared" si="22"/>
        <v/>
      </c>
      <c r="J261" s="16" t="str">
        <f>IF(B261="","",SUMIF(Download!B:B,B261,Download!G:G))</f>
        <v/>
      </c>
      <c r="K261" s="16" t="str">
        <f>IF(B261="","",SUMIF(Download!B:B,B261,Download!H:H))</f>
        <v/>
      </c>
      <c r="M261" s="16" t="str">
        <f t="shared" si="23"/>
        <v/>
      </c>
      <c r="N261" s="16" t="str">
        <f t="shared" si="24"/>
        <v/>
      </c>
    </row>
    <row r="262" spans="2:14" x14ac:dyDescent="0.25">
      <c r="B262" t="str">
        <f t="shared" si="20"/>
        <v/>
      </c>
      <c r="C262" s="45"/>
      <c r="D262" s="45"/>
      <c r="E262" s="45"/>
      <c r="F262" s="44"/>
      <c r="G262" s="16" t="str">
        <f t="shared" si="21"/>
        <v/>
      </c>
      <c r="H262" s="16" t="str">
        <f t="shared" si="22"/>
        <v/>
      </c>
      <c r="J262" s="16" t="str">
        <f>IF(B262="","",SUMIF(Download!B:B,B262,Download!G:G))</f>
        <v/>
      </c>
      <c r="K262" s="16" t="str">
        <f>IF(B262="","",SUMIF(Download!B:B,B262,Download!H:H))</f>
        <v/>
      </c>
      <c r="M262" s="16" t="str">
        <f t="shared" si="23"/>
        <v/>
      </c>
      <c r="N262" s="16" t="str">
        <f t="shared" si="24"/>
        <v/>
      </c>
    </row>
    <row r="263" spans="2:14" x14ac:dyDescent="0.25">
      <c r="B263" t="str">
        <f t="shared" si="20"/>
        <v/>
      </c>
      <c r="C263" s="45"/>
      <c r="D263" s="45"/>
      <c r="E263" s="45"/>
      <c r="F263" s="44"/>
      <c r="G263" s="16" t="str">
        <f t="shared" si="21"/>
        <v/>
      </c>
      <c r="H263" s="16" t="str">
        <f t="shared" si="22"/>
        <v/>
      </c>
      <c r="J263" s="16" t="str">
        <f>IF(B263="","",SUMIF(Download!B:B,B263,Download!G:G))</f>
        <v/>
      </c>
      <c r="K263" s="16" t="str">
        <f>IF(B263="","",SUMIF(Download!B:B,B263,Download!H:H))</f>
        <v/>
      </c>
      <c r="M263" s="16" t="str">
        <f t="shared" si="23"/>
        <v/>
      </c>
      <c r="N263" s="16" t="str">
        <f t="shared" si="24"/>
        <v/>
      </c>
    </row>
    <row r="264" spans="2:14" x14ac:dyDescent="0.25">
      <c r="B264" t="str">
        <f t="shared" si="20"/>
        <v/>
      </c>
      <c r="C264" s="45"/>
      <c r="D264" s="45"/>
      <c r="E264" s="45"/>
      <c r="F264" s="44"/>
      <c r="G264" s="16" t="str">
        <f t="shared" si="21"/>
        <v/>
      </c>
      <c r="H264" s="16" t="str">
        <f t="shared" si="22"/>
        <v/>
      </c>
      <c r="J264" s="16" t="str">
        <f>IF(B264="","",SUMIF(Download!B:B,B264,Download!G:G))</f>
        <v/>
      </c>
      <c r="K264" s="16" t="str">
        <f>IF(B264="","",SUMIF(Download!B:B,B264,Download!H:H))</f>
        <v/>
      </c>
      <c r="M264" s="16" t="str">
        <f t="shared" si="23"/>
        <v/>
      </c>
      <c r="N264" s="16" t="str">
        <f t="shared" si="24"/>
        <v/>
      </c>
    </row>
    <row r="265" spans="2:14" x14ac:dyDescent="0.25">
      <c r="B265" t="str">
        <f t="shared" si="20"/>
        <v/>
      </c>
      <c r="C265" s="45"/>
      <c r="D265" s="45"/>
      <c r="E265" s="45"/>
      <c r="F265" s="44"/>
      <c r="G265" s="16" t="str">
        <f t="shared" si="21"/>
        <v/>
      </c>
      <c r="H265" s="16" t="str">
        <f t="shared" si="22"/>
        <v/>
      </c>
      <c r="J265" s="16" t="str">
        <f>IF(B265="","",SUMIF(Download!B:B,B265,Download!G:G))</f>
        <v/>
      </c>
      <c r="K265" s="16" t="str">
        <f>IF(B265="","",SUMIF(Download!B:B,B265,Download!H:H))</f>
        <v/>
      </c>
      <c r="M265" s="16" t="str">
        <f t="shared" si="23"/>
        <v/>
      </c>
      <c r="N265" s="16" t="str">
        <f t="shared" si="24"/>
        <v/>
      </c>
    </row>
    <row r="266" spans="2:14" x14ac:dyDescent="0.25">
      <c r="B266" t="str">
        <f t="shared" si="20"/>
        <v/>
      </c>
      <c r="C266" s="45"/>
      <c r="D266" s="45"/>
      <c r="E266" s="45"/>
      <c r="F266" s="44"/>
      <c r="G266" s="16" t="str">
        <f t="shared" si="21"/>
        <v/>
      </c>
      <c r="H266" s="16" t="str">
        <f t="shared" si="22"/>
        <v/>
      </c>
      <c r="J266" s="16" t="str">
        <f>IF(B266="","",SUMIF(Download!B:B,B266,Download!G:G))</f>
        <v/>
      </c>
      <c r="K266" s="16" t="str">
        <f>IF(B266="","",SUMIF(Download!B:B,B266,Download!H:H))</f>
        <v/>
      </c>
      <c r="M266" s="16" t="str">
        <f t="shared" si="23"/>
        <v/>
      </c>
      <c r="N266" s="16" t="str">
        <f t="shared" si="24"/>
        <v/>
      </c>
    </row>
    <row r="267" spans="2:14" x14ac:dyDescent="0.25">
      <c r="B267" t="str">
        <f t="shared" si="20"/>
        <v/>
      </c>
      <c r="C267" s="45"/>
      <c r="D267" s="45"/>
      <c r="E267" s="45"/>
      <c r="F267" s="44"/>
      <c r="G267" s="16" t="str">
        <f t="shared" si="21"/>
        <v/>
      </c>
      <c r="H267" s="16" t="str">
        <f t="shared" si="22"/>
        <v/>
      </c>
      <c r="J267" s="16" t="str">
        <f>IF(B267="","",SUMIF(Download!B:B,B267,Download!G:G))</f>
        <v/>
      </c>
      <c r="K267" s="16" t="str">
        <f>IF(B267="","",SUMIF(Download!B:B,B267,Download!H:H))</f>
        <v/>
      </c>
      <c r="M267" s="16" t="str">
        <f t="shared" si="23"/>
        <v/>
      </c>
      <c r="N267" s="16" t="str">
        <f t="shared" si="24"/>
        <v/>
      </c>
    </row>
    <row r="268" spans="2:14" x14ac:dyDescent="0.25">
      <c r="B268" t="str">
        <f t="shared" si="20"/>
        <v/>
      </c>
      <c r="C268" s="45"/>
      <c r="D268" s="45"/>
      <c r="E268" s="45"/>
      <c r="F268" s="44"/>
      <c r="G268" s="16" t="str">
        <f t="shared" si="21"/>
        <v/>
      </c>
      <c r="H268" s="16" t="str">
        <f t="shared" si="22"/>
        <v/>
      </c>
      <c r="J268" s="16" t="str">
        <f>IF(B268="","",SUMIF(Download!B:B,B268,Download!G:G))</f>
        <v/>
      </c>
      <c r="K268" s="16" t="str">
        <f>IF(B268="","",SUMIF(Download!B:B,B268,Download!H:H))</f>
        <v/>
      </c>
      <c r="M268" s="16" t="str">
        <f t="shared" si="23"/>
        <v/>
      </c>
      <c r="N268" s="16" t="str">
        <f t="shared" si="24"/>
        <v/>
      </c>
    </row>
    <row r="269" spans="2:14" x14ac:dyDescent="0.25">
      <c r="B269" t="str">
        <f t="shared" si="20"/>
        <v/>
      </c>
      <c r="C269" s="45"/>
      <c r="D269" s="45"/>
      <c r="E269" s="45"/>
      <c r="F269" s="44"/>
      <c r="G269" s="16" t="str">
        <f t="shared" si="21"/>
        <v/>
      </c>
      <c r="H269" s="16" t="str">
        <f t="shared" si="22"/>
        <v/>
      </c>
      <c r="J269" s="16" t="str">
        <f>IF(B269="","",SUMIF(Download!B:B,B269,Download!G:G))</f>
        <v/>
      </c>
      <c r="K269" s="16" t="str">
        <f>IF(B269="","",SUMIF(Download!B:B,B269,Download!H:H))</f>
        <v/>
      </c>
      <c r="M269" s="16" t="str">
        <f t="shared" si="23"/>
        <v/>
      </c>
      <c r="N269" s="16" t="str">
        <f t="shared" si="24"/>
        <v/>
      </c>
    </row>
    <row r="270" spans="2:14" x14ac:dyDescent="0.25">
      <c r="B270" t="str">
        <f t="shared" si="20"/>
        <v/>
      </c>
      <c r="C270" s="45"/>
      <c r="D270" s="45"/>
      <c r="E270" s="45"/>
      <c r="F270" s="44"/>
      <c r="G270" s="16" t="str">
        <f t="shared" si="21"/>
        <v/>
      </c>
      <c r="H270" s="16" t="str">
        <f t="shared" si="22"/>
        <v/>
      </c>
      <c r="J270" s="16" t="str">
        <f>IF(B270="","",SUMIF(Download!B:B,B270,Download!G:G))</f>
        <v/>
      </c>
      <c r="K270" s="16" t="str">
        <f>IF(B270="","",SUMIF(Download!B:B,B270,Download!H:H))</f>
        <v/>
      </c>
      <c r="M270" s="16" t="str">
        <f t="shared" si="23"/>
        <v/>
      </c>
      <c r="N270" s="16" t="str">
        <f t="shared" si="24"/>
        <v/>
      </c>
    </row>
    <row r="271" spans="2:14" x14ac:dyDescent="0.25">
      <c r="B271" t="str">
        <f t="shared" si="20"/>
        <v/>
      </c>
      <c r="C271" s="45"/>
      <c r="D271" s="45"/>
      <c r="E271" s="45"/>
      <c r="F271" s="44"/>
      <c r="G271" s="16" t="str">
        <f t="shared" si="21"/>
        <v/>
      </c>
      <c r="H271" s="16" t="str">
        <f t="shared" si="22"/>
        <v/>
      </c>
      <c r="J271" s="16" t="str">
        <f>IF(B271="","",SUMIF(Download!B:B,B271,Download!G:G))</f>
        <v/>
      </c>
      <c r="K271" s="16" t="str">
        <f>IF(B271="","",SUMIF(Download!B:B,B271,Download!H:H))</f>
        <v/>
      </c>
      <c r="M271" s="16" t="str">
        <f t="shared" si="23"/>
        <v/>
      </c>
      <c r="N271" s="16" t="str">
        <f t="shared" si="24"/>
        <v/>
      </c>
    </row>
    <row r="272" spans="2:14" x14ac:dyDescent="0.25">
      <c r="B272" t="str">
        <f t="shared" si="20"/>
        <v/>
      </c>
      <c r="C272" s="45"/>
      <c r="D272" s="45"/>
      <c r="E272" s="45"/>
      <c r="F272" s="44"/>
      <c r="G272" s="16" t="str">
        <f t="shared" si="21"/>
        <v/>
      </c>
      <c r="H272" s="16" t="str">
        <f t="shared" si="22"/>
        <v/>
      </c>
      <c r="J272" s="16" t="str">
        <f>IF(B272="","",SUMIF(Download!B:B,B272,Download!G:G))</f>
        <v/>
      </c>
      <c r="K272" s="16" t="str">
        <f>IF(B272="","",SUMIF(Download!B:B,B272,Download!H:H))</f>
        <v/>
      </c>
      <c r="M272" s="16" t="str">
        <f t="shared" si="23"/>
        <v/>
      </c>
      <c r="N272" s="16" t="str">
        <f t="shared" si="24"/>
        <v/>
      </c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8"/>
  <sheetViews>
    <sheetView topLeftCell="A22" workbookViewId="0">
      <selection activeCell="A39" sqref="A39"/>
    </sheetView>
  </sheetViews>
  <sheetFormatPr defaultRowHeight="15" x14ac:dyDescent="0.25"/>
  <sheetData>
    <row r="1" spans="1:2" x14ac:dyDescent="0.25">
      <c r="A1" t="s">
        <v>53</v>
      </c>
      <c r="B1" t="s">
        <v>121</v>
      </c>
    </row>
    <row r="2" spans="1:2" x14ac:dyDescent="0.25">
      <c r="A2" t="s">
        <v>9</v>
      </c>
      <c r="B2" t="s">
        <v>122</v>
      </c>
    </row>
    <row r="3" spans="1:2" x14ac:dyDescent="0.25">
      <c r="A3" t="s">
        <v>86</v>
      </c>
      <c r="B3" t="s">
        <v>123</v>
      </c>
    </row>
    <row r="4" spans="1:2" x14ac:dyDescent="0.25">
      <c r="A4" t="s">
        <v>47</v>
      </c>
      <c r="B4" t="s">
        <v>124</v>
      </c>
    </row>
    <row r="5" spans="1:2" x14ac:dyDescent="0.25">
      <c r="A5" t="s">
        <v>61</v>
      </c>
      <c r="B5" t="s">
        <v>125</v>
      </c>
    </row>
    <row r="6" spans="1:2" x14ac:dyDescent="0.25">
      <c r="A6" t="s">
        <v>67</v>
      </c>
      <c r="B6" t="s">
        <v>126</v>
      </c>
    </row>
    <row r="7" spans="1:2" x14ac:dyDescent="0.25">
      <c r="A7" t="s">
        <v>91</v>
      </c>
      <c r="B7" t="s">
        <v>127</v>
      </c>
    </row>
    <row r="8" spans="1:2" x14ac:dyDescent="0.25">
      <c r="A8" t="s">
        <v>111</v>
      </c>
      <c r="B8" t="s">
        <v>128</v>
      </c>
    </row>
    <row r="9" spans="1:2" x14ac:dyDescent="0.25">
      <c r="A9" t="s">
        <v>104</v>
      </c>
      <c r="B9" t="s">
        <v>129</v>
      </c>
    </row>
    <row r="10" spans="1:2" x14ac:dyDescent="0.25">
      <c r="A10" t="s">
        <v>98</v>
      </c>
      <c r="B10" t="s">
        <v>130</v>
      </c>
    </row>
    <row r="11" spans="1:2" x14ac:dyDescent="0.25">
      <c r="A11" t="s">
        <v>89</v>
      </c>
      <c r="B11" t="s">
        <v>131</v>
      </c>
    </row>
    <row r="12" spans="1:2" x14ac:dyDescent="0.25">
      <c r="A12" t="s">
        <v>57</v>
      </c>
      <c r="B12" t="s">
        <v>132</v>
      </c>
    </row>
    <row r="13" spans="1:2" x14ac:dyDescent="0.25">
      <c r="A13" t="s">
        <v>51</v>
      </c>
      <c r="B13" t="s">
        <v>133</v>
      </c>
    </row>
    <row r="14" spans="1:2" x14ac:dyDescent="0.25">
      <c r="A14" t="s">
        <v>37</v>
      </c>
      <c r="B14" t="s">
        <v>134</v>
      </c>
    </row>
    <row r="15" spans="1:2" x14ac:dyDescent="0.25">
      <c r="A15" t="s">
        <v>72</v>
      </c>
      <c r="B15" t="s">
        <v>135</v>
      </c>
    </row>
    <row r="16" spans="1:2" x14ac:dyDescent="0.25">
      <c r="A16" t="s">
        <v>44</v>
      </c>
      <c r="B16" t="s">
        <v>136</v>
      </c>
    </row>
    <row r="17" spans="1:2" x14ac:dyDescent="0.25">
      <c r="A17" t="s">
        <v>52</v>
      </c>
      <c r="B17" t="s">
        <v>137</v>
      </c>
    </row>
    <row r="18" spans="1:2" x14ac:dyDescent="0.25">
      <c r="A18" t="s">
        <v>49</v>
      </c>
      <c r="B18" t="s">
        <v>138</v>
      </c>
    </row>
    <row r="19" spans="1:2" x14ac:dyDescent="0.25">
      <c r="A19" t="s">
        <v>82</v>
      </c>
      <c r="B19" t="s">
        <v>139</v>
      </c>
    </row>
    <row r="20" spans="1:2" x14ac:dyDescent="0.25">
      <c r="A20" t="s">
        <v>93</v>
      </c>
      <c r="B20" t="s">
        <v>140</v>
      </c>
    </row>
    <row r="21" spans="1:2" x14ac:dyDescent="0.25">
      <c r="A21" t="s">
        <v>55</v>
      </c>
      <c r="B21" t="s">
        <v>141</v>
      </c>
    </row>
    <row r="22" spans="1:2" x14ac:dyDescent="0.25">
      <c r="A22" t="s">
        <v>106</v>
      </c>
      <c r="B22" t="s">
        <v>142</v>
      </c>
    </row>
    <row r="23" spans="1:2" x14ac:dyDescent="0.25">
      <c r="A23" t="s">
        <v>79</v>
      </c>
      <c r="B23" t="s">
        <v>143</v>
      </c>
    </row>
    <row r="24" spans="1:2" x14ac:dyDescent="0.25">
      <c r="A24" t="s">
        <v>58</v>
      </c>
      <c r="B24" t="s">
        <v>144</v>
      </c>
    </row>
    <row r="25" spans="1:2" x14ac:dyDescent="0.25">
      <c r="A25" t="s">
        <v>110</v>
      </c>
      <c r="B25" t="s">
        <v>145</v>
      </c>
    </row>
    <row r="26" spans="1:2" x14ac:dyDescent="0.25">
      <c r="A26" t="s">
        <v>108</v>
      </c>
      <c r="B26" t="s">
        <v>146</v>
      </c>
    </row>
    <row r="27" spans="1:2" x14ac:dyDescent="0.25">
      <c r="A27" t="s">
        <v>114</v>
      </c>
      <c r="B27" t="s">
        <v>147</v>
      </c>
    </row>
    <row r="28" spans="1:2" x14ac:dyDescent="0.25">
      <c r="A28" t="s">
        <v>112</v>
      </c>
      <c r="B28" t="s">
        <v>148</v>
      </c>
    </row>
    <row r="29" spans="1:2" x14ac:dyDescent="0.25">
      <c r="A29" t="s">
        <v>113</v>
      </c>
      <c r="B29" t="s">
        <v>149</v>
      </c>
    </row>
    <row r="30" spans="1:2" x14ac:dyDescent="0.25">
      <c r="A30" t="s">
        <v>117</v>
      </c>
      <c r="B30" t="s">
        <v>150</v>
      </c>
    </row>
    <row r="31" spans="1:2" x14ac:dyDescent="0.25">
      <c r="A31" t="s">
        <v>107</v>
      </c>
      <c r="B31" t="s">
        <v>151</v>
      </c>
    </row>
    <row r="32" spans="1:2" x14ac:dyDescent="0.25">
      <c r="A32" t="s">
        <v>84</v>
      </c>
      <c r="B32" t="s">
        <v>152</v>
      </c>
    </row>
    <row r="33" spans="1:2" x14ac:dyDescent="0.25">
      <c r="A33" t="s">
        <v>103</v>
      </c>
      <c r="B33" t="s">
        <v>153</v>
      </c>
    </row>
    <row r="34" spans="1:2" x14ac:dyDescent="0.25">
      <c r="A34" t="s">
        <v>95</v>
      </c>
      <c r="B34" t="s">
        <v>154</v>
      </c>
    </row>
    <row r="35" spans="1:2" x14ac:dyDescent="0.25">
      <c r="A35" t="s">
        <v>109</v>
      </c>
      <c r="B35" t="s">
        <v>155</v>
      </c>
    </row>
    <row r="36" spans="1:2" x14ac:dyDescent="0.25">
      <c r="A36" t="s">
        <v>115</v>
      </c>
      <c r="B36" t="s">
        <v>156</v>
      </c>
    </row>
    <row r="37" spans="1:2" x14ac:dyDescent="0.25">
      <c r="A37" t="s">
        <v>116</v>
      </c>
      <c r="B37" t="s">
        <v>157</v>
      </c>
    </row>
    <row r="38" spans="1:2" x14ac:dyDescent="0.25">
      <c r="A38" t="s">
        <v>169</v>
      </c>
      <c r="B3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1</vt:lpstr>
      <vt:lpstr>2</vt:lpstr>
      <vt:lpstr>3</vt:lpstr>
      <vt:lpstr>4</vt:lpstr>
      <vt:lpstr>DQ Monitoring</vt:lpstr>
      <vt:lpstr>ALL</vt:lpstr>
      <vt:lpstr>Download</vt:lpstr>
      <vt:lpstr>Heroku</vt:lpstr>
      <vt:lpstr>Stocks</vt:lpstr>
      <vt:lpstr>'1'!Print_Area</vt:lpstr>
      <vt:lpstr>'2'!Print_Area</vt:lpstr>
      <vt:lpstr>'3'!Print_Area</vt:lpstr>
      <vt:lpstr>'4'!Print_Area</vt:lpstr>
      <vt:lpstr>ALL!Print_Area</vt:lpstr>
      <vt:lpstr>'DQ Monitoring'!Print_Area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LTV Equity Stocks</dc:creator>
  <cp:lastModifiedBy>Alvin Stocks</cp:lastModifiedBy>
  <cp:lastPrinted>2022-09-22T09:31:14Z</cp:lastPrinted>
  <dcterms:created xsi:type="dcterms:W3CDTF">2021-05-27T05:57:59Z</dcterms:created>
  <dcterms:modified xsi:type="dcterms:W3CDTF">2023-03-24T06:41:25Z</dcterms:modified>
</cp:coreProperties>
</file>