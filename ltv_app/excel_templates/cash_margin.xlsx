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14610" windowHeight="15585" tabRatio="824" firstSheet="0" activeTab="3" autoFilterDateGrouping="1"/>
  </bookViews>
  <sheets>
    <sheet name="ALLHKD" sheetId="1" state="visible" r:id="rId1"/>
    <sheet name="ALLM" sheetId="2" state="visible" r:id="rId2"/>
    <sheet name="ACCU" sheetId="3" state="visible" r:id="rId3"/>
    <sheet name="DECU" sheetId="4" state="visible" r:id="rId4"/>
    <sheet name="Collateral" sheetId="5" state="hidden" r:id="rId5"/>
    <sheet name="ALLAUD" sheetId="6" state="hidden" r:id="rId6"/>
    <sheet name="ALLM AUD" sheetId="7" state="hidden" r:id="rId7"/>
    <sheet name="ACCU AUD" sheetId="8" state="hidden" r:id="rId8"/>
    <sheet name="DECU AUD" sheetId="9" state="hidden" r:id="rId9"/>
  </sheets>
  <definedNames>
    <definedName name="market_price">Collateral!$U$4</definedName>
    <definedName name="_xlnm.Print_Area" localSheetId="0">'ALLHKD'!$A$1:$D$33</definedName>
    <definedName name="_xlnm.Print_Area" localSheetId="1">'ALLM'!$A$1:$O$44</definedName>
    <definedName name="_xlnm.Print_Area" localSheetId="2">'ACCU'!$A$1:$T$179</definedName>
    <definedName name="_xlnm.Print_Area" localSheetId="3">'DECU'!$A$1:$T$165</definedName>
    <definedName name="_xlnm.Print_Titles" localSheetId="4">'Collateral'!$1:$4</definedName>
    <definedName name="_xlnm.Print_Area" localSheetId="4">'Collateral'!$A$1:$T$319</definedName>
    <definedName name="_xlnm.Print_Area" localSheetId="5">'ALLAUD'!$A$1:$D$31</definedName>
    <definedName name="_xlnm.Print_Area" localSheetId="6">'ALLM AUD'!$A$1:$O$23</definedName>
    <definedName name="_xlnm.Print_Area" localSheetId="7">'ACCU AUD'!$A$1:$T$19</definedName>
    <definedName name="_xlnm.Print_Area" localSheetId="8">'DECU AUD'!$A$1:$T$17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[$HKD]\ #,##0.00"/>
    <numFmt numFmtId="165" formatCode="_(* #,##0.0000_);_(* \(#,##0.0000\);_(* &quot;-&quot;????_);_(@_)"/>
    <numFmt numFmtId="166" formatCode="d\-mmm\-yyyy"/>
    <numFmt numFmtId="167" formatCode="##0"/>
    <numFmt numFmtId="168" formatCode="#,##0.0000"/>
    <numFmt numFmtId="169" formatCode="_([$HKD]\ * #,##0.00_);_([$HKD]\ * \(#,##0.00\);_([$HKD]\ * &quot;-&quot;??_);_(@_)"/>
    <numFmt numFmtId="170" formatCode="[$HKD]\ #,##0.0000"/>
    <numFmt numFmtId="171" formatCode="_([$USD]\ * #,##0.00_);_([$USD]\ * \(#,##0.00\);_([$USD]\ * &quot;-&quot;??_);_(@_)"/>
    <numFmt numFmtId="172" formatCode="[$AUD]\ #,##0.00"/>
    <numFmt numFmtId="173" formatCode="[$-3409]dd\-mmm\-yy;@"/>
    <numFmt numFmtId="174" formatCode="_-* #,##0.00_-;\-* #,##0.00_-;_-* &quot;-&quot;??_-;_-@_-"/>
    <numFmt numFmtId="175" formatCode="0.0000"/>
    <numFmt numFmtId="176" formatCode="[$JPY]\ #,##0.00"/>
    <numFmt numFmtId="177" formatCode="[$SGD]\ #,##0.00"/>
    <numFmt numFmtId="178" formatCode="0_);\(0\)"/>
    <numFmt numFmtId="179" formatCode="_(* #,##0.0000_);_(* \(#,##0.0000\);_(* &quot;-&quot;??_);_(@_)"/>
    <numFmt numFmtId="180" formatCode="mmmm\ d\,\ yyyy"/>
    <numFmt numFmtId="181" formatCode="[$-409]d\-mmm\-yy;@"/>
  </numFmts>
  <fonts count="3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2"/>
      <scheme val="minor"/>
    </font>
    <font>
      <name val="Arial"/>
      <family val="2"/>
      <sz val="12"/>
    </font>
    <font>
      <name val="Calibri"/>
      <family val="2"/>
      <b val="1"/>
      <sz val="12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20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.5"/>
      <scheme val="minor"/>
    </font>
    <font>
      <name val="Calibri"/>
      <family val="2"/>
      <sz val="14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6"/>
    </font>
    <font>
      <name val="Arial"/>
      <family val="2"/>
      <b val="1"/>
      <sz val="16"/>
    </font>
    <font>
      <name val="Arial"/>
      <family val="2"/>
      <b val="1"/>
      <sz val="12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Calibri"/>
      <family val="2"/>
      <b val="1"/>
      <color theme="0"/>
      <sz val="14"/>
      <scheme val="minor"/>
    </font>
    <font>
      <name val="Arial"/>
      <family val="2"/>
      <b val="1"/>
      <sz val="14"/>
    </font>
    <font>
      <name val="Times New Roman"/>
      <family val="1"/>
      <b val="1"/>
      <sz val="14"/>
    </font>
    <font>
      <name val="Times New Roman"/>
      <family val="1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6"/>
    </font>
  </fonts>
  <fills count="5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</patternFill>
    </fill>
    <fill>
      <patternFill patternType="solid">
        <fgColor rgb="FF99CC00"/>
      </patternFill>
    </fill>
    <fill>
      <patternFill patternType="solid">
        <fgColor rgb="FFFF00FF"/>
      </patternFill>
    </fill>
    <fill>
      <patternFill patternType="solid">
        <fgColor rgb="FFFF8080"/>
      </patternFill>
    </fill>
    <fill>
      <patternFill patternType="solid">
        <fgColor rgb="FFFFFFFF"/>
      </patternFill>
    </fill>
    <fill>
      <patternFill patternType="solid">
        <fgColor rgb="FFFF00FF"/>
      </patternFill>
    </fill>
    <fill>
      <patternFill patternType="solid">
        <fgColor rgb="FFFFFFFF"/>
      </patternFill>
    </fill>
    <fill>
      <patternFill patternType="solid">
        <fgColor rgb="FF99CC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9CC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9CC00"/>
      </patternFill>
    </fill>
    <fill>
      <patternFill patternType="solid">
        <fgColor rgb="FFFFFFFF"/>
      </patternFill>
    </fill>
    <fill>
      <patternFill patternType="solid">
        <fgColor rgb="FF99CC00"/>
      </patternFill>
    </fill>
    <fill>
      <patternFill patternType="solid">
        <fgColor rgb="FFFFFFFF"/>
      </patternFill>
    </fill>
    <fill>
      <patternFill patternType="solid">
        <fgColor rgb="FF99CC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9CC00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8080"/>
      </patternFill>
    </fill>
    <fill>
      <patternFill patternType="solid">
        <fgColor rgb="FFFFFFFF"/>
      </patternFill>
    </fill>
    <fill>
      <patternFill patternType="solid">
        <fgColor rgb="FFFF8080"/>
      </patternFill>
    </fill>
    <fill>
      <patternFill patternType="solid">
        <fgColor rgb="FFFFFFFF"/>
      </patternFill>
    </fill>
    <fill>
      <patternFill patternType="solid">
        <fgColor rgb="FFFF8080"/>
      </patternFill>
    </fill>
    <fill>
      <patternFill patternType="solid">
        <fgColor rgb="FFFFFFFF"/>
      </patternFill>
    </fill>
    <fill>
      <patternFill patternType="solid">
        <fgColor rgb="FFFF8080"/>
      </patternFill>
    </fill>
    <fill>
      <patternFill patternType="solid">
        <fgColor rgb="FFFFFFFF"/>
      </patternFill>
    </fill>
    <fill>
      <patternFill patternType="solid">
        <fgColor rgb="FFCCFFFF"/>
      </patternFill>
    </fill>
    <fill>
      <patternFill patternType="solid">
        <fgColor rgb="FFFF8080"/>
      </patternFill>
    </fill>
    <fill>
      <patternFill patternType="solid">
        <fgColor rgb="FFFF00FF"/>
      </patternFill>
    </fill>
    <fill>
      <patternFill patternType="solid">
        <fgColor rgb="00FFFFFF"/>
      </patternFill>
    </fill>
    <fill>
      <patternFill patternType="solid">
        <fgColor rgb="00CCFFFF"/>
      </patternFill>
    </fill>
    <fill>
      <patternFill patternType="solid">
        <fgColor rgb="00FF8080"/>
      </patternFill>
    </fill>
    <fill>
      <patternFill patternType="solid">
        <fgColor rgb="00FF00FF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8999908444471572"/>
      </left>
      <right style="thin">
        <color theme="2" tint="-0.8999908444471572"/>
      </right>
      <top style="thin">
        <color theme="2" tint="-0.8999908444471572"/>
      </top>
      <bottom style="thin">
        <color theme="2" tint="-0.899990844447157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164" fontId="1" fillId="0" borderId="0"/>
    <xf numFmtId="164" fontId="1" fillId="0" borderId="0"/>
    <xf numFmtId="164" fontId="1" fillId="0" borderId="0"/>
    <xf numFmtId="164" fontId="13" fillId="0" borderId="0"/>
    <xf numFmtId="164" fontId="13" fillId="0" borderId="0"/>
    <xf numFmtId="164" fontId="21" fillId="0" borderId="0"/>
    <xf numFmtId="164" fontId="1" fillId="0" borderId="0"/>
    <xf numFmtId="164" fontId="13" fillId="0" borderId="0"/>
    <xf numFmtId="181" fontId="1" fillId="0" borderId="0"/>
    <xf numFmtId="181" fontId="13" fillId="0" borderId="0"/>
  </cellStyleXfs>
  <cellXfs count="789">
    <xf numFmtId="164" fontId="0" fillId="0" borderId="0" pivotButton="0" quotePrefix="0" xfId="0"/>
    <xf numFmtId="3" fontId="3" fillId="0" borderId="0" applyAlignment="1" pivotButton="0" quotePrefix="0" xfId="0">
      <alignment vertical="center"/>
    </xf>
    <xf numFmtId="10" fontId="3" fillId="0" borderId="1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10" fontId="3" fillId="0" borderId="5" applyAlignment="1" pivotButton="0" quotePrefix="0" xfId="0">
      <alignment horizontal="center" vertical="center"/>
    </xf>
    <xf numFmtId="10" fontId="3" fillId="0" borderId="8" applyAlignment="1" pivotButton="0" quotePrefix="0" xfId="0">
      <alignment horizontal="center" vertical="center"/>
    </xf>
    <xf numFmtId="49" fontId="5" fillId="0" borderId="1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10" fontId="3" fillId="0" borderId="13" applyAlignment="1" pivotButton="0" quotePrefix="0" xfId="0">
      <alignment horizontal="center" vertical="center"/>
    </xf>
    <xf numFmtId="3" fontId="3" fillId="0" borderId="14" applyAlignment="1" pivotButton="0" quotePrefix="0" xfId="0">
      <alignment horizontal="center" vertical="center"/>
    </xf>
    <xf numFmtId="3" fontId="3" fillId="0" borderId="15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3" fillId="0" borderId="16" applyAlignment="1" pivotButton="0" quotePrefix="0" xfId="0">
      <alignment horizontal="center" vertical="center"/>
    </xf>
    <xf numFmtId="1" fontId="3" fillId="0" borderId="17" applyAlignment="1" pivotButton="0" quotePrefix="0" xfId="0">
      <alignment horizontal="center" vertical="center"/>
    </xf>
    <xf numFmtId="1" fontId="3" fillId="0" borderId="18" applyAlignment="1" pivotButton="0" quotePrefix="0" xfId="0">
      <alignment horizontal="center" vertical="center"/>
    </xf>
    <xf numFmtId="1" fontId="3" fillId="0" borderId="19" applyAlignment="1" pivotButton="0" quotePrefix="0" xfId="0">
      <alignment horizontal="center" vertical="center"/>
    </xf>
    <xf numFmtId="3" fontId="3" fillId="0" borderId="17" applyAlignment="1" pivotButton="0" quotePrefix="0" xfId="0">
      <alignment horizontal="center" vertical="center"/>
    </xf>
    <xf numFmtId="49" fontId="4" fillId="0" borderId="20" applyAlignment="1" pivotButton="0" quotePrefix="0" xfId="0">
      <alignment horizontal="center" vertical="center"/>
    </xf>
    <xf numFmtId="3" fontId="5" fillId="0" borderId="14" applyAlignment="1" pivotButton="0" quotePrefix="0" xfId="0">
      <alignment horizontal="center" vertical="center" wrapText="1"/>
    </xf>
    <xf numFmtId="37" fontId="3" fillId="0" borderId="0" applyAlignment="1" pivotButton="0" quotePrefix="0" xfId="0">
      <alignment vertical="center"/>
    </xf>
    <xf numFmtId="1" fontId="3" fillId="0" borderId="21" applyAlignment="1" pivotButton="0" quotePrefix="0" xfId="0">
      <alignment horizontal="center" vertical="center"/>
    </xf>
    <xf numFmtId="1" fontId="3" fillId="0" borderId="22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3" fontId="3" fillId="0" borderId="21" applyAlignment="1" pivotButton="0" quotePrefix="0" xfId="0">
      <alignment horizontal="center" vertical="center"/>
    </xf>
    <xf numFmtId="49" fontId="4" fillId="0" borderId="22" applyAlignment="1" pivotButton="0" quotePrefix="0" xfId="0">
      <alignment horizontal="center" vertical="center"/>
    </xf>
    <xf numFmtId="1" fontId="3" fillId="0" borderId="23" applyAlignment="1" pivotButton="0" quotePrefix="0" xfId="0">
      <alignment horizontal="center" vertical="center"/>
    </xf>
    <xf numFmtId="1" fontId="3" fillId="0" borderId="24" applyAlignment="1" pivotButton="0" quotePrefix="0" xfId="0">
      <alignment horizontal="center" vertical="center"/>
    </xf>
    <xf numFmtId="1" fontId="3" fillId="0" borderId="9" applyAlignment="1" pivotButton="0" quotePrefix="0" xfId="0">
      <alignment horizontal="center" vertical="center"/>
    </xf>
    <xf numFmtId="3" fontId="3" fillId="0" borderId="23" applyAlignment="1" pivotButton="0" quotePrefix="0" xfId="0">
      <alignment horizontal="center" vertical="center"/>
    </xf>
    <xf numFmtId="49" fontId="4" fillId="0" borderId="24" applyAlignment="1" pivotButton="0" quotePrefix="0" xfId="0">
      <alignment horizontal="center" vertical="center"/>
    </xf>
    <xf numFmtId="1" fontId="5" fillId="0" borderId="25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3" fontId="5" fillId="0" borderId="25" applyAlignment="1" pivotButton="0" quotePrefix="0" xfId="0">
      <alignment horizontal="center" vertical="center" wrapText="1"/>
    </xf>
    <xf numFmtId="1" fontId="5" fillId="0" borderId="14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10" fontId="3" fillId="0" borderId="29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vertical="center"/>
    </xf>
    <xf numFmtId="3" fontId="9" fillId="0" borderId="0" applyAlignment="1" pivotButton="0" quotePrefix="0" xfId="0">
      <alignment horizontal="right" vertical="center"/>
    </xf>
    <xf numFmtId="4" fontId="12" fillId="0" borderId="0" applyAlignment="1" pivotButton="0" quotePrefix="0" xfId="0">
      <alignment vertical="center"/>
    </xf>
    <xf numFmtId="3" fontId="6" fillId="5" borderId="0" applyAlignment="1" pivotButton="0" quotePrefix="0" xfId="0">
      <alignment horizontal="right" vertical="center"/>
    </xf>
    <xf numFmtId="3" fontId="12" fillId="0" borderId="0" applyAlignment="1" pivotButton="0" quotePrefix="0" xfId="0">
      <alignment vertical="center"/>
    </xf>
    <xf numFmtId="4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14" fillId="0" borderId="6" applyAlignment="1" pivotButton="0" quotePrefix="0" xfId="1">
      <alignment horizontal="center" vertical="center"/>
    </xf>
    <xf numFmtId="3" fontId="14" fillId="4" borderId="22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49" fontId="14" fillId="0" borderId="0" applyAlignment="1" pivotButton="0" quotePrefix="0" xfId="0">
      <alignment horizontal="center" vertical="center"/>
    </xf>
    <xf numFmtId="3" fontId="14" fillId="0" borderId="0" applyAlignment="1" pivotButton="0" quotePrefix="0" xfId="0">
      <alignment vertical="center"/>
    </xf>
    <xf numFmtId="49" fontId="18" fillId="0" borderId="0" applyAlignment="1" pivotButton="0" quotePrefix="0" xfId="0">
      <alignment horizontal="center" vertical="center"/>
    </xf>
    <xf numFmtId="3" fontId="20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0" fillId="0" borderId="0" applyAlignment="1" pivotButton="0" quotePrefix="0" xfId="4">
      <alignment vertical="center"/>
    </xf>
    <xf numFmtId="1" fontId="9" fillId="0" borderId="0" applyAlignment="1" pivotButton="0" quotePrefix="0" xfId="0">
      <alignment vertical="center"/>
    </xf>
    <xf numFmtId="1" fontId="23" fillId="0" borderId="0" applyAlignment="1" pivotButton="0" quotePrefix="0" xfId="0">
      <alignment horizontal="center" vertical="center"/>
    </xf>
    <xf numFmtId="1" fontId="13" fillId="0" borderId="0" applyAlignment="1" pivotButton="0" quotePrefix="0" xfId="4">
      <alignment vertical="center"/>
    </xf>
    <xf numFmtId="1" fontId="10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49" fontId="19" fillId="0" borderId="0" applyAlignment="1" pivotButton="0" quotePrefix="0" xfId="4">
      <alignment horizontal="left" vertical="center"/>
    </xf>
    <xf numFmtId="1" fontId="20" fillId="0" borderId="0" applyAlignment="1" pivotButton="0" quotePrefix="0" xfId="4">
      <alignment vertical="center"/>
    </xf>
    <xf numFmtId="3" fontId="13" fillId="0" borderId="0" applyAlignment="1" pivotButton="0" quotePrefix="0" xfId="4">
      <alignment vertical="center"/>
    </xf>
    <xf numFmtId="3" fontId="9" fillId="7" borderId="0" applyAlignment="1" pivotButton="0" quotePrefix="0" xfId="0">
      <alignment vertical="center"/>
    </xf>
    <xf numFmtId="3" fontId="4" fillId="0" borderId="0" applyAlignment="1" pivotButton="0" quotePrefix="0" xfId="4">
      <alignment vertical="center"/>
    </xf>
    <xf numFmtId="49" fontId="19" fillId="0" borderId="0" applyAlignment="1" pivotButton="0" quotePrefix="0" xfId="4">
      <alignment horizontal="center" vertical="center"/>
    </xf>
    <xf numFmtId="37" fontId="19" fillId="0" borderId="0" applyAlignment="1" pivotButton="0" quotePrefix="0" xfId="3">
      <alignment horizontal="center" vertical="center"/>
    </xf>
    <xf numFmtId="3" fontId="11" fillId="2" borderId="0" applyAlignment="1" pivotButton="0" quotePrefix="0" xfId="6">
      <alignment horizontal="center" vertical="center"/>
    </xf>
    <xf numFmtId="3" fontId="10" fillId="0" borderId="0" applyAlignment="1" pivotButton="0" quotePrefix="0" xfId="6">
      <alignment vertical="center"/>
    </xf>
    <xf numFmtId="1" fontId="10" fillId="0" borderId="0" applyAlignment="1" pivotButton="0" quotePrefix="0" xfId="6">
      <alignment vertical="center"/>
    </xf>
    <xf numFmtId="1" fontId="13" fillId="0" borderId="0" applyAlignment="1" pivotButton="0" quotePrefix="0" xfId="7">
      <alignment vertical="center"/>
    </xf>
    <xf numFmtId="3" fontId="14" fillId="0" borderId="33" applyAlignment="1" pivotButton="0" quotePrefix="0" xfId="6">
      <alignment horizontal="center" vertical="center"/>
    </xf>
    <xf numFmtId="1" fontId="6" fillId="0" borderId="0" applyAlignment="1" pivotButton="0" quotePrefix="0" xfId="6">
      <alignment vertical="center"/>
    </xf>
    <xf numFmtId="49" fontId="19" fillId="0" borderId="0" applyAlignment="1" pivotButton="0" quotePrefix="0" xfId="7">
      <alignment horizontal="left" vertical="center"/>
    </xf>
    <xf numFmtId="1" fontId="20" fillId="0" borderId="0" applyAlignment="1" pivotButton="0" quotePrefix="0" xfId="7">
      <alignment vertical="center"/>
    </xf>
    <xf numFmtId="1" fontId="2" fillId="0" borderId="0" applyAlignment="1" pivotButton="0" quotePrefix="0" xfId="6">
      <alignment vertical="center"/>
    </xf>
    <xf numFmtId="1" fontId="23" fillId="0" borderId="0" applyAlignment="1" pivotButton="0" quotePrefix="0" xfId="6">
      <alignment horizontal="center" vertical="center"/>
    </xf>
    <xf numFmtId="1" fontId="18" fillId="0" borderId="0" applyAlignment="1" pivotButton="0" quotePrefix="0" xfId="1">
      <alignment horizontal="center" vertical="center"/>
    </xf>
    <xf numFmtId="3" fontId="20" fillId="0" borderId="0" applyAlignment="1" pivotButton="0" quotePrefix="0" xfId="6">
      <alignment vertical="center"/>
    </xf>
    <xf numFmtId="1" fontId="9" fillId="7" borderId="0" applyAlignment="1" pivotButton="0" quotePrefix="0" xfId="6">
      <alignment vertical="center"/>
    </xf>
    <xf numFmtId="49" fontId="6" fillId="0" borderId="0" applyAlignment="1" pivotButton="0" quotePrefix="0" xfId="6">
      <alignment vertical="center"/>
    </xf>
    <xf numFmtId="49" fontId="5" fillId="0" borderId="12" applyAlignment="1" pivotButton="0" quotePrefix="0" xfId="0">
      <alignment horizontal="center" vertical="center" wrapText="1"/>
    </xf>
    <xf numFmtId="10" fontId="3" fillId="0" borderId="11" applyAlignment="1" pivotButton="0" quotePrefix="0" xfId="2">
      <alignment vertical="center"/>
    </xf>
    <xf numFmtId="49" fontId="5" fillId="0" borderId="35" applyAlignment="1" pivotButton="0" quotePrefix="0" xfId="0">
      <alignment horizontal="center" vertical="center" wrapText="1"/>
    </xf>
    <xf numFmtId="49" fontId="5" fillId="0" borderId="36" applyAlignment="1" pivotButton="0" quotePrefix="0" xfId="0">
      <alignment horizontal="center" vertical="center" wrapText="1"/>
    </xf>
    <xf numFmtId="9" fontId="3" fillId="0" borderId="5" applyAlignment="1" pivotButton="0" quotePrefix="0" xfId="2">
      <alignment horizontal="center" vertical="center"/>
    </xf>
    <xf numFmtId="1" fontId="3" fillId="0" borderId="37" applyAlignment="1" pivotButton="0" quotePrefix="0" xfId="0">
      <alignment horizontal="center" vertical="center"/>
    </xf>
    <xf numFmtId="1" fontId="28" fillId="0" borderId="0" applyAlignment="1" pivotButton="0" quotePrefix="0" xfId="0">
      <alignment horizontal="center" vertical="top"/>
    </xf>
    <xf numFmtId="4" fontId="3" fillId="0" borderId="7" applyAlignment="1" pivotButton="0" quotePrefix="0" xfId="0">
      <alignment vertical="center"/>
    </xf>
    <xf numFmtId="4" fontId="3" fillId="0" borderId="9" applyAlignment="1" pivotButton="0" quotePrefix="0" xfId="0">
      <alignment horizontal="right" vertical="center"/>
    </xf>
    <xf numFmtId="4" fontId="3" fillId="0" borderId="6" applyAlignment="1" pivotButton="0" quotePrefix="0" xfId="0">
      <alignment horizontal="right" vertical="center"/>
    </xf>
    <xf numFmtId="4" fontId="3" fillId="0" borderId="3" applyAlignment="1" pivotButton="0" quotePrefix="0" xfId="0">
      <alignment horizontal="right" vertical="center"/>
    </xf>
    <xf numFmtId="4" fontId="10" fillId="0" borderId="0" applyAlignment="1" pivotButton="0" quotePrefix="0" xfId="6">
      <alignment vertical="center"/>
    </xf>
    <xf numFmtId="4" fontId="5" fillId="0" borderId="0" applyAlignment="1" pivotButton="0" quotePrefix="0" xfId="0">
      <alignment horizontal="center" vertical="center"/>
    </xf>
    <xf numFmtId="1" fontId="28" fillId="0" borderId="0" applyAlignment="1" pivotButton="0" quotePrefix="0" xfId="0">
      <alignment horizontal="center" vertical="center"/>
    </xf>
    <xf numFmtId="3" fontId="14" fillId="6" borderId="34" applyAlignment="1" pivotButton="0" quotePrefix="0" xfId="0">
      <alignment horizontal="center" vertical="center"/>
    </xf>
    <xf numFmtId="4" fontId="3" fillId="0" borderId="12" applyAlignment="1" pivotButton="0" quotePrefix="0" xfId="0">
      <alignment vertical="center"/>
    </xf>
    <xf numFmtId="4" fontId="3" fillId="0" borderId="16" applyAlignment="1" pivotButton="0" quotePrefix="0" xfId="0">
      <alignment vertical="center"/>
    </xf>
    <xf numFmtId="9" fontId="3" fillId="0" borderId="30" applyAlignment="1" pivotButton="0" quotePrefix="0" xfId="2">
      <alignment horizontal="center" vertical="center"/>
    </xf>
    <xf numFmtId="10" fontId="3" fillId="0" borderId="30" applyAlignment="1" pivotButton="0" quotePrefix="0" xfId="2">
      <alignment vertical="center"/>
    </xf>
    <xf numFmtId="0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0" fillId="0" borderId="0" applyAlignment="1" pivotButton="0" quotePrefix="0" xfId="6">
      <alignment horizontal="right" vertical="center"/>
    </xf>
    <xf numFmtId="1" fontId="9" fillId="10" borderId="0" applyAlignment="1" pivotButton="0" quotePrefix="0" xfId="6">
      <alignment vertical="center"/>
    </xf>
    <xf numFmtId="1" fontId="10" fillId="10" borderId="0" applyAlignment="1" pivotButton="0" quotePrefix="0" xfId="6">
      <alignment vertical="center"/>
    </xf>
    <xf numFmtId="1" fontId="10" fillId="10" borderId="0" applyAlignment="1" pivotButton="0" quotePrefix="0" xfId="6">
      <alignment horizontal="right" vertical="center"/>
    </xf>
    <xf numFmtId="4" fontId="3" fillId="0" borderId="42" applyAlignment="1" pivotButton="0" quotePrefix="0" xfId="0">
      <alignment vertical="center"/>
    </xf>
    <xf numFmtId="9" fontId="25" fillId="0" borderId="0" applyAlignment="1" pivotButton="0" quotePrefix="0" xfId="6">
      <alignment horizontal="left" vertical="center"/>
    </xf>
    <xf numFmtId="3" fontId="10" fillId="0" borderId="6" applyAlignment="1" pivotButton="0" quotePrefix="0" xfId="6">
      <alignment horizontal="center" vertical="center"/>
    </xf>
    <xf numFmtId="1" fontId="10" fillId="0" borderId="0" applyAlignment="1" pivotButton="0" quotePrefix="0" xfId="6">
      <alignment horizontal="center" vertical="center" wrapText="1"/>
    </xf>
    <xf numFmtId="1" fontId="13" fillId="0" borderId="0" applyAlignment="1" pivotButton="0" quotePrefix="0" xfId="7">
      <alignment horizontal="center" vertical="center" wrapText="1"/>
    </xf>
    <xf numFmtId="1" fontId="9" fillId="0" borderId="0" applyAlignment="1" pivotButton="0" quotePrefix="0" xfId="6">
      <alignment horizontal="center" vertical="center" wrapText="1"/>
    </xf>
    <xf numFmtId="4" fontId="9" fillId="0" borderId="0" applyAlignment="1" pivotButton="0" quotePrefix="0" xfId="6">
      <alignment horizontal="center" vertical="center" wrapText="1"/>
    </xf>
    <xf numFmtId="0" fontId="9" fillId="0" borderId="0" applyAlignment="1" pivotButton="0" quotePrefix="0" xfId="6">
      <alignment horizontal="center" vertical="center" wrapText="1"/>
    </xf>
    <xf numFmtId="1" fontId="10" fillId="7" borderId="0" applyAlignment="1" pivotButton="0" quotePrefix="0" xfId="6">
      <alignment vertical="center"/>
    </xf>
    <xf numFmtId="1" fontId="13" fillId="7" borderId="0" applyAlignment="1" pivotButton="0" quotePrefix="0" xfId="7">
      <alignment vertical="center"/>
    </xf>
    <xf numFmtId="3" fontId="14" fillId="12" borderId="22" applyAlignment="1" pivotButton="0" quotePrefix="0" xfId="0">
      <alignment horizontal="center" vertical="center"/>
    </xf>
    <xf numFmtId="3" fontId="14" fillId="11" borderId="34" applyAlignment="1" pivotButton="0" quotePrefix="0" xfId="0">
      <alignment horizontal="center" vertical="center"/>
    </xf>
    <xf numFmtId="3" fontId="14" fillId="13" borderId="32" applyAlignment="1" pivotButton="0" quotePrefix="0" xfId="0">
      <alignment horizontal="center" vertical="center"/>
    </xf>
    <xf numFmtId="3" fontId="14" fillId="11" borderId="32" applyAlignment="1" pivotButton="0" quotePrefix="0" xfId="0">
      <alignment horizontal="center" vertical="center"/>
    </xf>
    <xf numFmtId="3" fontId="14" fillId="14" borderId="32" applyAlignment="1" pivotButton="0" quotePrefix="0" xfId="0">
      <alignment horizontal="center" vertical="center"/>
    </xf>
    <xf numFmtId="3" fontId="14" fillId="14" borderId="22" applyAlignment="1" pivotButton="0" quotePrefix="0" xfId="0">
      <alignment horizontal="center" vertical="center"/>
    </xf>
    <xf numFmtId="3" fontId="14" fillId="11" borderId="22" applyAlignment="1" pivotButton="0" quotePrefix="0" xfId="6">
      <alignment horizontal="center" vertical="center"/>
    </xf>
    <xf numFmtId="3" fontId="14" fillId="12" borderId="34" applyAlignment="1" pivotButton="0" quotePrefix="0" xfId="6">
      <alignment horizontal="center" vertical="center"/>
    </xf>
    <xf numFmtId="3" fontId="14" fillId="12" borderId="32" applyAlignment="1" pivotButton="0" quotePrefix="0" xfId="6">
      <alignment horizontal="center" vertical="center"/>
    </xf>
    <xf numFmtId="3" fontId="14" fillId="11" borderId="32" applyAlignment="1" pivotButton="0" quotePrefix="0" xfId="6">
      <alignment horizontal="center" vertical="center"/>
    </xf>
    <xf numFmtId="3" fontId="14" fillId="14" borderId="34" applyAlignment="1" pivotButton="0" quotePrefix="0" xfId="6">
      <alignment horizontal="center" vertical="center"/>
    </xf>
    <xf numFmtId="3" fontId="14" fillId="16" borderId="32" applyAlignment="1" pivotButton="0" quotePrefix="0" xfId="0">
      <alignment horizontal="center" vertical="center"/>
    </xf>
    <xf numFmtId="3" fontId="14" fillId="15" borderId="32" applyAlignment="1" pivotButton="0" quotePrefix="0" xfId="0">
      <alignment horizontal="center" vertical="center"/>
    </xf>
    <xf numFmtId="15" fontId="13" fillId="0" borderId="31" applyAlignment="1" pivotButton="0" quotePrefix="0" xfId="0">
      <alignment vertical="center"/>
    </xf>
    <xf numFmtId="49" fontId="4" fillId="0" borderId="37" applyAlignment="1" pivotButton="0" quotePrefix="0" xfId="0">
      <alignment horizontal="center" vertical="center"/>
    </xf>
    <xf numFmtId="49" fontId="4" fillId="0" borderId="21" applyAlignment="1" pivotButton="0" quotePrefix="0" xfId="0">
      <alignment horizontal="center" vertical="center"/>
    </xf>
    <xf numFmtId="1" fontId="14" fillId="17" borderId="6" applyAlignment="1" pivotButton="0" quotePrefix="0" xfId="3">
      <alignment horizontal="center" vertical="center"/>
    </xf>
    <xf numFmtId="49" fontId="14" fillId="17" borderId="6" applyAlignment="1" pivotButton="0" quotePrefix="0" xfId="6">
      <alignment horizontal="center" vertical="center"/>
    </xf>
    <xf numFmtId="49" fontId="14" fillId="17" borderId="22" applyAlignment="1" pivotButton="0" quotePrefix="0" xfId="6">
      <alignment horizontal="center" vertical="center"/>
    </xf>
    <xf numFmtId="3" fontId="14" fillId="17" borderId="22" applyAlignment="1" pivotButton="0" quotePrefix="0" xfId="6">
      <alignment horizontal="center" vertical="center"/>
    </xf>
    <xf numFmtId="3" fontId="14" fillId="17" borderId="32" applyAlignment="1" pivotButton="0" quotePrefix="0" xfId="6">
      <alignment horizontal="center" vertical="center"/>
    </xf>
    <xf numFmtId="3" fontId="14" fillId="18" borderId="34" applyAlignment="1" pivotButton="0" quotePrefix="0" xfId="6">
      <alignment horizontal="center" vertical="center"/>
    </xf>
    <xf numFmtId="1" fontId="14" fillId="17" borderId="6" applyAlignment="1" pivotButton="0" quotePrefix="0" xfId="1">
      <alignment horizontal="center" vertical="center"/>
    </xf>
    <xf numFmtId="49" fontId="14" fillId="0" borderId="22" applyAlignment="1" pivotButton="0" quotePrefix="0" xfId="0">
      <alignment horizontal="center" vertical="center"/>
    </xf>
    <xf numFmtId="3" fontId="14" fillId="0" borderId="22" applyAlignment="1" pivotButton="0" quotePrefix="0" xfId="0">
      <alignment horizontal="center" vertical="center"/>
    </xf>
    <xf numFmtId="15" fontId="14" fillId="0" borderId="6" applyAlignment="1" pivotButton="0" quotePrefix="0" xfId="0">
      <alignment vertical="center"/>
    </xf>
    <xf numFmtId="1" fontId="9" fillId="19" borderId="0" applyAlignment="1" pivotButton="0" quotePrefix="0" xfId="6">
      <alignment horizontal="center" vertical="center"/>
    </xf>
    <xf numFmtId="49" fontId="4" fillId="0" borderId="5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" fontId="9" fillId="0" borderId="0" applyAlignment="1" pivotButton="0" quotePrefix="0" xfId="6">
      <alignment horizontal="center" vertical="center"/>
    </xf>
    <xf numFmtId="49" fontId="14" fillId="0" borderId="6" applyAlignment="1" pivotButton="0" quotePrefix="0" xfId="0">
      <alignment horizontal="center" vertical="center"/>
    </xf>
    <xf numFmtId="49" fontId="14" fillId="0" borderId="32" applyAlignment="1" pivotButton="0" quotePrefix="0" xfId="0">
      <alignment horizontal="center" vertical="center"/>
    </xf>
    <xf numFmtId="3" fontId="14" fillId="0" borderId="34" applyAlignment="1" pivotButton="0" quotePrefix="0" xfId="0">
      <alignment horizontal="center" vertical="center"/>
    </xf>
    <xf numFmtId="3" fontId="14" fillId="0" borderId="6" applyAlignment="1" pivotButton="0" quotePrefix="1" xfId="5">
      <alignment horizontal="center" vertical="center"/>
    </xf>
    <xf numFmtId="3" fontId="14" fillId="0" borderId="6" applyAlignment="1" pivotButton="0" quotePrefix="0" xfId="3">
      <alignment horizontal="center" vertical="center"/>
    </xf>
    <xf numFmtId="3" fontId="9" fillId="0" borderId="6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5" fontId="14" fillId="17" borderId="6" applyAlignment="1" pivotButton="0" quotePrefix="0" xfId="3">
      <alignment horizontal="center" vertical="center"/>
    </xf>
    <xf numFmtId="49" fontId="4" fillId="0" borderId="14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9" fontId="13" fillId="0" borderId="31" applyAlignment="1" pivotButton="0" quotePrefix="0" xfId="6">
      <alignment horizontal="center" vertical="center"/>
    </xf>
    <xf numFmtId="49" fontId="13" fillId="0" borderId="0" applyAlignment="1" pivotButton="0" quotePrefix="0" xfId="6">
      <alignment horizontal="center" vertical="center"/>
    </xf>
    <xf numFmtId="1" fontId="14" fillId="0" borderId="6" applyAlignment="1" pivotButton="0" quotePrefix="0" xfId="5">
      <alignment horizontal="center" vertical="center"/>
    </xf>
    <xf numFmtId="3" fontId="9" fillId="0" borderId="6" applyAlignment="1" pivotButton="0" quotePrefix="0" xfId="6">
      <alignment vertical="center"/>
    </xf>
    <xf numFmtId="0" fontId="9" fillId="0" borderId="0" applyAlignment="1" pivotButton="0" quotePrefix="0" xfId="6">
      <alignment vertical="center"/>
    </xf>
    <xf numFmtId="49" fontId="5" fillId="0" borderId="14" applyAlignment="1" pivotButton="0" quotePrefix="0" xfId="0">
      <alignment horizontal="center" vertical="center" wrapText="1"/>
    </xf>
    <xf numFmtId="4" fontId="3" fillId="0" borderId="17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49" fontId="14" fillId="0" borderId="6" applyAlignment="1" pivotButton="0" quotePrefix="0" xfId="6">
      <alignment horizontal="center" vertical="center"/>
    </xf>
    <xf numFmtId="49" fontId="14" fillId="0" borderId="22" applyAlignment="1" pivotButton="0" quotePrefix="0" xfId="6">
      <alignment horizontal="center" vertical="center"/>
    </xf>
    <xf numFmtId="3" fontId="14" fillId="0" borderId="32" applyAlignment="1" pivotButton="0" quotePrefix="0" xfId="6">
      <alignment horizontal="center" vertical="center"/>
    </xf>
    <xf numFmtId="1" fontId="14" fillId="0" borderId="6" applyAlignment="1" pivotButton="0" quotePrefix="0" xfId="1">
      <alignment horizontal="center" vertical="center"/>
    </xf>
    <xf numFmtId="1" fontId="14" fillId="0" borderId="6" applyAlignment="1" pivotButton="0" quotePrefix="0" xfId="3">
      <alignment horizontal="center" vertical="center"/>
    </xf>
    <xf numFmtId="15" fontId="14" fillId="0" borderId="6" applyAlignment="1" pivotButton="0" quotePrefix="0" xfId="3">
      <alignment horizontal="center" vertical="center"/>
    </xf>
    <xf numFmtId="4" fontId="9" fillId="0" borderId="0" applyAlignment="1" pivotButton="0" quotePrefix="0" xfId="6">
      <alignment vertical="center"/>
    </xf>
    <xf numFmtId="3" fontId="9" fillId="20" borderId="0" applyAlignment="1" pivotButton="0" quotePrefix="0" xfId="0">
      <alignment horizontal="center" vertical="center"/>
    </xf>
    <xf numFmtId="49" fontId="14" fillId="20" borderId="6" applyAlignment="1" pivotButton="0" quotePrefix="0" xfId="0">
      <alignment horizontal="center" vertical="center"/>
    </xf>
    <xf numFmtId="49" fontId="14" fillId="20" borderId="22" applyAlignment="1" pivotButton="0" quotePrefix="0" xfId="0">
      <alignment horizontal="center" vertical="center"/>
    </xf>
    <xf numFmtId="3" fontId="14" fillId="20" borderId="22" applyAlignment="1" pivotButton="0" quotePrefix="0" xfId="0">
      <alignment horizontal="center" vertical="center"/>
    </xf>
    <xf numFmtId="3" fontId="14" fillId="20" borderId="32" applyAlignment="1" pivotButton="0" quotePrefix="0" xfId="0">
      <alignment horizontal="center" vertical="center"/>
    </xf>
    <xf numFmtId="3" fontId="14" fillId="21" borderId="34" applyAlignment="1" pivotButton="0" quotePrefix="0" xfId="0">
      <alignment horizontal="center" vertical="center"/>
    </xf>
    <xf numFmtId="3" fontId="14" fillId="20" borderId="6" applyAlignment="1" pivotButton="0" quotePrefix="0" xfId="3">
      <alignment horizontal="center" vertical="center"/>
    </xf>
    <xf numFmtId="15" fontId="14" fillId="20" borderId="6" applyAlignment="1" pivotButton="0" quotePrefix="0" xfId="0">
      <alignment horizontal="center" vertical="center"/>
    </xf>
    <xf numFmtId="0" fontId="0" fillId="20" borderId="0" pivotButton="0" quotePrefix="0" xfId="0"/>
    <xf numFmtId="3" fontId="9" fillId="20" borderId="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" fontId="9" fillId="22" borderId="0" applyAlignment="1" pivotButton="0" quotePrefix="0" xfId="0">
      <alignment horizontal="center" vertical="center"/>
    </xf>
    <xf numFmtId="3" fontId="9" fillId="23" borderId="0" applyAlignment="1" pivotButton="0" quotePrefix="0" xfId="0">
      <alignment horizontal="center" vertical="center"/>
    </xf>
    <xf numFmtId="1" fontId="14" fillId="23" borderId="6" applyAlignment="1" pivotButton="0" quotePrefix="0" xfId="3">
      <alignment horizontal="center" vertical="center"/>
    </xf>
    <xf numFmtId="49" fontId="14" fillId="23" borderId="6" applyAlignment="1" pivotButton="0" quotePrefix="0" xfId="6">
      <alignment horizontal="center" vertical="center"/>
    </xf>
    <xf numFmtId="49" fontId="14" fillId="23" borderId="22" applyAlignment="1" pivotButton="0" quotePrefix="0" xfId="6">
      <alignment horizontal="center" vertical="center"/>
    </xf>
    <xf numFmtId="3" fontId="14" fillId="24" borderId="22" applyAlignment="1" pivotButton="0" quotePrefix="0" xfId="6">
      <alignment horizontal="center" vertical="center"/>
    </xf>
    <xf numFmtId="3" fontId="14" fillId="23" borderId="32" applyAlignment="1" pivotButton="0" quotePrefix="0" xfId="6">
      <alignment horizontal="center" vertical="center"/>
    </xf>
    <xf numFmtId="3" fontId="14" fillId="23" borderId="34" applyAlignment="1" pivotButton="0" quotePrefix="0" xfId="6">
      <alignment horizontal="center" vertical="center"/>
    </xf>
    <xf numFmtId="1" fontId="14" fillId="23" borderId="6" applyAlignment="1" pivotButton="0" quotePrefix="0" xfId="1">
      <alignment horizontal="center" vertical="center"/>
    </xf>
    <xf numFmtId="3" fontId="9" fillId="23" borderId="6" applyAlignment="1" pivotButton="0" quotePrefix="0" xfId="6">
      <alignment vertical="center"/>
    </xf>
    <xf numFmtId="3" fontId="9" fillId="25" borderId="0" applyAlignment="1" pivotButton="0" quotePrefix="0" xfId="0">
      <alignment horizontal="center" vertical="center"/>
    </xf>
    <xf numFmtId="49" fontId="14" fillId="25" borderId="6" applyAlignment="1" pivotButton="0" quotePrefix="0" xfId="0">
      <alignment horizontal="center" vertical="center"/>
    </xf>
    <xf numFmtId="49" fontId="14" fillId="25" borderId="22" applyAlignment="1" pivotButton="0" quotePrefix="0" xfId="0">
      <alignment horizontal="center" vertical="center"/>
    </xf>
    <xf numFmtId="3" fontId="14" fillId="25" borderId="22" applyAlignment="1" pivotButton="0" quotePrefix="0" xfId="0">
      <alignment horizontal="center" vertical="center"/>
    </xf>
    <xf numFmtId="3" fontId="14" fillId="25" borderId="32" applyAlignment="1" pivotButton="0" quotePrefix="0" xfId="0">
      <alignment horizontal="center" vertical="center"/>
    </xf>
    <xf numFmtId="3" fontId="14" fillId="26" borderId="34" applyAlignment="1" pivotButton="0" quotePrefix="0" xfId="0">
      <alignment horizontal="center" vertical="center"/>
    </xf>
    <xf numFmtId="3" fontId="14" fillId="25" borderId="6" applyAlignment="1" pivotButton="0" quotePrefix="0" xfId="3">
      <alignment horizontal="center" vertical="center"/>
    </xf>
    <xf numFmtId="0" fontId="0" fillId="25" borderId="0" pivotButton="0" quotePrefix="0" xfId="0"/>
    <xf numFmtId="3" fontId="9" fillId="25" borderId="6" applyAlignment="1" pivotButton="0" quotePrefix="0" xfId="0">
      <alignment vertical="center"/>
    </xf>
    <xf numFmtId="3" fontId="9" fillId="27" borderId="0" applyAlignment="1" pivotButton="0" quotePrefix="0" xfId="0">
      <alignment horizontal="center" vertical="center"/>
    </xf>
    <xf numFmtId="49" fontId="14" fillId="27" borderId="6" applyAlignment="1" pivotButton="0" quotePrefix="0" xfId="0">
      <alignment horizontal="center" vertical="center"/>
    </xf>
    <xf numFmtId="49" fontId="14" fillId="27" borderId="22" applyAlignment="1" pivotButton="0" quotePrefix="0" xfId="0">
      <alignment horizontal="center" vertical="center"/>
    </xf>
    <xf numFmtId="3" fontId="14" fillId="27" borderId="22" applyAlignment="1" pivotButton="0" quotePrefix="0" xfId="0">
      <alignment horizontal="center" vertical="center"/>
    </xf>
    <xf numFmtId="3" fontId="14" fillId="27" borderId="32" applyAlignment="1" pivotButton="0" quotePrefix="0" xfId="0">
      <alignment horizontal="center" vertical="center"/>
    </xf>
    <xf numFmtId="3" fontId="14" fillId="28" borderId="34" applyAlignment="1" pivotButton="0" quotePrefix="0" xfId="0">
      <alignment horizontal="center" vertical="center"/>
    </xf>
    <xf numFmtId="3" fontId="14" fillId="27" borderId="6" applyAlignment="1" pivotButton="0" quotePrefix="0" xfId="3">
      <alignment horizontal="center" vertical="center"/>
    </xf>
    <xf numFmtId="0" fontId="0" fillId="27" borderId="0" pivotButton="0" quotePrefix="0" xfId="0"/>
    <xf numFmtId="3" fontId="9" fillId="27" borderId="6" applyAlignment="1" pivotButton="0" quotePrefix="0" xfId="0">
      <alignment vertical="center"/>
    </xf>
    <xf numFmtId="3" fontId="9" fillId="29" borderId="6" applyAlignment="1" pivotButton="0" quotePrefix="0" xfId="6">
      <alignment vertical="center"/>
    </xf>
    <xf numFmtId="0" fontId="0" fillId="30" borderId="0" pivotButton="0" quotePrefix="0" xfId="0"/>
    <xf numFmtId="1" fontId="9" fillId="30" borderId="0" applyAlignment="1" pivotButton="0" quotePrefix="0" xfId="0">
      <alignment horizontal="center" vertical="center"/>
    </xf>
    <xf numFmtId="1" fontId="9" fillId="30" borderId="0" applyAlignment="1" pivotButton="0" quotePrefix="0" xfId="0">
      <alignment vertical="center"/>
    </xf>
    <xf numFmtId="3" fontId="9" fillId="31" borderId="0" applyAlignment="1" pivotButton="0" quotePrefix="0" xfId="0">
      <alignment horizontal="center" vertical="center"/>
    </xf>
    <xf numFmtId="49" fontId="14" fillId="31" borderId="6" applyAlignment="1" pivotButton="0" quotePrefix="0" xfId="0">
      <alignment horizontal="center" vertical="center"/>
    </xf>
    <xf numFmtId="49" fontId="14" fillId="31" borderId="22" applyAlignment="1" pivotButton="0" quotePrefix="0" xfId="0">
      <alignment horizontal="center" vertical="center"/>
    </xf>
    <xf numFmtId="3" fontId="14" fillId="31" borderId="32" applyAlignment="1" pivotButton="0" quotePrefix="0" xfId="0">
      <alignment horizontal="center" vertical="center"/>
    </xf>
    <xf numFmtId="3" fontId="14" fillId="31" borderId="34" applyAlignment="1" pivotButton="0" quotePrefix="0" xfId="0">
      <alignment horizontal="center" vertical="center"/>
    </xf>
    <xf numFmtId="3" fontId="14" fillId="31" borderId="6" applyAlignment="1" pivotButton="0" quotePrefix="0" xfId="3">
      <alignment horizontal="center" vertical="center"/>
    </xf>
    <xf numFmtId="0" fontId="0" fillId="31" borderId="0" pivotButton="0" quotePrefix="0" xfId="0"/>
    <xf numFmtId="3" fontId="9" fillId="31" borderId="6" applyAlignment="1" pivotButton="0" quotePrefix="0" xfId="0">
      <alignment vertical="center"/>
    </xf>
    <xf numFmtId="3" fontId="14" fillId="32" borderId="22" applyAlignment="1" pivotButton="0" quotePrefix="0" xfId="0">
      <alignment horizontal="center" vertical="center"/>
    </xf>
    <xf numFmtId="3" fontId="9" fillId="33" borderId="0" applyAlignment="1" pivotButton="0" quotePrefix="0" xfId="0">
      <alignment horizontal="center" vertical="center"/>
    </xf>
    <xf numFmtId="49" fontId="14" fillId="33" borderId="6" applyAlignment="1" pivotButton="0" quotePrefix="0" xfId="0">
      <alignment horizontal="center" vertical="center"/>
    </xf>
    <xf numFmtId="49" fontId="14" fillId="33" borderId="22" applyAlignment="1" pivotButton="0" quotePrefix="0" xfId="0">
      <alignment horizontal="center" vertical="center"/>
    </xf>
    <xf numFmtId="3" fontId="14" fillId="33" borderId="32" applyAlignment="1" pivotButton="0" quotePrefix="0" xfId="0">
      <alignment horizontal="center" vertical="center"/>
    </xf>
    <xf numFmtId="3" fontId="14" fillId="33" borderId="6" applyAlignment="1" pivotButton="0" quotePrefix="0" xfId="3">
      <alignment horizontal="center" vertical="center"/>
    </xf>
    <xf numFmtId="0" fontId="0" fillId="33" borderId="0" pivotButton="0" quotePrefix="0" xfId="0"/>
    <xf numFmtId="3" fontId="9" fillId="33" borderId="6" applyAlignment="1" pivotButton="0" quotePrefix="0" xfId="0">
      <alignment vertical="center"/>
    </xf>
    <xf numFmtId="3" fontId="14" fillId="34" borderId="22" applyAlignment="1" pivotButton="0" quotePrefix="0" xfId="0">
      <alignment horizontal="center" vertical="center"/>
    </xf>
    <xf numFmtId="3" fontId="14" fillId="33" borderId="34" applyAlignment="1" pivotButton="0" quotePrefix="0" xfId="0">
      <alignment horizontal="center" vertical="center"/>
    </xf>
    <xf numFmtId="3" fontId="14" fillId="33" borderId="6" applyAlignment="1" pivotButton="0" quotePrefix="0" xfId="5">
      <alignment horizontal="center" vertical="center"/>
    </xf>
    <xf numFmtId="3" fontId="9" fillId="35" borderId="0" applyAlignment="1" pivotButton="0" quotePrefix="0" xfId="0">
      <alignment horizontal="center" vertical="center"/>
    </xf>
    <xf numFmtId="3" fontId="14" fillId="35" borderId="34" applyAlignment="1" pivotButton="0" quotePrefix="0" xfId="0">
      <alignment horizontal="center" vertical="center"/>
    </xf>
    <xf numFmtId="3" fontId="9" fillId="35" borderId="6" applyAlignment="1" pivotButton="0" quotePrefix="0" xfId="0">
      <alignment vertical="center"/>
    </xf>
    <xf numFmtId="3" fontId="14" fillId="35" borderId="33" applyAlignment="1" pivotButton="0" quotePrefix="0" xfId="0">
      <alignment horizontal="center" vertical="center"/>
    </xf>
    <xf numFmtId="49" fontId="13" fillId="35" borderId="31" applyAlignment="1" pivotButton="0" quotePrefix="0" xfId="0">
      <alignment horizontal="center" vertical="center"/>
    </xf>
    <xf numFmtId="49" fontId="13" fillId="35" borderId="0" applyAlignment="1" pivotButton="0" quotePrefix="0" xfId="0">
      <alignment horizontal="center" vertical="center"/>
    </xf>
    <xf numFmtId="3" fontId="14" fillId="36" borderId="22" applyAlignment="1" pivotButton="0" quotePrefix="0" xfId="0">
      <alignment horizontal="center" vertical="center"/>
    </xf>
    <xf numFmtId="1" fontId="14" fillId="35" borderId="6" applyAlignment="1" pivotButton="0" quotePrefix="0" xfId="5">
      <alignment horizontal="center" vertical="center"/>
    </xf>
    <xf numFmtId="1" fontId="14" fillId="35" borderId="6" applyAlignment="1" pivotButton="0" quotePrefix="0" xfId="3">
      <alignment horizontal="center" vertical="center"/>
    </xf>
    <xf numFmtId="165" fontId="24" fillId="0" borderId="0" applyAlignment="1" pivotButton="0" quotePrefix="0" xfId="3">
      <alignment vertical="center"/>
    </xf>
    <xf numFmtId="165" fontId="19" fillId="0" borderId="0" applyAlignment="1" pivotButton="0" quotePrefix="0" xfId="3">
      <alignment horizontal="center" vertical="center"/>
    </xf>
    <xf numFmtId="165" fontId="13" fillId="0" borderId="0" applyAlignment="1" pivotButton="0" quotePrefix="0" xfId="4">
      <alignment vertical="center"/>
    </xf>
    <xf numFmtId="165" fontId="22" fillId="0" borderId="0" applyAlignment="1" pivotButton="0" quotePrefix="0" xfId="4">
      <alignment vertical="center"/>
    </xf>
    <xf numFmtId="165" fontId="14" fillId="25" borderId="6" applyAlignment="1" pivotButton="0" quotePrefix="0" xfId="3">
      <alignment horizontal="center" vertical="center"/>
    </xf>
    <xf numFmtId="165" fontId="15" fillId="25" borderId="6" applyAlignment="1" pivotButton="0" quotePrefix="0" xfId="3">
      <alignment horizontal="center" vertical="center"/>
    </xf>
    <xf numFmtId="165" fontId="4" fillId="0" borderId="0" applyAlignment="1" pivotButton="0" quotePrefix="0" xfId="4">
      <alignment vertical="center"/>
    </xf>
    <xf numFmtId="165" fontId="20" fillId="0" borderId="0" applyAlignment="1" pivotButton="0" quotePrefix="0" xfId="4">
      <alignment vertical="center"/>
    </xf>
    <xf numFmtId="165" fontId="14" fillId="27" borderId="6" applyAlignment="1" pivotButton="0" quotePrefix="0" xfId="3">
      <alignment horizontal="center" vertical="center"/>
    </xf>
    <xf numFmtId="165" fontId="15" fillId="27" borderId="6" applyAlignment="1" pivotButton="0" quotePrefix="0" xfId="3">
      <alignment horizontal="center" vertical="center"/>
    </xf>
    <xf numFmtId="165" fontId="3" fillId="0" borderId="0" applyAlignment="1" pivotButton="0" quotePrefix="0" xfId="0">
      <alignment vertical="center"/>
    </xf>
    <xf numFmtId="165" fontId="14" fillId="31" borderId="6" applyAlignment="1" pivotButton="0" quotePrefix="0" xfId="3">
      <alignment horizontal="center" vertical="center"/>
    </xf>
    <xf numFmtId="165" fontId="15" fillId="31" borderId="6" applyAlignment="1" pivotButton="0" quotePrefix="0" xfId="3">
      <alignment horizontal="center" vertical="center"/>
    </xf>
    <xf numFmtId="165" fontId="14" fillId="20" borderId="6" applyAlignment="1" pivotButton="0" quotePrefix="0" xfId="3">
      <alignment horizontal="center" vertical="center"/>
    </xf>
    <xf numFmtId="165" fontId="15" fillId="20" borderId="6" applyAlignment="1" pivotButton="0" quotePrefix="0" xfId="3">
      <alignment horizontal="center" vertical="center"/>
    </xf>
    <xf numFmtId="165" fontId="5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center" vertical="center"/>
    </xf>
    <xf numFmtId="165" fontId="18" fillId="0" borderId="0" applyAlignment="1" pivotButton="0" quotePrefix="0" xfId="1">
      <alignment horizontal="center" vertical="center"/>
    </xf>
    <xf numFmtId="165" fontId="14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 vertical="center"/>
    </xf>
    <xf numFmtId="165" fontId="14" fillId="0" borderId="0" applyAlignment="1" pivotButton="0" quotePrefix="0" xfId="1">
      <alignment horizontal="center" vertical="center"/>
    </xf>
    <xf numFmtId="165" fontId="14" fillId="0" borderId="6" applyAlignment="1" pivotButton="0" quotePrefix="0" xfId="5">
      <alignment horizontal="center" vertical="center"/>
    </xf>
    <xf numFmtId="165" fontId="15" fillId="0" borderId="6" applyAlignment="1" pivotButton="0" quotePrefix="0" xfId="5">
      <alignment horizontal="center" vertical="center"/>
    </xf>
    <xf numFmtId="165" fontId="12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5" fontId="14" fillId="33" borderId="6" applyAlignment="1" pivotButton="0" quotePrefix="0" xfId="5">
      <alignment horizontal="center" vertical="center"/>
    </xf>
    <xf numFmtId="165" fontId="15" fillId="33" borderId="6" applyAlignment="1" pivotButton="0" quotePrefix="0" xfId="5">
      <alignment horizontal="center" vertical="center"/>
    </xf>
    <xf numFmtId="165" fontId="14" fillId="0" borderId="6" applyAlignment="1" pivotButton="0" quotePrefix="0" xfId="3">
      <alignment horizontal="center" vertical="center"/>
    </xf>
    <xf numFmtId="165" fontId="15" fillId="0" borderId="6" applyAlignment="1" pivotButton="0" quotePrefix="0" xfId="3">
      <alignment horizontal="center" vertical="center"/>
    </xf>
    <xf numFmtId="165" fontId="14" fillId="0" borderId="6" applyAlignment="1" pivotButton="0" quotePrefix="0" xfId="1">
      <alignment horizontal="center" vertical="center"/>
    </xf>
    <xf numFmtId="165" fontId="15" fillId="0" borderId="6" applyAlignment="1" pivotButton="0" quotePrefix="0" xfId="1">
      <alignment horizontal="center" vertical="center"/>
    </xf>
    <xf numFmtId="3" fontId="14" fillId="0" borderId="32" applyAlignment="1" pivotButton="0" quotePrefix="0" xfId="0">
      <alignment horizontal="center" vertical="center"/>
    </xf>
    <xf numFmtId="3" fontId="14" fillId="0" borderId="33" applyAlignment="1" pivotButton="0" quotePrefix="0" xfId="0">
      <alignment horizontal="center" vertical="center"/>
    </xf>
    <xf numFmtId="166" fontId="14" fillId="25" borderId="6" applyAlignment="1" pivotButton="0" quotePrefix="0" xfId="0">
      <alignment horizontal="center" vertical="center"/>
    </xf>
    <xf numFmtId="167" fontId="0" fillId="0" borderId="0" pivotButton="0" quotePrefix="0" xfId="0"/>
    <xf numFmtId="166" fontId="14" fillId="27" borderId="6" applyAlignment="1" pivotButton="0" quotePrefix="0" xfId="0">
      <alignment horizontal="center" vertical="center"/>
    </xf>
    <xf numFmtId="167" fontId="9" fillId="0" borderId="0" applyAlignment="1" pivotButton="0" quotePrefix="0" xfId="0">
      <alignment vertical="center"/>
    </xf>
    <xf numFmtId="166" fontId="14" fillId="31" borderId="6" applyAlignment="1" pivotButton="0" quotePrefix="0" xfId="0">
      <alignment horizontal="center" vertical="center"/>
    </xf>
    <xf numFmtId="3" fontId="9" fillId="37" borderId="0" applyAlignment="1" pivotButton="0" quotePrefix="0" xfId="0">
      <alignment horizontal="center" vertical="center"/>
    </xf>
    <xf numFmtId="168" fontId="24" fillId="0" borderId="0" applyAlignment="1" pivotButton="0" quotePrefix="0" xfId="3">
      <alignment vertical="center"/>
    </xf>
    <xf numFmtId="168" fontId="19" fillId="0" borderId="0" applyAlignment="1" pivotButton="0" quotePrefix="0" xfId="3">
      <alignment horizontal="center" vertical="center"/>
    </xf>
    <xf numFmtId="168" fontId="14" fillId="35" borderId="6" applyAlignment="1" pivotButton="0" quotePrefix="0" xfId="1">
      <alignment horizontal="center" vertical="center"/>
    </xf>
    <xf numFmtId="168" fontId="15" fillId="35" borderId="6" applyAlignment="1" pivotButton="0" quotePrefix="0" xfId="1">
      <alignment horizontal="center" vertical="center"/>
    </xf>
    <xf numFmtId="166" fontId="14" fillId="35" borderId="6" applyAlignment="1" pivotButton="0" quotePrefix="0" xfId="3">
      <alignment horizontal="center" vertical="center"/>
    </xf>
    <xf numFmtId="168" fontId="9" fillId="30" borderId="0" applyAlignment="1" pivotButton="0" quotePrefix="0" xfId="0">
      <alignment vertical="center"/>
    </xf>
    <xf numFmtId="168" fontId="10" fillId="30" borderId="0" applyAlignment="1" pivotButton="0" quotePrefix="0" xfId="0">
      <alignment vertical="center"/>
    </xf>
    <xf numFmtId="168" fontId="9" fillId="0" borderId="0" applyAlignment="1" pivotButton="0" quotePrefix="0" xfId="0">
      <alignment vertical="center"/>
    </xf>
    <xf numFmtId="168" fontId="10" fillId="0" borderId="0" applyAlignment="1" pivotButton="0" quotePrefix="0" xfId="0">
      <alignment vertical="center"/>
    </xf>
    <xf numFmtId="168" fontId="13" fillId="0" borderId="0" applyAlignment="1" pivotButton="0" quotePrefix="0" xfId="4">
      <alignment vertical="center"/>
    </xf>
    <xf numFmtId="168" fontId="22" fillId="0" borderId="0" applyAlignment="1" pivotButton="0" quotePrefix="0" xfId="4">
      <alignment vertical="center"/>
    </xf>
    <xf numFmtId="166" fontId="14" fillId="33" borderId="31" applyAlignment="1" pivotButton="0" quotePrefix="0" xfId="0">
      <alignment horizontal="center" vertical="center"/>
    </xf>
    <xf numFmtId="168" fontId="10" fillId="0" borderId="30" applyAlignment="1" pivotButton="0" quotePrefix="0" xfId="0">
      <alignment horizontal="left" vertical="center"/>
    </xf>
    <xf numFmtId="168" fontId="10" fillId="0" borderId="0" applyAlignment="1" pivotButton="0" quotePrefix="0" xfId="6">
      <alignment vertical="center"/>
    </xf>
    <xf numFmtId="168" fontId="13" fillId="0" borderId="0" applyAlignment="1" pivotButton="0" quotePrefix="0" xfId="7">
      <alignment vertical="center"/>
    </xf>
    <xf numFmtId="168" fontId="22" fillId="0" borderId="0" applyAlignment="1" pivotButton="0" quotePrefix="0" xfId="7">
      <alignment vertical="center"/>
    </xf>
    <xf numFmtId="168" fontId="14" fillId="23" borderId="6" applyAlignment="1" pivotButton="0" quotePrefix="0" xfId="1">
      <alignment horizontal="center" vertical="center"/>
    </xf>
    <xf numFmtId="168" fontId="15" fillId="23" borderId="6" applyAlignment="1" pivotButton="0" quotePrefix="0" xfId="1">
      <alignment horizontal="center" vertical="center"/>
    </xf>
    <xf numFmtId="166" fontId="14" fillId="23" borderId="6" applyAlignment="1" pivotButton="0" quotePrefix="0" xfId="3">
      <alignment horizontal="center" vertical="center"/>
    </xf>
    <xf numFmtId="167" fontId="9" fillId="0" borderId="0" applyAlignment="1" pivotButton="0" quotePrefix="0" xfId="6">
      <alignment vertical="center"/>
    </xf>
    <xf numFmtId="168" fontId="14" fillId="17" borderId="6" applyAlignment="1" pivotButton="0" quotePrefix="0" xfId="1">
      <alignment horizontal="center" vertical="center"/>
    </xf>
    <xf numFmtId="168" fontId="15" fillId="17" borderId="6" applyAlignment="1" pivotButton="0" quotePrefix="0" xfId="1">
      <alignment horizontal="center" vertical="center"/>
    </xf>
    <xf numFmtId="3" fontId="14" fillId="37" borderId="32" applyAlignment="1" pivotButton="0" quotePrefix="0" xfId="6">
      <alignment horizontal="center" vertical="center"/>
    </xf>
    <xf numFmtId="1" fontId="14" fillId="37" borderId="6" applyAlignment="1" pivotButton="0" quotePrefix="0" xfId="5">
      <alignment horizontal="center" vertical="center"/>
    </xf>
    <xf numFmtId="1" fontId="14" fillId="37" borderId="6" applyAlignment="1" pivotButton="0" quotePrefix="0" xfId="3">
      <alignment horizontal="center" vertical="center"/>
    </xf>
    <xf numFmtId="166" fontId="14" fillId="37" borderId="6" applyAlignment="1" pivotButton="0" quotePrefix="0" xfId="3">
      <alignment horizontal="center" vertical="center"/>
    </xf>
    <xf numFmtId="3" fontId="9" fillId="37" borderId="6" applyAlignment="1" pivotButton="0" quotePrefix="0" xfId="6">
      <alignment vertical="center"/>
    </xf>
    <xf numFmtId="168" fontId="18" fillId="0" borderId="0" applyAlignment="1" pivotButton="0" quotePrefix="0" xfId="6">
      <alignment horizontal="center" vertical="center"/>
    </xf>
    <xf numFmtId="168" fontId="19" fillId="0" borderId="0" applyAlignment="1" pivotButton="0" quotePrefix="0" xfId="6">
      <alignment horizontal="center" vertical="center"/>
    </xf>
    <xf numFmtId="168" fontId="18" fillId="0" borderId="0" applyAlignment="1" pivotButton="0" quotePrefix="0" xfId="1">
      <alignment horizontal="center" vertical="center"/>
    </xf>
    <xf numFmtId="3" fontId="14" fillId="37" borderId="34" applyAlignment="1" pivotButton="0" quotePrefix="0" xfId="6">
      <alignment horizontal="center" vertical="center"/>
    </xf>
    <xf numFmtId="168" fontId="14" fillId="37" borderId="6" applyAlignment="1" pivotButton="0" quotePrefix="0" xfId="1">
      <alignment horizontal="center" vertical="center"/>
    </xf>
    <xf numFmtId="168" fontId="15" fillId="37" borderId="6" applyAlignment="1" pivotButton="0" quotePrefix="0" xfId="1">
      <alignment horizontal="center" vertical="center"/>
    </xf>
    <xf numFmtId="49" fontId="13" fillId="37" borderId="31" applyAlignment="1" pivotButton="0" quotePrefix="0" xfId="6">
      <alignment horizontal="center" vertical="center"/>
    </xf>
    <xf numFmtId="49" fontId="13" fillId="37" borderId="0" applyAlignment="1" pivotButton="0" quotePrefix="0" xfId="6">
      <alignment horizontal="center" vertical="center"/>
    </xf>
    <xf numFmtId="3" fontId="14" fillId="39" borderId="22" applyAlignment="1" pivotButton="0" quotePrefix="0" xfId="6">
      <alignment horizontal="center" vertical="center"/>
    </xf>
    <xf numFmtId="3" fontId="14" fillId="38" borderId="22" applyAlignment="1" pivotButton="0" quotePrefix="0" xfId="6">
      <alignment horizontal="center" vertical="center"/>
    </xf>
    <xf numFmtId="168" fontId="10" fillId="0" borderId="30" applyAlignment="1" pivotButton="0" quotePrefix="0" xfId="6">
      <alignment horizontal="left" vertical="center"/>
    </xf>
    <xf numFmtId="169" fontId="10" fillId="7" borderId="0" applyAlignment="1" pivotButton="0" quotePrefix="0" xfId="6">
      <alignment horizontal="center" vertical="center"/>
    </xf>
    <xf numFmtId="168" fontId="14" fillId="0" borderId="6" applyAlignment="1" pivotButton="0" quotePrefix="0" xfId="1">
      <alignment horizontal="center" vertical="center"/>
    </xf>
    <xf numFmtId="168" fontId="15" fillId="0" borderId="6" applyAlignment="1" pivotButton="0" quotePrefix="0" xfId="1">
      <alignment horizontal="center" vertical="center"/>
    </xf>
    <xf numFmtId="168" fontId="13" fillId="0" borderId="0" applyAlignment="1" pivotButton="0" quotePrefix="0" xfId="7">
      <alignment horizontal="center" vertical="center" wrapText="1"/>
    </xf>
    <xf numFmtId="170" fontId="9" fillId="0" borderId="0" applyAlignment="1" pivotButton="0" quotePrefix="0" xfId="6">
      <alignment vertical="center"/>
    </xf>
    <xf numFmtId="169" fontId="10" fillId="0" borderId="0" applyAlignment="1" pivotButton="0" quotePrefix="0" xfId="6">
      <alignment horizontal="center" vertical="center"/>
    </xf>
    <xf numFmtId="170" fontId="9" fillId="0" borderId="33" applyAlignment="1" pivotButton="0" quotePrefix="0" xfId="6">
      <alignment vertical="center"/>
    </xf>
    <xf numFmtId="169" fontId="10" fillId="0" borderId="33" applyAlignment="1" pivotButton="0" quotePrefix="0" xfId="6">
      <alignment horizontal="center" vertical="center"/>
    </xf>
    <xf numFmtId="168" fontId="22" fillId="7" borderId="0" applyAlignment="1" pivotButton="0" quotePrefix="0" xfId="7">
      <alignment vertical="center"/>
    </xf>
    <xf numFmtId="171" fontId="10" fillId="0" borderId="0" applyAlignment="1" pivotButton="0" quotePrefix="0" xfId="6">
      <alignment horizontal="center" vertical="center"/>
    </xf>
    <xf numFmtId="169" fontId="10" fillId="7" borderId="39" applyAlignment="1" pivotButton="0" quotePrefix="0" xfId="6">
      <alignment horizontal="center" vertical="center"/>
    </xf>
    <xf numFmtId="168" fontId="14" fillId="0" borderId="6" applyAlignment="1" pivotButton="0" quotePrefix="0" xfId="5">
      <alignment horizontal="center" vertical="center"/>
    </xf>
    <xf numFmtId="172" fontId="3" fillId="0" borderId="1" applyAlignment="1" pivotButton="0" quotePrefix="0" xfId="0">
      <alignment horizontal="center" vertical="center"/>
    </xf>
    <xf numFmtId="172" fontId="3" fillId="0" borderId="12" applyAlignment="1" pivotButton="0" quotePrefix="0" xfId="0">
      <alignment vertical="center"/>
    </xf>
    <xf numFmtId="172" fontId="3" fillId="0" borderId="16" applyAlignment="1" pivotButton="0" quotePrefix="0" xfId="0">
      <alignment vertical="center"/>
    </xf>
    <xf numFmtId="173" fontId="14" fillId="0" borderId="6" applyAlignment="1" pivotButton="0" quotePrefix="0" xfId="0">
      <alignment vertical="center"/>
    </xf>
    <xf numFmtId="4" fontId="3" fillId="0" borderId="46" applyAlignment="1" pivotButton="0" quotePrefix="0" xfId="0">
      <alignment horizontal="right" vertical="center"/>
    </xf>
    <xf numFmtId="10" fontId="3" fillId="0" borderId="47" applyAlignment="1" pivotButton="0" quotePrefix="0" xfId="0">
      <alignment horizontal="center" vertical="center"/>
    </xf>
    <xf numFmtId="49" fontId="5" fillId="0" borderId="49" applyAlignment="1" pivotButton="0" quotePrefix="0" xfId="0">
      <alignment horizontal="center" vertical="center" wrapText="1"/>
    </xf>
    <xf numFmtId="1" fontId="3" fillId="0" borderId="0" applyAlignment="1" pivotButton="0" quotePrefix="0" xfId="0">
      <alignment vertical="center"/>
    </xf>
    <xf numFmtId="1" fontId="17" fillId="0" borderId="6" applyAlignment="1" pivotButton="0" quotePrefix="0" xfId="1">
      <alignment horizontal="center" vertical="center" wrapText="1"/>
    </xf>
    <xf numFmtId="49" fontId="15" fillId="0" borderId="6" applyAlignment="1" pivotButton="0" quotePrefix="0" xfId="6">
      <alignment horizontal="center" vertical="center" wrapText="1"/>
    </xf>
    <xf numFmtId="3" fontId="9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8" fontId="9" fillId="0" borderId="0" applyAlignment="1" pivotButton="0" quotePrefix="0" xfId="6">
      <alignment vertical="center"/>
    </xf>
    <xf numFmtId="1" fontId="9" fillId="0" borderId="0" applyAlignment="1" pivotButton="0" quotePrefix="0" xfId="6">
      <alignment vertical="center"/>
    </xf>
    <xf numFmtId="1" fontId="10" fillId="0" borderId="0" applyAlignment="1" pivotButton="0" quotePrefix="0" xfId="6">
      <alignment horizontal="center" vertical="center"/>
    </xf>
    <xf numFmtId="3" fontId="10" fillId="0" borderId="0" applyAlignment="1" pivotButton="0" quotePrefix="0" xfId="6">
      <alignment horizontal="center" vertical="center"/>
    </xf>
    <xf numFmtId="3" fontId="10" fillId="0" borderId="39" applyAlignment="1" pivotButton="0" quotePrefix="0" xfId="6">
      <alignment horizontal="center" vertical="center"/>
    </xf>
    <xf numFmtId="164" fontId="3" fillId="0" borderId="0" applyAlignment="1" pivotButton="0" quotePrefix="0" xfId="0">
      <alignment vertical="center"/>
    </xf>
    <xf numFmtId="164" fontId="7" fillId="0" borderId="0" pivotButton="0" quotePrefix="0" xfId="0"/>
    <xf numFmtId="164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164" fontId="5" fillId="0" borderId="35" applyAlignment="1" pivotButton="0" quotePrefix="0" xfId="0">
      <alignment horizontal="center" vertical="center" wrapText="1"/>
    </xf>
    <xf numFmtId="164" fontId="4" fillId="0" borderId="45" applyAlignment="1" pivotButton="0" quotePrefix="0" xfId="0">
      <alignment horizontal="right" vertical="center"/>
    </xf>
    <xf numFmtId="164" fontId="4" fillId="0" borderId="7" applyAlignment="1" pivotButton="0" quotePrefix="0" xfId="0">
      <alignment horizontal="right" vertical="center"/>
    </xf>
    <xf numFmtId="164" fontId="4" fillId="0" borderId="4" applyAlignment="1" pivotButton="0" quotePrefix="0" xfId="0">
      <alignment horizontal="right" vertical="center"/>
    </xf>
    <xf numFmtId="174" fontId="3" fillId="0" borderId="0" applyAlignment="1" pivotButton="0" quotePrefix="0" xfId="1">
      <alignment vertical="center"/>
    </xf>
    <xf numFmtId="164" fontId="3" fillId="0" borderId="50" applyAlignment="1" pivotButton="0" quotePrefix="0" xfId="0">
      <alignment vertical="center"/>
    </xf>
    <xf numFmtId="164" fontId="3" fillId="0" borderId="48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164" fontId="1" fillId="0" borderId="0" pivotButton="0" quotePrefix="0" xfId="1"/>
    <xf numFmtId="164" fontId="5" fillId="0" borderId="12" applyAlignment="1" pivotButton="0" quotePrefix="0" xfId="0">
      <alignment horizontal="center" vertical="center" wrapText="1"/>
    </xf>
    <xf numFmtId="164" fontId="5" fillId="0" borderId="15" applyAlignment="1" pivotButton="0" quotePrefix="0" xfId="0">
      <alignment horizontal="center" vertical="center" wrapText="1"/>
    </xf>
    <xf numFmtId="164" fontId="5" fillId="0" borderId="28" applyAlignment="1" pivotButton="0" quotePrefix="0" xfId="0">
      <alignment horizontal="center" vertical="center" wrapText="1"/>
    </xf>
    <xf numFmtId="164" fontId="5" fillId="0" borderId="26" applyAlignment="1" pivotButton="0" quotePrefix="0" xfId="0">
      <alignment horizontal="center" vertical="center" wrapText="1"/>
    </xf>
    <xf numFmtId="164" fontId="3" fillId="0" borderId="27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3" fillId="0" borderId="4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center" vertical="center" wrapText="1"/>
    </xf>
    <xf numFmtId="175" fontId="3" fillId="0" borderId="0" applyAlignment="1" pivotButton="0" quotePrefix="0" xfId="0">
      <alignment vertical="center"/>
    </xf>
    <xf numFmtId="176" fontId="3" fillId="0" borderId="4" applyAlignment="1" pivotButton="0" quotePrefix="0" xfId="0">
      <alignment vertical="center"/>
    </xf>
    <xf numFmtId="164" fontId="4" fillId="0" borderId="44" applyAlignment="1" pivotButton="0" quotePrefix="0" xfId="0">
      <alignment horizontal="right" vertical="center"/>
    </xf>
    <xf numFmtId="164" fontId="4" fillId="0" borderId="21" applyAlignment="1" pivotButton="0" quotePrefix="0" xfId="0">
      <alignment horizontal="right" vertical="center"/>
    </xf>
    <xf numFmtId="164" fontId="4" fillId="0" borderId="16" applyAlignment="1" pivotButton="0" quotePrefix="0" xfId="0">
      <alignment horizontal="right" vertical="center"/>
    </xf>
    <xf numFmtId="177" fontId="3" fillId="0" borderId="4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3" fillId="0" borderId="38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78" fontId="9" fillId="0" borderId="0" applyAlignment="1" pivotButton="0" quotePrefix="0" xfId="0">
      <alignment vertical="center"/>
    </xf>
    <xf numFmtId="164" fontId="6" fillId="0" borderId="0" applyAlignment="1" pivotButton="0" quotePrefix="0" xfId="0">
      <alignment horizontal="right" vertical="center"/>
    </xf>
    <xf numFmtId="164" fontId="19" fillId="0" borderId="0" applyAlignment="1" pivotButton="0" quotePrefix="0" xfId="4">
      <alignment horizontal="center" vertical="center"/>
    </xf>
    <xf numFmtId="179" fontId="19" fillId="0" borderId="0" applyAlignment="1" pivotButton="0" quotePrefix="0" xfId="3">
      <alignment horizontal="center" vertical="center"/>
    </xf>
    <xf numFmtId="164" fontId="13" fillId="0" borderId="0" applyAlignment="1" pivotButton="0" quotePrefix="0" xfId="4">
      <alignment vertical="center"/>
    </xf>
    <xf numFmtId="174" fontId="9" fillId="0" borderId="0" applyAlignment="1" pivotButton="0" quotePrefix="0" xfId="6">
      <alignment vertical="center"/>
    </xf>
    <xf numFmtId="164" fontId="10" fillId="0" borderId="6" applyAlignment="1" pivotButton="0" quotePrefix="0" xfId="6">
      <alignment horizontal="center" vertical="center"/>
    </xf>
    <xf numFmtId="164" fontId="8" fillId="25" borderId="6" applyAlignment="1" pivotButton="0" quotePrefix="0" xfId="0">
      <alignment vertical="center"/>
    </xf>
    <xf numFmtId="174" fontId="9" fillId="25" borderId="6" applyAlignment="1" pivotButton="0" quotePrefix="0" xfId="0">
      <alignment vertical="center"/>
    </xf>
    <xf numFmtId="174" fontId="9" fillId="0" borderId="0" applyAlignment="1" pivotButton="0" quotePrefix="0" xfId="1">
      <alignment vertical="center"/>
    </xf>
    <xf numFmtId="164" fontId="5" fillId="0" borderId="0" applyAlignment="1" pivotButton="0" quotePrefix="0" xfId="0">
      <alignment vertical="center"/>
    </xf>
    <xf numFmtId="164" fontId="4" fillId="0" borderId="0" applyAlignment="1" pivotButton="0" quotePrefix="0" xfId="4">
      <alignment vertical="center"/>
    </xf>
    <xf numFmtId="174" fontId="5" fillId="0" borderId="0" applyAlignment="1" pivotButton="0" quotePrefix="0" xfId="0">
      <alignment vertical="center"/>
    </xf>
    <xf numFmtId="178" fontId="3" fillId="0" borderId="0" applyAlignment="1" pivotButton="0" quotePrefix="0" xfId="0">
      <alignment vertical="center"/>
    </xf>
    <xf numFmtId="174" fontId="5" fillId="0" borderId="0" applyAlignment="1" pivotButton="0" quotePrefix="0" xfId="0">
      <alignment horizontal="right" vertical="center"/>
    </xf>
    <xf numFmtId="164" fontId="8" fillId="27" borderId="6" applyAlignment="1" pivotButton="0" quotePrefix="0" xfId="0">
      <alignment vertical="center"/>
    </xf>
    <xf numFmtId="174" fontId="9" fillId="27" borderId="6" applyAlignment="1" pivotButton="0" quotePrefix="0" xfId="0">
      <alignment vertical="center"/>
    </xf>
    <xf numFmtId="164" fontId="8" fillId="31" borderId="6" applyAlignment="1" pivotButton="0" quotePrefix="0" xfId="0">
      <alignment vertical="center"/>
    </xf>
    <xf numFmtId="174" fontId="9" fillId="31" borderId="6" applyAlignment="1" pivotButton="0" quotePrefix="0" xfId="0">
      <alignment vertical="center"/>
    </xf>
    <xf numFmtId="164" fontId="8" fillId="20" borderId="6" applyAlignment="1" pivotButton="0" quotePrefix="0" xfId="0">
      <alignment vertical="center"/>
    </xf>
    <xf numFmtId="174" fontId="9" fillId="20" borderId="6" applyAlignment="1" pivotButton="0" quotePrefix="0" xfId="0">
      <alignment vertical="center"/>
    </xf>
    <xf numFmtId="164" fontId="26" fillId="7" borderId="0" applyAlignment="1" pivotButton="0" quotePrefix="0" xfId="0">
      <alignment vertical="center"/>
    </xf>
    <xf numFmtId="164" fontId="25" fillId="7" borderId="0" applyAlignment="1" pivotButton="0" quotePrefix="0" xfId="0">
      <alignment horizontal="right" vertical="center"/>
    </xf>
    <xf numFmtId="174" fontId="25" fillId="7" borderId="0" applyAlignment="1" pivotButton="0" quotePrefix="0" xfId="0">
      <alignment horizontal="right" vertical="center"/>
    </xf>
    <xf numFmtId="164" fontId="26" fillId="0" borderId="0" applyAlignment="1" pivotButton="0" quotePrefix="0" xfId="0">
      <alignment vertical="center"/>
    </xf>
    <xf numFmtId="174" fontId="25" fillId="0" borderId="0" applyAlignment="1" pivotButton="0" quotePrefix="0" xfId="0">
      <alignment horizontal="right" vertical="center"/>
    </xf>
    <xf numFmtId="174" fontId="9" fillId="0" borderId="0" applyAlignment="1" pivotButton="0" quotePrefix="0" xfId="0">
      <alignment vertical="center"/>
    </xf>
    <xf numFmtId="174" fontId="6" fillId="0" borderId="0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/>
    </xf>
    <xf numFmtId="179" fontId="18" fillId="0" borderId="0" applyAlignment="1" pivotButton="0" quotePrefix="0" xfId="1">
      <alignment horizontal="center" vertical="center"/>
    </xf>
    <xf numFmtId="164" fontId="14" fillId="0" borderId="0" applyAlignment="1" pivotButton="0" quotePrefix="0" xfId="0">
      <alignment horizontal="center" vertical="center"/>
    </xf>
    <xf numFmtId="179" fontId="14" fillId="0" borderId="0" applyAlignment="1" pivotButton="0" quotePrefix="0" xfId="1">
      <alignment horizontal="center" vertical="center"/>
    </xf>
    <xf numFmtId="164" fontId="14" fillId="0" borderId="6" applyAlignment="1" pivotButton="0" quotePrefix="0" xfId="0">
      <alignment vertical="center"/>
    </xf>
    <xf numFmtId="174" fontId="9" fillId="0" borderId="6" applyAlignment="1" pivotButton="0" quotePrefix="0" xfId="0">
      <alignment vertical="center"/>
    </xf>
    <xf numFmtId="164" fontId="9" fillId="0" borderId="0" applyAlignment="1" pivotButton="0" quotePrefix="0" xfId="0">
      <alignment horizontal="right" vertical="center"/>
    </xf>
    <xf numFmtId="164" fontId="8" fillId="35" borderId="31" applyAlignment="1" pivotButton="0" quotePrefix="0" xfId="0">
      <alignment vertical="center"/>
    </xf>
    <xf numFmtId="174" fontId="9" fillId="35" borderId="0" applyAlignment="1" pivotButton="0" quotePrefix="0" xfId="0">
      <alignment vertical="center"/>
    </xf>
    <xf numFmtId="174" fontId="9" fillId="35" borderId="6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right" vertical="center"/>
    </xf>
    <xf numFmtId="17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vertical="center"/>
    </xf>
    <xf numFmtId="164" fontId="6" fillId="5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right" vertical="center"/>
    </xf>
    <xf numFmtId="174" fontId="6" fillId="5" borderId="0" applyAlignment="1" pivotButton="0" quotePrefix="0" xfId="0">
      <alignment vertical="center"/>
    </xf>
    <xf numFmtId="178" fontId="12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right" vertical="center"/>
    </xf>
    <xf numFmtId="164" fontId="8" fillId="33" borderId="6" applyAlignment="1" pivotButton="0" quotePrefix="0" xfId="0">
      <alignment vertical="center"/>
    </xf>
    <xf numFmtId="174" fontId="9" fillId="33" borderId="6" applyAlignment="1" pivotButton="0" quotePrefix="0" xfId="0">
      <alignment vertical="center"/>
    </xf>
    <xf numFmtId="164" fontId="10" fillId="0" borderId="16" applyAlignment="1" pivotButton="0" quotePrefix="0" xfId="0">
      <alignment horizontal="right" vertical="center"/>
    </xf>
    <xf numFmtId="174" fontId="11" fillId="4" borderId="0" applyAlignment="1" pivotButton="0" quotePrefix="0" xfId="1">
      <alignment horizontal="center" vertical="center"/>
    </xf>
    <xf numFmtId="174" fontId="11" fillId="4" borderId="0" applyAlignment="1" pivotButton="0" quotePrefix="0" xfId="0">
      <alignment vertical="center"/>
    </xf>
    <xf numFmtId="174" fontId="11" fillId="3" borderId="0" applyAlignment="1" pivotButton="0" quotePrefix="0" xfId="1">
      <alignment horizontal="center" vertical="center"/>
    </xf>
    <xf numFmtId="174" fontId="11" fillId="3" borderId="0" applyAlignment="1" pivotButton="0" quotePrefix="0" xfId="0">
      <alignment vertical="center"/>
    </xf>
    <xf numFmtId="174" fontId="11" fillId="2" borderId="0" applyAlignment="1" pivotButton="0" quotePrefix="0" xfId="1">
      <alignment horizontal="center" vertical="center"/>
    </xf>
    <xf numFmtId="164" fontId="9" fillId="2" borderId="0" applyAlignment="1" pivotButton="0" quotePrefix="0" xfId="6">
      <alignment vertical="center"/>
    </xf>
    <xf numFmtId="164" fontId="9" fillId="0" borderId="0" applyAlignment="1" pivotButton="0" quotePrefix="0" xfId="6">
      <alignment vertical="center"/>
    </xf>
    <xf numFmtId="164" fontId="9" fillId="0" borderId="0" applyAlignment="1" pivotButton="0" quotePrefix="0" xfId="6">
      <alignment horizontal="center" vertical="center"/>
    </xf>
    <xf numFmtId="164" fontId="6" fillId="0" borderId="0" applyAlignment="1" pivotButton="0" quotePrefix="0" xfId="6">
      <alignment horizontal="right" vertical="center"/>
    </xf>
    <xf numFmtId="164" fontId="6" fillId="0" borderId="0" applyAlignment="1" pivotButton="0" quotePrefix="0" xfId="6">
      <alignment vertical="center"/>
    </xf>
    <xf numFmtId="164" fontId="6" fillId="0" borderId="0" applyAlignment="1" pivotButton="0" quotePrefix="0" xfId="6">
      <alignment horizontal="center" vertical="center"/>
    </xf>
    <xf numFmtId="164" fontId="19" fillId="0" borderId="0" applyAlignment="1" pivotButton="0" quotePrefix="0" xfId="7">
      <alignment horizontal="center" vertical="center"/>
    </xf>
    <xf numFmtId="164" fontId="13" fillId="0" borderId="0" applyAlignment="1" pivotButton="0" quotePrefix="0" xfId="7">
      <alignment vertical="center"/>
    </xf>
    <xf numFmtId="164" fontId="13" fillId="0" borderId="0" applyAlignment="1" pivotButton="0" quotePrefix="0" xfId="7">
      <alignment horizontal="center" vertical="center"/>
    </xf>
    <xf numFmtId="164" fontId="8" fillId="23" borderId="6" applyAlignment="1" pivotButton="0" quotePrefix="0" xfId="6">
      <alignment vertical="center"/>
    </xf>
    <xf numFmtId="174" fontId="9" fillId="23" borderId="0" applyAlignment="1" pivotButton="0" quotePrefix="0" xfId="6">
      <alignment vertical="center"/>
    </xf>
    <xf numFmtId="174" fontId="9" fillId="23" borderId="6" applyAlignment="1" pivotButton="0" quotePrefix="0" xfId="6">
      <alignment vertical="center"/>
    </xf>
    <xf numFmtId="164" fontId="10" fillId="0" borderId="0" applyAlignment="1" pivotButton="0" quotePrefix="0" xfId="6">
      <alignment vertical="center"/>
    </xf>
    <xf numFmtId="174" fontId="10" fillId="0" borderId="0" applyAlignment="1" pivotButton="0" quotePrefix="0" xfId="6">
      <alignment vertical="center"/>
    </xf>
    <xf numFmtId="164" fontId="14" fillId="17" borderId="6" applyAlignment="1" pivotButton="0" quotePrefix="0" xfId="6">
      <alignment vertical="center"/>
    </xf>
    <xf numFmtId="174" fontId="9" fillId="17" borderId="0" applyAlignment="1" pivotButton="0" quotePrefix="0" xfId="6">
      <alignment vertical="center"/>
    </xf>
    <xf numFmtId="174" fontId="9" fillId="29" borderId="6" applyAlignment="1" pivotButton="0" quotePrefix="0" xfId="6">
      <alignment vertical="center"/>
    </xf>
    <xf numFmtId="174" fontId="9" fillId="29" borderId="0" applyAlignment="1" pivotButton="0" quotePrefix="0" xfId="6">
      <alignment vertical="center"/>
    </xf>
    <xf numFmtId="164" fontId="26" fillId="7" borderId="0" applyAlignment="1" pivotButton="0" quotePrefix="0" xfId="6">
      <alignment vertical="center"/>
    </xf>
    <xf numFmtId="164" fontId="25" fillId="7" borderId="0" applyAlignment="1" pivotButton="0" quotePrefix="0" xfId="6">
      <alignment horizontal="right" vertical="center"/>
    </xf>
    <xf numFmtId="174" fontId="25" fillId="7" borderId="0" applyAlignment="1" pivotButton="0" quotePrefix="0" xfId="6">
      <alignment horizontal="right" vertical="center"/>
    </xf>
    <xf numFmtId="164" fontId="26" fillId="0" borderId="0" applyAlignment="1" pivotButton="0" quotePrefix="0" xfId="6">
      <alignment vertical="center"/>
    </xf>
    <xf numFmtId="174" fontId="25" fillId="0" borderId="0" applyAlignment="1" pivotButton="0" quotePrefix="0" xfId="6">
      <alignment horizontal="right" vertical="center"/>
    </xf>
    <xf numFmtId="174" fontId="9" fillId="37" borderId="6" applyAlignment="1" pivotButton="0" quotePrefix="0" xfId="6">
      <alignment vertical="center"/>
    </xf>
    <xf numFmtId="174" fontId="9" fillId="37" borderId="0" applyAlignment="1" pivotButton="0" quotePrefix="0" xfId="6">
      <alignment vertical="center"/>
    </xf>
    <xf numFmtId="164" fontId="18" fillId="0" borderId="0" applyAlignment="1" pivotButton="0" quotePrefix="0" xfId="6">
      <alignment horizontal="center" vertical="center"/>
    </xf>
    <xf numFmtId="164" fontId="8" fillId="37" borderId="31" applyAlignment="1" pivotButton="0" quotePrefix="0" xfId="6">
      <alignment vertical="center"/>
    </xf>
    <xf numFmtId="164" fontId="10" fillId="0" borderId="0" applyAlignment="1" pivotButton="0" quotePrefix="0" xfId="6">
      <alignment horizontal="center" vertical="center"/>
    </xf>
    <xf numFmtId="164" fontId="10" fillId="10" borderId="0" applyAlignment="1" pivotButton="0" quotePrefix="0" xfId="6">
      <alignment vertical="center"/>
    </xf>
    <xf numFmtId="174" fontId="11" fillId="2" borderId="0" applyAlignment="1" pivotButton="0" quotePrefix="0" xfId="6">
      <alignment vertical="center"/>
    </xf>
    <xf numFmtId="164" fontId="5" fillId="2" borderId="0" applyAlignment="1" pivotButton="0" quotePrefix="0" xfId="6">
      <alignment horizontal="center" vertical="center"/>
    </xf>
    <xf numFmtId="174" fontId="5" fillId="2" borderId="0" applyAlignment="1" pivotButton="0" quotePrefix="0" xfId="6">
      <alignment vertical="center"/>
    </xf>
    <xf numFmtId="164" fontId="3" fillId="0" borderId="0" applyAlignment="1" pivotButton="0" quotePrefix="0" xfId="6">
      <alignment horizontal="right" vertical="center"/>
    </xf>
    <xf numFmtId="164" fontId="3" fillId="0" borderId="0" applyAlignment="1" pivotButton="0" quotePrefix="0" xfId="6">
      <alignment vertical="center"/>
    </xf>
    <xf numFmtId="174" fontId="5" fillId="0" borderId="0" applyAlignment="1" pivotButton="0" quotePrefix="0" xfId="6">
      <alignment vertical="center"/>
    </xf>
    <xf numFmtId="164" fontId="10" fillId="0" borderId="16" applyAlignment="1" pivotButton="0" quotePrefix="0" xfId="6">
      <alignment horizontal="right" vertical="center"/>
    </xf>
    <xf numFmtId="164" fontId="10" fillId="0" borderId="0" applyAlignment="1" pivotButton="0" quotePrefix="0" xfId="6">
      <alignment horizontal="right" vertical="center"/>
    </xf>
    <xf numFmtId="164" fontId="9" fillId="0" borderId="0" applyAlignment="1" pivotButton="0" quotePrefix="0" xfId="6">
      <alignment horizontal="right" vertical="center"/>
    </xf>
    <xf numFmtId="174" fontId="11" fillId="4" borderId="0" applyAlignment="1" pivotButton="0" quotePrefix="0" xfId="6">
      <alignment vertical="center"/>
    </xf>
    <xf numFmtId="174" fontId="11" fillId="3" borderId="0" applyAlignment="1" pivotButton="0" quotePrefix="0" xfId="6">
      <alignment vertical="center"/>
    </xf>
    <xf numFmtId="164" fontId="9" fillId="7" borderId="0" applyAlignment="1" pivotButton="0" quotePrefix="0" xfId="6">
      <alignment vertical="center"/>
    </xf>
    <xf numFmtId="164" fontId="29" fillId="0" borderId="0" pivotButton="0" quotePrefix="0" xfId="1"/>
    <xf numFmtId="164" fontId="14" fillId="0" borderId="6" applyAlignment="1" pivotButton="0" quotePrefix="0" xfId="6">
      <alignment vertical="center"/>
    </xf>
    <xf numFmtId="174" fontId="9" fillId="0" borderId="6" applyAlignment="1" pivotButton="0" quotePrefix="0" xfId="6">
      <alignment vertical="center"/>
    </xf>
    <xf numFmtId="164" fontId="9" fillId="0" borderId="0" applyAlignment="1" pivotButton="0" quotePrefix="0" xfId="6">
      <alignment horizontal="left" vertical="center"/>
    </xf>
    <xf numFmtId="164" fontId="9" fillId="0" borderId="0" applyAlignment="1" pivotButton="0" quotePrefix="0" xfId="6">
      <alignment horizontal="center" vertical="center" wrapText="1"/>
    </xf>
    <xf numFmtId="164" fontId="13" fillId="0" borderId="0" applyAlignment="1" pivotButton="0" quotePrefix="0" xfId="7">
      <alignment horizontal="center" vertical="center" wrapText="1"/>
    </xf>
    <xf numFmtId="164" fontId="29" fillId="0" borderId="0" applyAlignment="1" pivotButton="0" quotePrefix="0" xfId="1">
      <alignment horizontal="center" vertical="center" wrapText="1"/>
    </xf>
    <xf numFmtId="164" fontId="26" fillId="0" borderId="0" applyAlignment="1" pivotButton="0" quotePrefix="0" xfId="6">
      <alignment horizontal="center" vertical="center" wrapText="1"/>
    </xf>
    <xf numFmtId="164" fontId="10" fillId="0" borderId="0" applyAlignment="1" pivotButton="0" quotePrefix="0" xfId="6">
      <alignment horizontal="center" vertical="center" wrapText="1"/>
    </xf>
    <xf numFmtId="174" fontId="25" fillId="0" borderId="0" applyAlignment="1" pivotButton="0" quotePrefix="0" xfId="6">
      <alignment horizontal="center" vertical="center" wrapText="1"/>
    </xf>
    <xf numFmtId="164" fontId="26" fillId="0" borderId="33" applyAlignment="1" pivotButton="0" quotePrefix="0" xfId="6">
      <alignment vertical="center"/>
    </xf>
    <xf numFmtId="174" fontId="25" fillId="0" borderId="33" applyAlignment="1" pivotButton="0" quotePrefix="0" xfId="6">
      <alignment horizontal="right" vertical="center"/>
    </xf>
    <xf numFmtId="174" fontId="25" fillId="0" borderId="39" applyAlignment="1" pivotButton="0" quotePrefix="0" xfId="6">
      <alignment horizontal="right" vertical="center"/>
    </xf>
    <xf numFmtId="164" fontId="8" fillId="0" borderId="31" applyAlignment="1" pivotButton="0" quotePrefix="0" xfId="6">
      <alignment vertical="center"/>
    </xf>
    <xf numFmtId="164" fontId="14" fillId="0" borderId="31" applyAlignment="1" pivotButton="0" quotePrefix="0" xfId="6">
      <alignment vertical="center"/>
    </xf>
    <xf numFmtId="164" fontId="16" fillId="0" borderId="6" applyAlignment="1" pivotButton="0" quotePrefix="0" xfId="0">
      <alignment vertical="center"/>
    </xf>
    <xf numFmtId="164" fontId="4" fillId="0" borderId="10" applyAlignment="1" pivotButton="0" quotePrefix="0" xfId="0">
      <alignment horizontal="right" vertical="center"/>
    </xf>
    <xf numFmtId="164" fontId="8" fillId="0" borderId="10" applyAlignment="1" pivotButton="0" quotePrefix="0" xfId="0">
      <alignment horizontal="right" vertical="center"/>
    </xf>
    <xf numFmtId="10" fontId="3" fillId="0" borderId="43" applyAlignment="1" pivotButton="0" quotePrefix="0" xfId="2">
      <alignment horizontal="center" vertical="center"/>
    </xf>
    <xf numFmtId="10" fontId="3" fillId="0" borderId="2" applyAlignment="1" pivotButton="0" quotePrefix="0" xfId="2">
      <alignment horizontal="center" vertical="center"/>
    </xf>
    <xf numFmtId="10" fontId="3" fillId="0" borderId="13" applyAlignment="1" pivotButton="0" quotePrefix="0" xfId="2">
      <alignment horizontal="center" vertical="center"/>
    </xf>
    <xf numFmtId="164" fontId="4" fillId="0" borderId="42" applyAlignment="1" pivotButton="0" quotePrefix="0" xfId="0">
      <alignment horizontal="right" vertical="center"/>
    </xf>
    <xf numFmtId="4" fontId="3" fillId="0" borderId="19" applyAlignment="1" pivotButton="0" quotePrefix="0" xfId="0">
      <alignment horizontal="right" vertical="center"/>
    </xf>
    <xf numFmtId="10" fontId="3" fillId="0" borderId="43" applyAlignment="1" pivotButton="0" quotePrefix="0" xfId="0">
      <alignment horizontal="center" vertical="center"/>
    </xf>
    <xf numFmtId="164" fontId="4" fillId="0" borderId="38" applyAlignment="1" pivotButton="0" quotePrefix="0" xfId="0">
      <alignment horizontal="right" vertical="center"/>
    </xf>
    <xf numFmtId="4" fontId="3" fillId="0" borderId="48" applyAlignment="1" pivotButton="0" quotePrefix="0" xfId="0">
      <alignment horizontal="right" vertical="center"/>
    </xf>
    <xf numFmtId="3" fontId="9" fillId="40" borderId="0" applyAlignment="1" pivotButton="0" quotePrefix="0" xfId="0">
      <alignment horizontal="center" vertical="center"/>
    </xf>
    <xf numFmtId="3" fontId="14" fillId="40" borderId="32" applyAlignment="1" pivotButton="0" quotePrefix="0" xfId="6">
      <alignment horizontal="center" vertical="center"/>
    </xf>
    <xf numFmtId="1" fontId="14" fillId="40" borderId="6" applyAlignment="1" pivotButton="0" quotePrefix="0" xfId="5">
      <alignment horizontal="center" vertical="center"/>
    </xf>
    <xf numFmtId="1" fontId="14" fillId="40" borderId="6" applyAlignment="1" pivotButton="0" quotePrefix="0" xfId="3">
      <alignment horizontal="center" vertical="center"/>
    </xf>
    <xf numFmtId="166" fontId="14" fillId="40" borderId="6" applyAlignment="1" pivotButton="0" quotePrefix="0" xfId="3">
      <alignment horizontal="center" vertical="center"/>
    </xf>
    <xf numFmtId="3" fontId="9" fillId="40" borderId="6" applyAlignment="1" pivotButton="0" quotePrefix="0" xfId="6">
      <alignment vertical="center"/>
    </xf>
    <xf numFmtId="174" fontId="9" fillId="40" borderId="6" applyAlignment="1" pivotButton="0" quotePrefix="0" xfId="6">
      <alignment vertical="center"/>
    </xf>
    <xf numFmtId="174" fontId="9" fillId="40" borderId="0" applyAlignment="1" pivotButton="0" quotePrefix="0" xfId="6">
      <alignment vertical="center"/>
    </xf>
    <xf numFmtId="164" fontId="8" fillId="40" borderId="31" applyAlignment="1" pivotButton="0" quotePrefix="0" xfId="6">
      <alignment vertical="center"/>
    </xf>
    <xf numFmtId="49" fontId="13" fillId="40" borderId="31" applyAlignment="1" pivotButton="0" quotePrefix="0" xfId="6">
      <alignment horizontal="center" vertical="center"/>
    </xf>
    <xf numFmtId="49" fontId="13" fillId="40" borderId="0" applyAlignment="1" pivotButton="0" quotePrefix="0" xfId="6">
      <alignment horizontal="center" vertical="center"/>
    </xf>
    <xf numFmtId="3" fontId="14" fillId="40" borderId="22" applyAlignment="1" pivotButton="0" quotePrefix="0" xfId="6">
      <alignment horizontal="center" vertical="center"/>
    </xf>
    <xf numFmtId="3" fontId="14" fillId="41" borderId="34" applyAlignment="1" pivotButton="0" quotePrefix="0" xfId="6">
      <alignment horizontal="center" vertical="center"/>
    </xf>
    <xf numFmtId="168" fontId="14" fillId="40" borderId="6" applyAlignment="1" pivotButton="0" quotePrefix="0" xfId="1">
      <alignment horizontal="center" vertical="center"/>
    </xf>
    <xf numFmtId="168" fontId="15" fillId="40" borderId="6" applyAlignment="1" pivotButton="0" quotePrefix="0" xfId="1">
      <alignment horizontal="center" vertical="center"/>
    </xf>
    <xf numFmtId="3" fontId="9" fillId="42" borderId="0" applyAlignment="1" pivotButton="0" quotePrefix="0" xfId="0">
      <alignment horizontal="center" vertical="center"/>
    </xf>
    <xf numFmtId="164" fontId="8" fillId="42" borderId="6" applyAlignment="1" pivotButton="0" quotePrefix="0" xfId="0">
      <alignment vertical="center"/>
    </xf>
    <xf numFmtId="49" fontId="14" fillId="42" borderId="6" applyAlignment="1" pivotButton="0" quotePrefix="0" xfId="0">
      <alignment horizontal="center" vertical="center"/>
    </xf>
    <xf numFmtId="3" fontId="14" fillId="42" borderId="32" applyAlignment="1" pivotButton="0" quotePrefix="0" xfId="0">
      <alignment horizontal="center" vertical="center"/>
    </xf>
    <xf numFmtId="3" fontId="14" fillId="42" borderId="34" applyAlignment="1" pivotButton="0" quotePrefix="0" xfId="0">
      <alignment horizontal="center" vertical="center"/>
    </xf>
    <xf numFmtId="3" fontId="14" fillId="42" borderId="6" applyAlignment="1" pivotButton="0" quotePrefix="0" xfId="3">
      <alignment horizontal="center" vertical="center"/>
    </xf>
    <xf numFmtId="166" fontId="14" fillId="42" borderId="31" applyAlignment="1" pivotButton="0" quotePrefix="0" xfId="0">
      <alignment horizontal="center" vertical="center"/>
    </xf>
    <xf numFmtId="0" fontId="0" fillId="42" borderId="0" pivotButton="0" quotePrefix="0" xfId="0"/>
    <xf numFmtId="3" fontId="9" fillId="42" borderId="6" applyAlignment="1" pivotButton="0" quotePrefix="0" xfId="0">
      <alignment vertical="center"/>
    </xf>
    <xf numFmtId="174" fontId="9" fillId="42" borderId="6" applyAlignment="1" pivotButton="0" quotePrefix="0" xfId="0">
      <alignment vertical="center"/>
    </xf>
    <xf numFmtId="49" fontId="14" fillId="42" borderId="32" applyAlignment="1" pivotButton="0" quotePrefix="0" xfId="0">
      <alignment horizontal="center" vertical="center"/>
    </xf>
    <xf numFmtId="3" fontId="14" fillId="43" borderId="32" applyAlignment="1" pivotButton="0" quotePrefix="0" xfId="0">
      <alignment horizontal="center" vertical="center"/>
    </xf>
    <xf numFmtId="174" fontId="9" fillId="42" borderId="0" applyAlignment="1" pivotButton="0" quotePrefix="0" xfId="0">
      <alignment vertical="center"/>
    </xf>
    <xf numFmtId="165" fontId="14" fillId="42" borderId="6" applyAlignment="1" pivotButton="0" quotePrefix="0" xfId="1">
      <alignment horizontal="center" vertical="center"/>
    </xf>
    <xf numFmtId="165" fontId="15" fillId="42" borderId="6" applyAlignment="1" pivotButton="0" quotePrefix="0" xfId="1">
      <alignment horizontal="center" vertical="center"/>
    </xf>
    <xf numFmtId="3" fontId="14" fillId="42" borderId="6" applyAlignment="1" pivotButton="0" quotePrefix="0" xfId="1">
      <alignment horizontal="center" vertical="center"/>
    </xf>
    <xf numFmtId="3" fontId="9" fillId="44" borderId="0" applyAlignment="1" pivotButton="0" quotePrefix="0" xfId="0">
      <alignment horizontal="center" vertical="center"/>
    </xf>
    <xf numFmtId="1" fontId="14" fillId="44" borderId="6" applyAlignment="1" pivotButton="0" quotePrefix="0" xfId="5">
      <alignment horizontal="center" vertical="center"/>
    </xf>
    <xf numFmtId="1" fontId="14" fillId="44" borderId="6" applyAlignment="1" pivotButton="0" quotePrefix="0" xfId="3">
      <alignment horizontal="center" vertical="center"/>
    </xf>
    <xf numFmtId="166" fontId="14" fillId="44" borderId="6" applyAlignment="1" pivotButton="0" quotePrefix="0" xfId="3">
      <alignment horizontal="center" vertical="center"/>
    </xf>
    <xf numFmtId="3" fontId="9" fillId="44" borderId="6" applyAlignment="1" pivotButton="0" quotePrefix="0" xfId="6">
      <alignment vertical="center"/>
    </xf>
    <xf numFmtId="174" fontId="9" fillId="44" borderId="6" applyAlignment="1" pivotButton="0" quotePrefix="0" xfId="6">
      <alignment vertical="center"/>
    </xf>
    <xf numFmtId="174" fontId="9" fillId="44" borderId="0" applyAlignment="1" pivotButton="0" quotePrefix="0" xfId="6">
      <alignment vertical="center"/>
    </xf>
    <xf numFmtId="164" fontId="8" fillId="44" borderId="31" applyAlignment="1" pivotButton="0" quotePrefix="0" xfId="6">
      <alignment vertical="center"/>
    </xf>
    <xf numFmtId="49" fontId="13" fillId="44" borderId="31" applyAlignment="1" pivotButton="0" quotePrefix="0" xfId="6">
      <alignment horizontal="center" vertical="center"/>
    </xf>
    <xf numFmtId="49" fontId="13" fillId="44" borderId="0" applyAlignment="1" pivotButton="0" quotePrefix="0" xfId="6">
      <alignment horizontal="center" vertical="center"/>
    </xf>
    <xf numFmtId="3" fontId="14" fillId="44" borderId="34" applyAlignment="1" pivotButton="0" quotePrefix="0" xfId="6">
      <alignment horizontal="center" vertical="center"/>
    </xf>
    <xf numFmtId="168" fontId="14" fillId="44" borderId="6" applyAlignment="1" pivotButton="0" quotePrefix="0" xfId="1">
      <alignment horizontal="center" vertical="center"/>
    </xf>
    <xf numFmtId="168" fontId="15" fillId="44" borderId="6" applyAlignment="1" pivotButton="0" quotePrefix="0" xfId="1">
      <alignment horizontal="center" vertical="center"/>
    </xf>
    <xf numFmtId="3" fontId="14" fillId="44" borderId="33" applyAlignment="1" pivotButton="0" quotePrefix="0" xfId="6">
      <alignment horizontal="center" vertical="center"/>
    </xf>
    <xf numFmtId="3" fontId="14" fillId="45" borderId="32" applyAlignment="1" pivotButton="0" quotePrefix="0" xfId="6">
      <alignment horizontal="center" vertical="center"/>
    </xf>
    <xf numFmtId="3" fontId="9" fillId="46" borderId="0" applyAlignment="1" pivotButton="0" quotePrefix="0" xfId="0">
      <alignment horizontal="center" vertical="center"/>
    </xf>
    <xf numFmtId="164" fontId="8" fillId="46" borderId="6" applyAlignment="1" pivotButton="0" quotePrefix="0" xfId="6">
      <alignment vertical="center"/>
    </xf>
    <xf numFmtId="49" fontId="14" fillId="46" borderId="6" applyAlignment="1" pivotButton="0" quotePrefix="0" xfId="6">
      <alignment horizontal="center" vertical="center"/>
    </xf>
    <xf numFmtId="49" fontId="14" fillId="46" borderId="22" applyAlignment="1" pivotButton="0" quotePrefix="0" xfId="6">
      <alignment horizontal="center" vertical="center"/>
    </xf>
    <xf numFmtId="3" fontId="14" fillId="46" borderId="32" applyAlignment="1" pivotButton="0" quotePrefix="0" xfId="6">
      <alignment horizontal="center" vertical="center"/>
    </xf>
    <xf numFmtId="1" fontId="14" fillId="46" borderId="6" applyAlignment="1" pivotButton="0" quotePrefix="0" xfId="5">
      <alignment horizontal="center" vertical="center"/>
    </xf>
    <xf numFmtId="1" fontId="14" fillId="46" borderId="6" applyAlignment="1" pivotButton="0" quotePrefix="0" xfId="3">
      <alignment horizontal="center" vertical="center"/>
    </xf>
    <xf numFmtId="166" fontId="14" fillId="46" borderId="6" applyAlignment="1" pivotButton="0" quotePrefix="0" xfId="3">
      <alignment horizontal="center" vertical="center"/>
    </xf>
    <xf numFmtId="3" fontId="9" fillId="46" borderId="6" applyAlignment="1" pivotButton="0" quotePrefix="0" xfId="6">
      <alignment vertical="center"/>
    </xf>
    <xf numFmtId="174" fontId="9" fillId="46" borderId="6" applyAlignment="1" pivotButton="0" quotePrefix="0" xfId="6">
      <alignment vertical="center"/>
    </xf>
    <xf numFmtId="174" fontId="9" fillId="46" borderId="0" applyAlignment="1" pivotButton="0" quotePrefix="0" xfId="6">
      <alignment vertical="center"/>
    </xf>
    <xf numFmtId="3" fontId="14" fillId="47" borderId="34" applyAlignment="1" pivotButton="0" quotePrefix="0" xfId="6">
      <alignment horizontal="center" vertical="center"/>
    </xf>
    <xf numFmtId="168" fontId="14" fillId="46" borderId="6" applyAlignment="1" pivotButton="0" quotePrefix="0" xfId="1">
      <alignment horizontal="center" vertical="center"/>
    </xf>
    <xf numFmtId="168" fontId="15" fillId="46" borderId="6" applyAlignment="1" pivotButton="0" quotePrefix="0" xfId="1">
      <alignment horizontal="center" vertical="center"/>
    </xf>
    <xf numFmtId="3" fontId="14" fillId="46" borderId="33" applyAlignment="1" pivotButton="0" quotePrefix="0" xfId="6">
      <alignment horizontal="center" vertical="center"/>
    </xf>
    <xf numFmtId="49" fontId="18" fillId="0" borderId="0" applyAlignment="1" pivotButton="0" quotePrefix="0" xfId="6">
      <alignment horizontal="center" vertical="center"/>
    </xf>
    <xf numFmtId="3" fontId="9" fillId="48" borderId="0" applyAlignment="1" pivotButton="0" quotePrefix="0" xfId="0">
      <alignment horizontal="center" vertical="center"/>
    </xf>
    <xf numFmtId="164" fontId="8" fillId="48" borderId="6" applyAlignment="1" pivotButton="0" quotePrefix="0" xfId="0">
      <alignment vertical="center"/>
    </xf>
    <xf numFmtId="49" fontId="14" fillId="48" borderId="6" applyAlignment="1" pivotButton="0" quotePrefix="0" xfId="0">
      <alignment horizontal="center" vertical="center"/>
    </xf>
    <xf numFmtId="49" fontId="14" fillId="48" borderId="22" applyAlignment="1" pivotButton="0" quotePrefix="0" xfId="0">
      <alignment horizontal="center" vertical="center"/>
    </xf>
    <xf numFmtId="3" fontId="14" fillId="48" borderId="22" applyAlignment="1" pivotButton="0" quotePrefix="0" xfId="0">
      <alignment horizontal="center" vertical="center"/>
    </xf>
    <xf numFmtId="3" fontId="14" fillId="48" borderId="32" applyAlignment="1" pivotButton="0" quotePrefix="0" xfId="0">
      <alignment horizontal="center" vertical="center"/>
    </xf>
    <xf numFmtId="3" fontId="14" fillId="49" borderId="34" applyAlignment="1" pivotButton="0" quotePrefix="0" xfId="0">
      <alignment horizontal="center" vertical="center"/>
    </xf>
    <xf numFmtId="165" fontId="14" fillId="48" borderId="6" applyAlignment="1" pivotButton="0" quotePrefix="0" xfId="5">
      <alignment horizontal="center" vertical="center"/>
    </xf>
    <xf numFmtId="165" fontId="15" fillId="48" borderId="6" applyAlignment="1" pivotButton="0" quotePrefix="0" xfId="5">
      <alignment horizontal="center" vertical="center"/>
    </xf>
    <xf numFmtId="3" fontId="14" fillId="48" borderId="6" applyAlignment="1" pivotButton="0" quotePrefix="1" xfId="5">
      <alignment horizontal="center" vertical="center"/>
    </xf>
    <xf numFmtId="3" fontId="14" fillId="48" borderId="6" applyAlignment="1" pivotButton="0" quotePrefix="0" xfId="3">
      <alignment horizontal="center" vertical="center"/>
    </xf>
    <xf numFmtId="166" fontId="14" fillId="48" borderId="31" applyAlignment="1" pivotButton="0" quotePrefix="0" xfId="0">
      <alignment horizontal="center" vertical="center"/>
    </xf>
    <xf numFmtId="0" fontId="0" fillId="48" borderId="0" pivotButton="0" quotePrefix="0" xfId="0"/>
    <xf numFmtId="3" fontId="9" fillId="48" borderId="6" applyAlignment="1" pivotButton="0" quotePrefix="0" xfId="0">
      <alignment vertical="center"/>
    </xf>
    <xf numFmtId="174" fontId="9" fillId="48" borderId="6" applyAlignment="1" pivotButton="0" quotePrefix="0" xfId="0">
      <alignment vertical="center"/>
    </xf>
    <xf numFmtId="3" fontId="14" fillId="49" borderId="22" applyAlignment="1" pivotButton="0" quotePrefix="0" xfId="0">
      <alignment horizontal="center" vertical="center"/>
    </xf>
    <xf numFmtId="3" fontId="14" fillId="48" borderId="34" applyAlignment="1" pivotButton="0" quotePrefix="0" xfId="0">
      <alignment horizontal="center" vertical="center"/>
    </xf>
    <xf numFmtId="164" fontId="14" fillId="48" borderId="6" applyAlignment="1" pivotButton="0" quotePrefix="0" xfId="0">
      <alignment vertical="center"/>
    </xf>
    <xf numFmtId="49" fontId="14" fillId="48" borderId="32" applyAlignment="1" pivotButton="0" quotePrefix="0" xfId="0">
      <alignment horizontal="center" vertical="center"/>
    </xf>
    <xf numFmtId="3" fontId="14" fillId="50" borderId="32" applyAlignment="1" pivotButton="0" quotePrefix="0" xfId="0">
      <alignment horizontal="center" vertical="center"/>
    </xf>
    <xf numFmtId="3" fontId="14" fillId="48" borderId="33" applyAlignment="1" pivotButton="0" quotePrefix="0" xfId="0">
      <alignment horizontal="center" vertical="center"/>
    </xf>
    <xf numFmtId="15" fontId="14" fillId="48" borderId="6" applyAlignment="1" pivotButton="0" quotePrefix="0" xfId="0">
      <alignment horizontal="center" vertical="center"/>
    </xf>
    <xf numFmtId="174" fontId="9" fillId="48" borderId="0" applyAlignment="1" pivotButton="0" quotePrefix="0" xfId="0">
      <alignment vertical="center"/>
    </xf>
    <xf numFmtId="3" fontId="14" fillId="50" borderId="34" applyAlignment="1" pivotButton="0" quotePrefix="0" xfId="0">
      <alignment horizontal="center" vertical="center"/>
    </xf>
    <xf numFmtId="3" fontId="14" fillId="51" borderId="32" applyAlignment="1" pivotButton="0" quotePrefix="0" xfId="0">
      <alignment horizontal="center" vertical="center"/>
    </xf>
    <xf numFmtId="166" fontId="14" fillId="48" borderId="6" applyAlignment="1" pivotButton="0" quotePrefix="0" xfId="0">
      <alignment horizontal="center" vertical="center"/>
    </xf>
    <xf numFmtId="165" fontId="14" fillId="48" borderId="6" applyAlignment="1" pivotButton="0" quotePrefix="0" xfId="1">
      <alignment horizontal="center" vertical="center"/>
    </xf>
    <xf numFmtId="165" fontId="15" fillId="48" borderId="6" applyAlignment="1" pivotButton="0" quotePrefix="0" xfId="1">
      <alignment horizontal="center" vertical="center"/>
    </xf>
    <xf numFmtId="3" fontId="14" fillId="48" borderId="6" applyAlignment="1" pivotButton="0" quotePrefix="0" xfId="1">
      <alignment horizontal="center" vertical="center"/>
    </xf>
    <xf numFmtId="3" fontId="14" fillId="50" borderId="22" applyAlignment="1" pivotButton="0" quotePrefix="0" xfId="0">
      <alignment horizontal="center" vertical="center"/>
    </xf>
    <xf numFmtId="164" fontId="8" fillId="48" borderId="6" applyAlignment="1" pivotButton="0" quotePrefix="0" xfId="6">
      <alignment vertical="center"/>
    </xf>
    <xf numFmtId="49" fontId="14" fillId="48" borderId="6" applyAlignment="1" pivotButton="0" quotePrefix="0" xfId="6">
      <alignment horizontal="center" vertical="center"/>
    </xf>
    <xf numFmtId="49" fontId="14" fillId="48" borderId="22" applyAlignment="1" pivotButton="0" quotePrefix="0" xfId="6">
      <alignment horizontal="center" vertical="center"/>
    </xf>
    <xf numFmtId="3" fontId="14" fillId="49" borderId="32" applyAlignment="1" pivotButton="0" quotePrefix="0" xfId="0">
      <alignment horizontal="center" vertical="center"/>
    </xf>
    <xf numFmtId="3" fontId="14" fillId="48" borderId="32" applyAlignment="1" pivotButton="0" quotePrefix="0" xfId="6">
      <alignment horizontal="center" vertical="center"/>
    </xf>
    <xf numFmtId="168" fontId="14" fillId="48" borderId="6" applyAlignment="1" pivotButton="0" quotePrefix="0" xfId="5">
      <alignment horizontal="center" vertical="center"/>
    </xf>
    <xf numFmtId="1" fontId="14" fillId="48" borderId="6" applyAlignment="1" pivotButton="0" quotePrefix="0" xfId="5">
      <alignment horizontal="center" vertical="center"/>
    </xf>
    <xf numFmtId="1" fontId="14" fillId="48" borderId="6" applyAlignment="1" pivotButton="0" quotePrefix="0" xfId="3">
      <alignment horizontal="center" vertical="center"/>
    </xf>
    <xf numFmtId="166" fontId="14" fillId="48" borderId="6" applyAlignment="1" pivotButton="0" quotePrefix="0" xfId="3">
      <alignment horizontal="center" vertical="center"/>
    </xf>
    <xf numFmtId="3" fontId="9" fillId="48" borderId="6" applyAlignment="1" pivotButton="0" quotePrefix="0" xfId="6">
      <alignment vertical="center"/>
    </xf>
    <xf numFmtId="174" fontId="9" fillId="48" borderId="6" applyAlignment="1" pivotButton="0" quotePrefix="0" xfId="6">
      <alignment vertical="center"/>
    </xf>
    <xf numFmtId="174" fontId="9" fillId="48" borderId="0" applyAlignment="1" pivotButton="0" quotePrefix="0" xfId="6">
      <alignment vertical="center"/>
    </xf>
    <xf numFmtId="164" fontId="8" fillId="48" borderId="31" applyAlignment="1" pivotButton="0" quotePrefix="0" xfId="6">
      <alignment vertical="center"/>
    </xf>
    <xf numFmtId="49" fontId="13" fillId="48" borderId="31" applyAlignment="1" pivotButton="0" quotePrefix="0" xfId="6">
      <alignment horizontal="center" vertical="center"/>
    </xf>
    <xf numFmtId="49" fontId="13" fillId="48" borderId="0" applyAlignment="1" pivotButton="0" quotePrefix="0" xfId="6">
      <alignment horizontal="center" vertical="center"/>
    </xf>
    <xf numFmtId="3" fontId="14" fillId="50" borderId="22" applyAlignment="1" pivotButton="0" quotePrefix="0" xfId="6">
      <alignment horizontal="center" vertical="center"/>
    </xf>
    <xf numFmtId="3" fontId="14" fillId="48" borderId="34" applyAlignment="1" pivotButton="0" quotePrefix="0" xfId="6">
      <alignment horizontal="center" vertical="center"/>
    </xf>
    <xf numFmtId="168" fontId="14" fillId="48" borderId="6" applyAlignment="1" pivotButton="0" quotePrefix="0" xfId="1">
      <alignment horizontal="center" vertical="center"/>
    </xf>
    <xf numFmtId="168" fontId="15" fillId="48" borderId="6" applyAlignment="1" pivotButton="0" quotePrefix="0" xfId="1">
      <alignment horizontal="center" vertical="center"/>
    </xf>
    <xf numFmtId="180" fontId="6" fillId="0" borderId="0" applyAlignment="1" pivotButton="0" quotePrefix="0" xfId="0">
      <alignment horizontal="center"/>
    </xf>
    <xf numFmtId="1" fontId="3" fillId="0" borderId="0" applyAlignment="1" pivotButton="0" quotePrefix="0" xfId="0">
      <alignment vertical="center"/>
    </xf>
    <xf numFmtId="180" fontId="6" fillId="0" borderId="0" applyAlignment="1" pivotButton="0" quotePrefix="0" xfId="0">
      <alignment horizontal="center" vertical="center"/>
    </xf>
    <xf numFmtId="164" fontId="17" fillId="0" borderId="6" applyAlignment="1" pivotButton="0" quotePrefix="0" xfId="1">
      <alignment horizontal="center" vertical="center" wrapText="1"/>
    </xf>
    <xf numFmtId="0" fontId="0" fillId="0" borderId="9" pivotButton="0" quotePrefix="0" xfId="0"/>
    <xf numFmtId="164" fontId="15" fillId="0" borderId="6" applyAlignment="1" pivotButton="0" quotePrefix="0" xfId="7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24" pivotButton="0" quotePrefix="0" xfId="0"/>
    <xf numFmtId="0" fontId="0" fillId="0" borderId="33" pivotButton="0" quotePrefix="0" xfId="0"/>
    <xf numFmtId="0" fontId="0" fillId="0" borderId="41" pivotButton="0" quotePrefix="0" xfId="0"/>
    <xf numFmtId="174" fontId="10" fillId="0" borderId="6" applyAlignment="1" pivotButton="0" quotePrefix="0" xfId="6">
      <alignment horizontal="center" vertical="center" wrapText="1"/>
    </xf>
    <xf numFmtId="49" fontId="15" fillId="0" borderId="6" applyAlignment="1" pivotButton="0" quotePrefix="0" xfId="6">
      <alignment horizontal="center" vertical="center" wrapText="1"/>
    </xf>
    <xf numFmtId="164" fontId="10" fillId="0" borderId="6" applyAlignment="1" pivotButton="0" quotePrefix="0" xfId="6">
      <alignment horizontal="center" vertical="center" wrapText="1"/>
    </xf>
    <xf numFmtId="168" fontId="15" fillId="0" borderId="6" applyAlignment="1" pivotButton="0" quotePrefix="0" xfId="1">
      <alignment horizontal="center" vertical="center" wrapText="1"/>
    </xf>
    <xf numFmtId="165" fontId="27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" fontId="17" fillId="0" borderId="6" applyAlignment="1" pivotButton="0" quotePrefix="0" xfId="1">
      <alignment horizontal="center" vertical="center" wrapText="1"/>
    </xf>
    <xf numFmtId="0" fontId="0" fillId="0" borderId="32" pivotButton="0" quotePrefix="0" xfId="0"/>
    <xf numFmtId="0" fontId="0" fillId="0" borderId="34" pivotButton="0" quotePrefix="0" xfId="0"/>
    <xf numFmtId="164" fontId="22" fillId="0" borderId="6" applyAlignment="1" pivotButton="0" quotePrefix="0" xfId="6">
      <alignment horizontal="center" vertical="center" wrapText="1"/>
    </xf>
    <xf numFmtId="180" fontId="6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vertical="center"/>
    </xf>
    <xf numFmtId="174" fontId="6" fillId="8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vertical="center"/>
    </xf>
    <xf numFmtId="164" fontId="5" fillId="2" borderId="0" applyAlignment="1" pivotButton="0" quotePrefix="0" xfId="6">
      <alignment horizontal="right" vertical="center"/>
    </xf>
    <xf numFmtId="165" fontId="6" fillId="0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right" vertical="center"/>
    </xf>
    <xf numFmtId="1" fontId="23" fillId="9" borderId="0" applyAlignment="1" pivotButton="0" quotePrefix="0" xfId="6">
      <alignment horizontal="center" vertical="center"/>
    </xf>
    <xf numFmtId="168" fontId="9" fillId="0" borderId="0" applyAlignment="1" pivotButton="0" quotePrefix="0" xfId="6">
      <alignment vertical="center"/>
    </xf>
    <xf numFmtId="1" fontId="9" fillId="0" borderId="0" applyAlignment="1" pivotButton="0" quotePrefix="0" xfId="6">
      <alignment vertical="center"/>
    </xf>
    <xf numFmtId="1" fontId="30" fillId="0" borderId="6" applyAlignment="1" pivotButton="0" quotePrefix="0" xfId="1">
      <alignment horizontal="center" vertical="center" wrapText="1"/>
    </xf>
    <xf numFmtId="164" fontId="9" fillId="0" borderId="0" applyAlignment="1" pivotButton="0" quotePrefix="0" xfId="6">
      <alignment vertical="center"/>
    </xf>
    <xf numFmtId="180" fontId="6" fillId="0" borderId="0" applyAlignment="1" pivotButton="0" quotePrefix="0" xfId="6">
      <alignment horizontal="right" vertical="center"/>
    </xf>
    <xf numFmtId="164" fontId="9" fillId="0" borderId="0" applyAlignment="1" pivotButton="0" quotePrefix="0" xfId="6">
      <alignment horizontal="center" vertical="center"/>
    </xf>
    <xf numFmtId="174" fontId="6" fillId="8" borderId="0" applyAlignment="1" pivotButton="0" quotePrefix="0" xfId="6">
      <alignment horizontal="center" vertical="center"/>
    </xf>
    <xf numFmtId="164" fontId="5" fillId="3" borderId="0" applyAlignment="1" pivotButton="0" quotePrefix="0" xfId="6">
      <alignment horizontal="right" vertical="center"/>
    </xf>
    <xf numFmtId="164" fontId="6" fillId="0" borderId="0" applyAlignment="1" pivotButton="0" quotePrefix="0" xfId="6">
      <alignment horizontal="center" vertical="center"/>
    </xf>
    <xf numFmtId="1" fontId="5" fillId="2" borderId="0" applyAlignment="1" pivotButton="0" quotePrefix="0" xfId="6">
      <alignment horizontal="left" vertical="center"/>
    </xf>
    <xf numFmtId="164" fontId="5" fillId="4" borderId="0" applyAlignment="1" pivotButton="0" quotePrefix="0" xfId="6">
      <alignment horizontal="right" vertical="center"/>
    </xf>
    <xf numFmtId="170" fontId="9" fillId="0" borderId="0" applyAlignment="1" pivotButton="0" quotePrefix="0" xfId="6">
      <alignment horizontal="center" vertical="center"/>
    </xf>
    <xf numFmtId="3" fontId="10" fillId="0" borderId="0" applyAlignment="1" pivotButton="0" quotePrefix="0" xfId="6">
      <alignment horizontal="center" vertical="center"/>
    </xf>
    <xf numFmtId="3" fontId="10" fillId="0" borderId="0" applyAlignment="1" pivotButton="0" quotePrefix="0" xfId="6">
      <alignment horizontal="center" vertical="center" wrapText="1"/>
    </xf>
    <xf numFmtId="164" fontId="9" fillId="0" borderId="0" applyAlignment="1" pivotButton="0" quotePrefix="0" xfId="6">
      <alignment horizontal="center" vertical="center" wrapText="1"/>
    </xf>
    <xf numFmtId="1" fontId="10" fillId="0" borderId="0" applyAlignment="1" pivotButton="0" quotePrefix="0" xfId="6">
      <alignment horizontal="center" vertical="center"/>
    </xf>
    <xf numFmtId="3" fontId="10" fillId="0" borderId="39" applyAlignment="1" pivotButton="0" quotePrefix="0" xfId="6">
      <alignment horizontal="center" vertical="center"/>
    </xf>
    <xf numFmtId="3" fontId="10" fillId="0" borderId="33" applyAlignment="1" pivotButton="0" quotePrefix="0" xfId="6">
      <alignment horizontal="center" vertical="center"/>
    </xf>
    <xf numFmtId="180" fontId="6" fillId="0" borderId="0" applyAlignment="1" pivotButton="0" quotePrefix="0" xfId="6">
      <alignment horizontal="left" vertical="center"/>
    </xf>
    <xf numFmtId="164" fontId="29" fillId="0" borderId="0" applyAlignment="1" pivotButton="0" quotePrefix="0" xfId="1">
      <alignment horizontal="center" vertical="center" wrapText="1"/>
    </xf>
    <xf numFmtId="0" fontId="0" fillId="0" borderId="0" pivotButton="0" quotePrefix="0" xfId="0"/>
    <xf numFmtId="180" fontId="6" fillId="0" borderId="0" applyAlignment="1" pivotButton="0" quotePrefix="0" xfId="0">
      <alignment horizontal="center"/>
    </xf>
    <xf numFmtId="174" fontId="3" fillId="0" borderId="0" applyAlignment="1" pivotButton="0" quotePrefix="0" xfId="1">
      <alignment vertical="center"/>
    </xf>
    <xf numFmtId="180" fontId="6" fillId="0" borderId="0" applyAlignment="1" pivotButton="0" quotePrefix="0" xfId="0">
      <alignment horizontal="center" vertical="center"/>
    </xf>
    <xf numFmtId="175" fontId="3" fillId="0" borderId="0" applyAlignment="1" pivotButton="0" quotePrefix="0" xfId="0">
      <alignment vertical="center"/>
    </xf>
    <xf numFmtId="176" fontId="3" fillId="0" borderId="4" applyAlignment="1" pivotButton="0" quotePrefix="0" xfId="0">
      <alignment vertical="center"/>
    </xf>
    <xf numFmtId="177" fontId="3" fillId="0" borderId="4" applyAlignment="1" pivotButton="0" quotePrefix="0" xfId="0">
      <alignment vertical="center"/>
    </xf>
    <xf numFmtId="178" fontId="9" fillId="0" borderId="0" applyAlignment="1" pivotButton="0" quotePrefix="0" xfId="0">
      <alignment vertical="center"/>
    </xf>
    <xf numFmtId="180" fontId="6" fillId="0" borderId="0" applyAlignment="1" pivotButton="0" quotePrefix="0" xfId="0">
      <alignment horizontal="right" vertical="center"/>
    </xf>
    <xf numFmtId="174" fontId="6" fillId="8" borderId="0" applyAlignment="1" pivotButton="0" quotePrefix="0" xfId="0">
      <alignment horizontal="center" vertical="center"/>
    </xf>
    <xf numFmtId="179" fontId="19" fillId="0" borderId="0" applyAlignment="1" pivotButton="0" quotePrefix="0" xfId="3">
      <alignment horizontal="center" vertical="center"/>
    </xf>
    <xf numFmtId="174" fontId="9" fillId="0" borderId="0" applyAlignment="1" pivotButton="0" quotePrefix="0" xfId="6">
      <alignment vertical="center"/>
    </xf>
    <xf numFmtId="174" fontId="10" fillId="0" borderId="6" applyAlignment="1" pivotButton="0" quotePrefix="0" xfId="6">
      <alignment horizontal="center" vertical="center" wrapText="1"/>
    </xf>
    <xf numFmtId="174" fontId="9" fillId="25" borderId="6" applyAlignment="1" pivotButton="0" quotePrefix="0" xfId="0">
      <alignment vertical="center"/>
    </xf>
    <xf numFmtId="174" fontId="9" fillId="0" borderId="0" applyAlignment="1" pivotButton="0" quotePrefix="0" xfId="1">
      <alignment vertical="center"/>
    </xf>
    <xf numFmtId="174" fontId="5" fillId="0" borderId="0" applyAlignment="1" pivotButton="0" quotePrefix="0" xfId="0">
      <alignment vertical="center"/>
    </xf>
    <xf numFmtId="178" fontId="3" fillId="0" borderId="0" applyAlignment="1" pivotButton="0" quotePrefix="0" xfId="0">
      <alignment vertical="center"/>
    </xf>
    <xf numFmtId="174" fontId="5" fillId="0" borderId="0" applyAlignment="1" pivotButton="0" quotePrefix="0" xfId="0">
      <alignment horizontal="right" vertical="center"/>
    </xf>
    <xf numFmtId="174" fontId="9" fillId="27" borderId="6" applyAlignment="1" pivotButton="0" quotePrefix="0" xfId="0">
      <alignment vertical="center"/>
    </xf>
    <xf numFmtId="174" fontId="9" fillId="31" borderId="6" applyAlignment="1" pivotButton="0" quotePrefix="0" xfId="0">
      <alignment vertical="center"/>
    </xf>
    <xf numFmtId="174" fontId="9" fillId="20" borderId="6" applyAlignment="1" pivotButton="0" quotePrefix="0" xfId="0">
      <alignment vertical="center"/>
    </xf>
    <xf numFmtId="174" fontId="25" fillId="7" borderId="0" applyAlignment="1" pivotButton="0" quotePrefix="0" xfId="0">
      <alignment horizontal="right" vertical="center"/>
    </xf>
    <xf numFmtId="174" fontId="25" fillId="0" borderId="0" applyAlignment="1" pivotButton="0" quotePrefix="0" xfId="0">
      <alignment horizontal="right" vertical="center"/>
    </xf>
    <xf numFmtId="174" fontId="9" fillId="0" borderId="0" applyAlignment="1" pivotButton="0" quotePrefix="0" xfId="0">
      <alignment vertical="center"/>
    </xf>
    <xf numFmtId="3" fontId="9" fillId="52" borderId="0" applyAlignment="1" pivotButton="0" quotePrefix="0" xfId="0">
      <alignment horizontal="center" vertical="center"/>
    </xf>
    <xf numFmtId="164" fontId="8" fillId="52" borderId="6" applyAlignment="1" pivotButton="0" quotePrefix="0" xfId="0">
      <alignment vertical="center"/>
    </xf>
    <xf numFmtId="49" fontId="14" fillId="52" borderId="6" applyAlignment="1" pivotButton="0" quotePrefix="0" xfId="0">
      <alignment horizontal="center" vertical="center"/>
    </xf>
    <xf numFmtId="49" fontId="14" fillId="52" borderId="22" applyAlignment="1" pivotButton="0" quotePrefix="0" xfId="0">
      <alignment horizontal="center" vertical="center"/>
    </xf>
    <xf numFmtId="3" fontId="14" fillId="52" borderId="22" applyAlignment="1" pivotButton="0" quotePrefix="0" xfId="0">
      <alignment horizontal="center" vertical="center"/>
    </xf>
    <xf numFmtId="3" fontId="14" fillId="52" borderId="32" applyAlignment="1" pivotButton="0" quotePrefix="0" xfId="0">
      <alignment horizontal="center" vertical="center"/>
    </xf>
    <xf numFmtId="3" fontId="14" fillId="53" borderId="34" applyAlignment="1" pivotButton="0" quotePrefix="0" xfId="0">
      <alignment horizontal="center" vertical="center"/>
    </xf>
    <xf numFmtId="165" fontId="14" fillId="52" borderId="6" applyAlignment="1" pivotButton="0" quotePrefix="0" xfId="5">
      <alignment horizontal="center" vertical="center"/>
    </xf>
    <xf numFmtId="165" fontId="15" fillId="52" borderId="6" applyAlignment="1" pivotButton="0" quotePrefix="0" xfId="5">
      <alignment horizontal="center" vertical="center"/>
    </xf>
    <xf numFmtId="3" fontId="14" fillId="52" borderId="6" applyAlignment="1" pivotButton="0" quotePrefix="1" xfId="5">
      <alignment horizontal="center" vertical="center"/>
    </xf>
    <xf numFmtId="3" fontId="14" fillId="52" borderId="6" applyAlignment="1" pivotButton="0" quotePrefix="0" xfId="3">
      <alignment horizontal="center" vertical="center"/>
    </xf>
    <xf numFmtId="166" fontId="14" fillId="52" borderId="31" applyAlignment="1" pivotButton="0" quotePrefix="0" xfId="0">
      <alignment horizontal="center" vertical="center"/>
    </xf>
    <xf numFmtId="0" fontId="0" fillId="52" borderId="0" pivotButton="0" quotePrefix="0" xfId="0"/>
    <xf numFmtId="3" fontId="9" fillId="52" borderId="6" applyAlignment="1" pivotButton="0" quotePrefix="0" xfId="0">
      <alignment vertical="center"/>
    </xf>
    <xf numFmtId="174" fontId="9" fillId="52" borderId="6" applyAlignment="1" pivotButton="0" quotePrefix="0" xfId="0">
      <alignment vertical="center"/>
    </xf>
    <xf numFmtId="3" fontId="14" fillId="53" borderId="22" applyAlignment="1" pivotButton="0" quotePrefix="0" xfId="0">
      <alignment horizontal="center" vertical="center"/>
    </xf>
    <xf numFmtId="3" fontId="14" fillId="52" borderId="34" applyAlignment="1" pivotButton="0" quotePrefix="0" xfId="0">
      <alignment horizontal="center" vertical="center"/>
    </xf>
    <xf numFmtId="174" fontId="6" fillId="0" borderId="0" applyAlignment="1" pivotButton="0" quotePrefix="0" xfId="0">
      <alignment vertical="center"/>
    </xf>
    <xf numFmtId="179" fontId="18" fillId="0" borderId="0" applyAlignment="1" pivotButton="0" quotePrefix="0" xfId="1">
      <alignment horizontal="center" vertical="center"/>
    </xf>
    <xf numFmtId="179" fontId="14" fillId="0" borderId="0" applyAlignment="1" pivotButton="0" quotePrefix="0" xfId="1">
      <alignment horizontal="center" vertical="center"/>
    </xf>
    <xf numFmtId="164" fontId="14" fillId="52" borderId="6" applyAlignment="1" pivotButton="0" quotePrefix="0" xfId="0">
      <alignment vertical="center"/>
    </xf>
    <xf numFmtId="49" fontId="14" fillId="52" borderId="32" applyAlignment="1" pivotButton="0" quotePrefix="0" xfId="0">
      <alignment horizontal="center" vertical="center"/>
    </xf>
    <xf numFmtId="3" fontId="14" fillId="52" borderId="33" applyAlignment="1" pivotButton="0" quotePrefix="0" xfId="0">
      <alignment horizontal="center" vertical="center"/>
    </xf>
    <xf numFmtId="3" fontId="14" fillId="54" borderId="34" applyAlignment="1" pivotButton="0" quotePrefix="0" xfId="0">
      <alignment horizontal="center" vertical="center"/>
    </xf>
    <xf numFmtId="15" fontId="14" fillId="52" borderId="6" applyAlignment="1" pivotButton="0" quotePrefix="0" xfId="0">
      <alignment horizontal="center" vertical="center"/>
    </xf>
    <xf numFmtId="174" fontId="9" fillId="52" borderId="0" applyAlignment="1" pivotButton="0" quotePrefix="0" xfId="0">
      <alignment vertical="center"/>
    </xf>
    <xf numFmtId="3" fontId="14" fillId="55" borderId="32" applyAlignment="1" pivotButton="0" quotePrefix="0" xfId="0">
      <alignment horizontal="center" vertical="center"/>
    </xf>
    <xf numFmtId="166" fontId="14" fillId="52" borderId="6" applyAlignment="1" pivotButton="0" quotePrefix="0" xfId="0">
      <alignment horizontal="center" vertical="center"/>
    </xf>
    <xf numFmtId="174" fontId="9" fillId="42" borderId="0" applyAlignment="1" pivotButton="0" quotePrefix="0" xfId="0">
      <alignment vertical="center"/>
    </xf>
    <xf numFmtId="174" fontId="9" fillId="42" borderId="6" applyAlignment="1" pivotButton="0" quotePrefix="0" xfId="0">
      <alignment vertical="center"/>
    </xf>
    <xf numFmtId="174" fontId="9" fillId="35" borderId="0" applyAlignment="1" pivotButton="0" quotePrefix="0" xfId="0">
      <alignment vertical="center"/>
    </xf>
    <xf numFmtId="174" fontId="9" fillId="35" borderId="6" applyAlignment="1" pivotButton="0" quotePrefix="0" xfId="0">
      <alignment vertical="center"/>
    </xf>
    <xf numFmtId="174" fontId="10" fillId="0" borderId="0" applyAlignment="1" pivotButton="0" quotePrefix="0" xfId="0">
      <alignment vertical="center"/>
    </xf>
    <xf numFmtId="174" fontId="6" fillId="5" borderId="0" applyAlignment="1" pivotButton="0" quotePrefix="0" xfId="0">
      <alignment vertical="center"/>
    </xf>
    <xf numFmtId="178" fontId="12" fillId="0" borderId="0" applyAlignment="1" pivotButton="0" quotePrefix="0" xfId="0">
      <alignment vertical="center"/>
    </xf>
    <xf numFmtId="174" fontId="9" fillId="33" borderId="6" applyAlignment="1" pivotButton="0" quotePrefix="0" xfId="0">
      <alignment vertical="center"/>
    </xf>
    <xf numFmtId="165" fontId="14" fillId="52" borderId="6" applyAlignment="1" pivotButton="0" quotePrefix="0" xfId="1">
      <alignment horizontal="center" vertical="center"/>
    </xf>
    <xf numFmtId="165" fontId="15" fillId="52" borderId="6" applyAlignment="1" pivotButton="0" quotePrefix="0" xfId="1">
      <alignment horizontal="center" vertical="center"/>
    </xf>
    <xf numFmtId="3" fontId="14" fillId="52" borderId="6" applyAlignment="1" pivotButton="0" quotePrefix="0" xfId="1">
      <alignment horizontal="center" vertical="center"/>
    </xf>
    <xf numFmtId="3" fontId="14" fillId="54" borderId="22" applyAlignment="1" pivotButton="0" quotePrefix="0" xfId="0">
      <alignment horizontal="center" vertical="center"/>
    </xf>
    <xf numFmtId="3" fontId="14" fillId="54" borderId="32" applyAlignment="1" pivotButton="0" quotePrefix="0" xfId="0">
      <alignment horizontal="center" vertical="center"/>
    </xf>
    <xf numFmtId="174" fontId="11" fillId="4" borderId="0" applyAlignment="1" pivotButton="0" quotePrefix="0" xfId="1">
      <alignment horizontal="center" vertical="center"/>
    </xf>
    <xf numFmtId="174" fontId="11" fillId="4" borderId="0" applyAlignment="1" pivotButton="0" quotePrefix="0" xfId="0">
      <alignment vertical="center"/>
    </xf>
    <xf numFmtId="174" fontId="11" fillId="3" borderId="0" applyAlignment="1" pivotButton="0" quotePrefix="0" xfId="1">
      <alignment horizontal="center" vertical="center"/>
    </xf>
    <xf numFmtId="174" fontId="11" fillId="3" borderId="0" applyAlignment="1" pivotButton="0" quotePrefix="0" xfId="0">
      <alignment vertical="center"/>
    </xf>
    <xf numFmtId="174" fontId="11" fillId="2" borderId="0" applyAlignment="1" pivotButton="0" quotePrefix="0" xfId="1">
      <alignment horizontal="center" vertical="center"/>
    </xf>
    <xf numFmtId="180" fontId="6" fillId="0" borderId="0" applyAlignment="1" pivotButton="0" quotePrefix="0" xfId="6">
      <alignment horizontal="right" vertical="center"/>
    </xf>
    <xf numFmtId="174" fontId="6" fillId="8" borderId="0" applyAlignment="1" pivotButton="0" quotePrefix="0" xfId="6">
      <alignment horizontal="center" vertical="center"/>
    </xf>
    <xf numFmtId="174" fontId="9" fillId="23" borderId="0" applyAlignment="1" pivotButton="0" quotePrefix="0" xfId="6">
      <alignment vertical="center"/>
    </xf>
    <xf numFmtId="174" fontId="9" fillId="23" borderId="6" applyAlignment="1" pivotButton="0" quotePrefix="0" xfId="6">
      <alignment vertical="center"/>
    </xf>
    <xf numFmtId="174" fontId="10" fillId="0" borderId="0" applyAlignment="1" pivotButton="0" quotePrefix="0" xfId="6">
      <alignment vertical="center"/>
    </xf>
    <xf numFmtId="174" fontId="9" fillId="17" borderId="0" applyAlignment="1" pivotButton="0" quotePrefix="0" xfId="6">
      <alignment vertical="center"/>
    </xf>
    <xf numFmtId="174" fontId="9" fillId="29" borderId="6" applyAlignment="1" pivotButton="0" quotePrefix="0" xfId="6">
      <alignment vertical="center"/>
    </xf>
    <xf numFmtId="174" fontId="9" fillId="29" borderId="0" applyAlignment="1" pivotButton="0" quotePrefix="0" xfId="6">
      <alignment vertical="center"/>
    </xf>
    <xf numFmtId="174" fontId="25" fillId="7" borderId="0" applyAlignment="1" pivotButton="0" quotePrefix="0" xfId="6">
      <alignment horizontal="right" vertical="center"/>
    </xf>
    <xf numFmtId="174" fontId="25" fillId="0" borderId="0" applyAlignment="1" pivotButton="0" quotePrefix="0" xfId="6">
      <alignment horizontal="right" vertical="center"/>
    </xf>
    <xf numFmtId="164" fontId="8" fillId="52" borderId="6" applyAlignment="1" pivotButton="0" quotePrefix="0" xfId="6">
      <alignment vertical="center"/>
    </xf>
    <xf numFmtId="49" fontId="14" fillId="52" borderId="6" applyAlignment="1" pivotButton="0" quotePrefix="0" xfId="6">
      <alignment horizontal="center" vertical="center"/>
    </xf>
    <xf numFmtId="49" fontId="14" fillId="52" borderId="22" applyAlignment="1" pivotButton="0" quotePrefix="0" xfId="6">
      <alignment horizontal="center" vertical="center"/>
    </xf>
    <xf numFmtId="3" fontId="14" fillId="53" borderId="32" applyAlignment="1" pivotButton="0" quotePrefix="0" xfId="0">
      <alignment horizontal="center" vertical="center"/>
    </xf>
    <xf numFmtId="3" fontId="14" fillId="52" borderId="32" applyAlignment="1" pivotButton="0" quotePrefix="0" xfId="6">
      <alignment horizontal="center" vertical="center"/>
    </xf>
    <xf numFmtId="168" fontId="14" fillId="52" borderId="6" applyAlignment="1" pivotButton="0" quotePrefix="0" xfId="5">
      <alignment horizontal="center" vertical="center"/>
    </xf>
    <xf numFmtId="1" fontId="14" fillId="52" borderId="6" applyAlignment="1" pivotButton="0" quotePrefix="0" xfId="5">
      <alignment horizontal="center" vertical="center"/>
    </xf>
    <xf numFmtId="1" fontId="14" fillId="52" borderId="6" applyAlignment="1" pivotButton="0" quotePrefix="0" xfId="3">
      <alignment horizontal="center" vertical="center"/>
    </xf>
    <xf numFmtId="166" fontId="14" fillId="52" borderId="6" applyAlignment="1" pivotButton="0" quotePrefix="0" xfId="3">
      <alignment horizontal="center" vertical="center"/>
    </xf>
    <xf numFmtId="3" fontId="9" fillId="52" borderId="6" applyAlignment="1" pivotButton="0" quotePrefix="0" xfId="6">
      <alignment vertical="center"/>
    </xf>
    <xf numFmtId="174" fontId="9" fillId="52" borderId="6" applyAlignment="1" pivotButton="0" quotePrefix="0" xfId="6">
      <alignment vertical="center"/>
    </xf>
    <xf numFmtId="174" fontId="9" fillId="52" borderId="0" applyAlignment="1" pivotButton="0" quotePrefix="0" xfId="6">
      <alignment vertical="center"/>
    </xf>
    <xf numFmtId="164" fontId="8" fillId="52" borderId="31" applyAlignment="1" pivotButton="0" quotePrefix="0" xfId="6">
      <alignment vertical="center"/>
    </xf>
    <xf numFmtId="49" fontId="13" fillId="52" borderId="31" applyAlignment="1" pivotButton="0" quotePrefix="0" xfId="6">
      <alignment horizontal="center" vertical="center"/>
    </xf>
    <xf numFmtId="49" fontId="13" fillId="52" borderId="0" applyAlignment="1" pivotButton="0" quotePrefix="0" xfId="6">
      <alignment horizontal="center" vertical="center"/>
    </xf>
    <xf numFmtId="3" fontId="14" fillId="54" borderId="22" applyAlignment="1" pivotButton="0" quotePrefix="0" xfId="6">
      <alignment horizontal="center" vertical="center"/>
    </xf>
    <xf numFmtId="3" fontId="14" fillId="52" borderId="34" applyAlignment="1" pivotButton="0" quotePrefix="0" xfId="6">
      <alignment horizontal="center" vertical="center"/>
    </xf>
    <xf numFmtId="168" fontId="14" fillId="52" borderId="6" applyAlignment="1" pivotButton="0" quotePrefix="0" xfId="1">
      <alignment horizontal="center" vertical="center"/>
    </xf>
    <xf numFmtId="168" fontId="15" fillId="52" borderId="6" applyAlignment="1" pivotButton="0" quotePrefix="0" xfId="1">
      <alignment horizontal="center" vertical="center"/>
    </xf>
    <xf numFmtId="174" fontId="9" fillId="46" borderId="0" applyAlignment="1" pivotButton="0" quotePrefix="0" xfId="6">
      <alignment vertical="center"/>
    </xf>
    <xf numFmtId="174" fontId="9" fillId="46" borderId="6" applyAlignment="1" pivotButton="0" quotePrefix="0" xfId="6">
      <alignment vertical="center"/>
    </xf>
    <xf numFmtId="174" fontId="9" fillId="37" borderId="0" applyAlignment="1" pivotButton="0" quotePrefix="0" xfId="6">
      <alignment vertical="center"/>
    </xf>
    <xf numFmtId="174" fontId="9" fillId="37" borderId="6" applyAlignment="1" pivotButton="0" quotePrefix="0" xfId="6">
      <alignment vertical="center"/>
    </xf>
    <xf numFmtId="174" fontId="9" fillId="40" borderId="0" applyAlignment="1" pivotButton="0" quotePrefix="0" xfId="6">
      <alignment vertical="center"/>
    </xf>
    <xf numFmtId="174" fontId="9" fillId="40" borderId="6" applyAlignment="1" pivotButton="0" quotePrefix="0" xfId="6">
      <alignment vertical="center"/>
    </xf>
    <xf numFmtId="174" fontId="9" fillId="44" borderId="0" applyAlignment="1" pivotButton="0" quotePrefix="0" xfId="6">
      <alignment vertical="center"/>
    </xf>
    <xf numFmtId="174" fontId="9" fillId="44" borderId="6" applyAlignment="1" pivotButton="0" quotePrefix="0" xfId="6">
      <alignment vertical="center"/>
    </xf>
    <xf numFmtId="174" fontId="11" fillId="2" borderId="0" applyAlignment="1" pivotButton="0" quotePrefix="0" xfId="6">
      <alignment vertical="center"/>
    </xf>
    <xf numFmtId="174" fontId="5" fillId="2" borderId="0" applyAlignment="1" pivotButton="0" quotePrefix="0" xfId="6">
      <alignment vertical="center"/>
    </xf>
    <xf numFmtId="174" fontId="5" fillId="0" borderId="0" applyAlignment="1" pivotButton="0" quotePrefix="0" xfId="6">
      <alignment vertical="center"/>
    </xf>
    <xf numFmtId="174" fontId="11" fillId="4" borderId="0" applyAlignment="1" pivotButton="0" quotePrefix="0" xfId="6">
      <alignment vertical="center"/>
    </xf>
    <xf numFmtId="174" fontId="11" fillId="3" borderId="0" applyAlignment="1" pivotButton="0" quotePrefix="0" xfId="6">
      <alignment vertical="center"/>
    </xf>
    <xf numFmtId="180" fontId="6" fillId="0" borderId="0" applyAlignment="1" pivotButton="0" quotePrefix="0" xfId="6">
      <alignment horizontal="left" vertical="center"/>
    </xf>
    <xf numFmtId="174" fontId="9" fillId="0" borderId="6" applyAlignment="1" pivotButton="0" quotePrefix="0" xfId="0">
      <alignment vertical="center"/>
    </xf>
    <xf numFmtId="174" fontId="9" fillId="0" borderId="6" applyAlignment="1" pivotButton="0" quotePrefix="0" xfId="6">
      <alignment vertical="center"/>
    </xf>
    <xf numFmtId="174" fontId="25" fillId="0" borderId="0" applyAlignment="1" pivotButton="0" quotePrefix="0" xfId="6">
      <alignment horizontal="center" vertical="center" wrapText="1"/>
    </xf>
    <xf numFmtId="174" fontId="25" fillId="0" borderId="33" applyAlignment="1" pivotButton="0" quotePrefix="0" xfId="6">
      <alignment horizontal="right" vertical="center"/>
    </xf>
    <xf numFmtId="174" fontId="25" fillId="0" borderId="39" applyAlignment="1" pivotButton="0" quotePrefix="0" xfId="6">
      <alignment horizontal="right" vertical="center"/>
    </xf>
  </cellXfs>
  <cellStyles count="10">
    <cellStyle name="Normal" xfId="0" builtinId="0"/>
    <cellStyle name="Comma" xfId="1" builtinId="3"/>
    <cellStyle name="Percent" xfId="2" builtinId="5"/>
    <cellStyle name="Comma 2" xfId="3"/>
    <cellStyle name="Normal 3" xfId="4"/>
    <cellStyle name="Comma 3" xfId="5"/>
    <cellStyle name="Normal 2" xfId="6"/>
    <cellStyle name="Normal 3 2" xfId="7"/>
    <cellStyle name="Normal 6" xfId="8"/>
    <cellStyle name="Normal 8" xfId="9"/>
  </cellStyles>
  <dxfs count="1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B1:H35"/>
  <sheetViews>
    <sheetView view="pageBreakPreview" zoomScaleSheetLayoutView="100" workbookViewId="0">
      <selection activeCell="E1" sqref="E1"/>
    </sheetView>
  </sheetViews>
  <sheetFormatPr baseColWidth="8" defaultColWidth="9.140625" defaultRowHeight="15.75" outlineLevelCol="0"/>
  <cols>
    <col width="36.5703125" customWidth="1" style="353" min="1" max="1"/>
    <col width="34.7109375" bestFit="1" customWidth="1" style="353" min="2" max="2"/>
    <col width="21.7109375" bestFit="1" customWidth="1" style="1" min="3" max="3"/>
    <col width="15.28515625" customWidth="1" style="620" min="4" max="4"/>
    <col width="10.5703125" customWidth="1" style="620" min="5" max="5"/>
    <col width="22.140625" bestFit="1" customWidth="1" style="620" min="6" max="6"/>
    <col width="16.42578125" bestFit="1" customWidth="1" style="620" min="7" max="7"/>
    <col width="10.5703125" customWidth="1" style="620" min="8" max="8"/>
    <col width="9.140625" customWidth="1" style="353" min="9" max="679"/>
    <col width="9.140625" customWidth="1" style="353" min="680" max="16384"/>
  </cols>
  <sheetData>
    <row r="1" ht="69" customHeight="1" s="671">
      <c r="B1" s="354" t="inlineStr">
        <is>
          <t>ACCUMULATORS</t>
        </is>
      </c>
      <c r="C1" s="672" t="n">
        <v>46234</v>
      </c>
      <c r="E1" s="645" t="n"/>
      <c r="F1" s="645" t="n"/>
      <c r="G1" s="353" t="n"/>
      <c r="H1" s="353" t="n"/>
    </row>
    <row r="2" ht="16.15" customHeight="1" s="671" thickBot="1"/>
    <row r="3" ht="29.25" customFormat="1" customHeight="1" s="356" thickBot="1">
      <c r="B3" s="357" t="inlineStr">
        <is>
          <t>Account</t>
        </is>
      </c>
      <c r="C3" s="341" t="inlineStr">
        <is>
          <t>Estimated Amount</t>
        </is>
      </c>
      <c r="D3" s="86" t="inlineStr">
        <is>
          <t>Estimated Amount (%)</t>
        </is>
      </c>
    </row>
    <row r="4" hidden="1" s="671">
      <c r="B4" s="358" t="inlineStr">
        <is>
          <t>Citibank - Account 1</t>
        </is>
      </c>
      <c r="C4" s="339">
        <f>ACCU!R9</f>
        <v/>
      </c>
      <c r="D4" s="340">
        <f>C4/$C$16</f>
        <v/>
      </c>
      <c r="E4" s="43">
        <f>ACCU!R9-C4</f>
        <v/>
      </c>
      <c r="F4" s="353" t="n"/>
      <c r="G4" s="353" t="n"/>
      <c r="H4" s="353" t="n"/>
    </row>
    <row r="5" hidden="1" s="671">
      <c r="B5" s="359" t="inlineStr">
        <is>
          <t>Citibank - Account 2</t>
        </is>
      </c>
      <c r="C5" s="92">
        <f>ACCU!R18</f>
        <v/>
      </c>
      <c r="D5" s="4">
        <f>C5/$C$16</f>
        <v/>
      </c>
      <c r="E5" s="43">
        <f>ACCU!R18-C5</f>
        <v/>
      </c>
      <c r="F5" s="353" t="n"/>
      <c r="G5" s="353" t="n"/>
      <c r="H5" s="353" t="n"/>
    </row>
    <row r="6" hidden="1" ht="16.15" customHeight="1" s="671" thickBot="1">
      <c r="B6" s="503" t="inlineStr">
        <is>
          <t>Citibank Singapore - Account 1</t>
        </is>
      </c>
      <c r="C6" s="504">
        <f>ACCU!R26</f>
        <v/>
      </c>
      <c r="D6" s="505">
        <f>C6/$C$16</f>
        <v/>
      </c>
      <c r="E6" s="43">
        <f>ACCU!R26-C6</f>
        <v/>
      </c>
      <c r="F6" s="353" t="n"/>
      <c r="G6" s="353" t="n"/>
      <c r="H6" s="353" t="n"/>
    </row>
    <row r="7">
      <c r="B7" s="358" t="inlineStr">
        <is>
          <t>Deutsche Bank - Personal</t>
        </is>
      </c>
      <c r="C7" s="339">
        <f>ACCU!R54</f>
        <v/>
      </c>
      <c r="D7" s="340">
        <f>C7/$C$16</f>
        <v/>
      </c>
      <c r="E7" s="43">
        <f>ACCU!R54-C7</f>
        <v/>
      </c>
      <c r="F7" s="353" t="n"/>
      <c r="G7" s="353" t="n"/>
      <c r="H7" s="353" t="n"/>
    </row>
    <row r="8" hidden="1" ht="16.5" customHeight="1" s="671">
      <c r="B8" s="359" t="inlineStr">
        <is>
          <t>Deutsche Bank - Perfect Legend</t>
        </is>
      </c>
      <c r="C8" s="92">
        <f>ACCU!R147</f>
        <v/>
      </c>
      <c r="D8" s="4">
        <f>C8/$C$16</f>
        <v/>
      </c>
      <c r="E8" s="43">
        <f>ACCU!R147-C8</f>
        <v/>
      </c>
      <c r="F8" s="353" t="n"/>
      <c r="G8" s="353" t="n"/>
      <c r="H8" s="353" t="n"/>
    </row>
    <row r="9" ht="16.5" customHeight="1" s="671">
      <c r="B9" s="359" t="inlineStr">
        <is>
          <t>Sun Hung Kai Account No. 1</t>
        </is>
      </c>
      <c r="C9" s="92">
        <f>ACCU!R89</f>
        <v/>
      </c>
      <c r="D9" s="4">
        <f>C9/$C$16</f>
        <v/>
      </c>
      <c r="E9" s="43">
        <f>ACCU!R89-C9</f>
        <v/>
      </c>
      <c r="F9" s="353" t="n"/>
      <c r="G9" s="353" t="n"/>
      <c r="H9" s="353" t="n"/>
    </row>
    <row r="10" ht="16.5" customHeight="1" s="671">
      <c r="B10" s="359" t="inlineStr">
        <is>
          <t>Sun Hung Kai Account No. 2</t>
        </is>
      </c>
      <c r="C10" s="92">
        <f>ACCU!R116</f>
        <v/>
      </c>
      <c r="D10" s="4">
        <f>C10/$C$16</f>
        <v/>
      </c>
      <c r="E10" s="43">
        <f>ACCU!R116-C10</f>
        <v/>
      </c>
      <c r="F10" s="353" t="n"/>
      <c r="G10" s="353" t="n"/>
      <c r="H10" s="353" t="n"/>
    </row>
    <row r="11">
      <c r="B11" s="359" t="inlineStr">
        <is>
          <t>Morgan Stanley - Titan 1</t>
        </is>
      </c>
      <c r="C11" s="92">
        <f>ACCU!R155</f>
        <v/>
      </c>
      <c r="D11" s="4">
        <f>C11/$C$16</f>
        <v/>
      </c>
      <c r="E11" s="43">
        <f>ACCU!R155-C11</f>
        <v/>
      </c>
      <c r="F11" s="353" t="n"/>
      <c r="G11" s="353" t="n"/>
      <c r="H11" s="353" t="n"/>
    </row>
    <row r="12" hidden="1" ht="16.5" customHeight="1" s="671">
      <c r="B12" s="359" t="inlineStr">
        <is>
          <t>Morgan Stanley - Titan 2</t>
        </is>
      </c>
      <c r="C12" s="92">
        <f>ACCU!R124</f>
        <v/>
      </c>
      <c r="D12" s="4">
        <f>C12/$C$16</f>
        <v/>
      </c>
      <c r="E12" s="43">
        <f>ACCU!R124-C12</f>
        <v/>
      </c>
      <c r="F12" s="353" t="n"/>
      <c r="G12" s="353" t="n"/>
      <c r="H12" s="353" t="n"/>
    </row>
    <row r="13" ht="16.5" customHeight="1" s="671">
      <c r="B13" s="359" t="inlineStr">
        <is>
          <t>Morgan Stanley - Perfect Legend</t>
        </is>
      </c>
      <c r="C13" s="92">
        <f>ACCU!R164</f>
        <v/>
      </c>
      <c r="D13" s="4">
        <f>C13/$C$16</f>
        <v/>
      </c>
      <c r="E13" s="43">
        <f>ACCU!R164-C13</f>
        <v/>
      </c>
      <c r="F13" s="353" t="n"/>
      <c r="G13" s="353" t="n"/>
      <c r="H13" s="353" t="n"/>
    </row>
    <row r="14" ht="16.5" customHeight="1" s="671" thickBot="1">
      <c r="B14" s="360" t="inlineStr">
        <is>
          <t>Nomura Singapore</t>
        </is>
      </c>
      <c r="C14" s="93">
        <f>ACCU!R67</f>
        <v/>
      </c>
      <c r="D14" s="3">
        <f>C14/$C$16</f>
        <v/>
      </c>
      <c r="E14" s="43">
        <f>ACCU!R67-C14</f>
        <v/>
      </c>
      <c r="F14" s="353" t="n"/>
      <c r="G14" s="353" t="n"/>
      <c r="H14" s="353" t="n"/>
    </row>
    <row r="15" hidden="1" ht="16.15" customHeight="1" s="671" thickBot="1">
      <c r="B15" s="506" t="inlineStr">
        <is>
          <t>Bank of Singapore</t>
        </is>
      </c>
      <c r="C15" s="507">
        <f>ACCU!R132</f>
        <v/>
      </c>
      <c r="D15" s="8">
        <f>C15/$C$16</f>
        <v/>
      </c>
      <c r="E15" s="43">
        <f>ACCU!R132-C15</f>
        <v/>
      </c>
      <c r="F15" s="673">
        <f>ALLM!N13</f>
        <v/>
      </c>
      <c r="G15" s="673">
        <f>F15-F16</f>
        <v/>
      </c>
      <c r="H15" s="353" t="n"/>
    </row>
    <row r="16" ht="16.15" customHeight="1" s="671" thickBot="1">
      <c r="B16" s="362" t="n"/>
      <c r="C16" s="363">
        <f>SUM(C4:C15)</f>
        <v/>
      </c>
      <c r="D16" s="8">
        <f>C16/$C$16</f>
        <v/>
      </c>
      <c r="E16" s="353" t="n"/>
      <c r="F16" s="673">
        <f>ACCU!R172</f>
        <v/>
      </c>
      <c r="G16" s="673">
        <f>C16-F16</f>
        <v/>
      </c>
      <c r="H16" s="353" t="n"/>
    </row>
    <row r="18" ht="25.9" customHeight="1" s="671">
      <c r="B18" s="364" t="inlineStr">
        <is>
          <t>Decumulators</t>
        </is>
      </c>
      <c r="C18" s="674">
        <f>C1</f>
        <v/>
      </c>
      <c r="E18" s="645" t="n"/>
      <c r="F18" s="645" t="n"/>
      <c r="G18" s="353" t="n"/>
      <c r="H18" s="353" t="n"/>
    </row>
    <row r="19" ht="16.15" customHeight="1" s="671" thickBot="1">
      <c r="F19" s="365" t="n"/>
    </row>
    <row r="20" ht="29.25" customFormat="1" customHeight="1" s="356" thickBot="1">
      <c r="B20" s="366" t="inlineStr">
        <is>
          <t>Account</t>
        </is>
      </c>
      <c r="C20" s="7" t="inlineStr">
        <is>
          <t>Estimated Amount</t>
        </is>
      </c>
      <c r="D20" s="6" t="inlineStr">
        <is>
          <t>Estimated Amount (%)</t>
        </is>
      </c>
    </row>
    <row r="21" hidden="1" s="671">
      <c r="B21" s="358" t="inlineStr">
        <is>
          <t>Citibank - Account 1</t>
        </is>
      </c>
      <c r="C21" s="339">
        <f>+DECU!$R$9</f>
        <v/>
      </c>
      <c r="D21" s="340">
        <f>C21/$C$33</f>
        <v/>
      </c>
      <c r="E21" s="353" t="n"/>
      <c r="F21" s="353" t="n"/>
      <c r="G21" s="353" t="n"/>
      <c r="H21" s="353" t="n"/>
    </row>
    <row r="22" hidden="1" s="671">
      <c r="B22" s="359" t="inlineStr">
        <is>
          <t>Citibank - Account 2</t>
        </is>
      </c>
      <c r="C22" s="92">
        <f>+DECU!$R$18</f>
        <v/>
      </c>
      <c r="D22" s="4">
        <f>C22/$C$33</f>
        <v/>
      </c>
      <c r="E22" s="353" t="n"/>
      <c r="F22" s="353" t="n"/>
      <c r="G22" s="353" t="n"/>
      <c r="H22" s="353" t="n"/>
    </row>
    <row r="23" hidden="1" ht="16.15" customHeight="1" s="671" thickBot="1">
      <c r="B23" s="503" t="inlineStr">
        <is>
          <t>Citibank Singapore - Account 1</t>
        </is>
      </c>
      <c r="C23" s="504">
        <f>DECU!R28</f>
        <v/>
      </c>
      <c r="D23" s="505">
        <f>C23/$C$33</f>
        <v/>
      </c>
      <c r="E23" s="353" t="n"/>
      <c r="F23" s="353" t="n"/>
      <c r="G23" s="353" t="n"/>
      <c r="H23" s="353" t="n"/>
    </row>
    <row r="24">
      <c r="B24" s="358" t="inlineStr">
        <is>
          <t>Deutsche Bank - Personal</t>
        </is>
      </c>
      <c r="C24" s="339">
        <f>DECU!R53</f>
        <v/>
      </c>
      <c r="D24" s="340">
        <f>C24/$C$33</f>
        <v/>
      </c>
      <c r="E24" s="353" t="n"/>
      <c r="F24" s="353" t="n"/>
      <c r="G24" s="353" t="n"/>
      <c r="H24" s="353" t="n"/>
    </row>
    <row r="25" hidden="1" ht="16.5" customHeight="1" s="671">
      <c r="B25" s="359" t="inlineStr">
        <is>
          <t>Deutsche Bank - Perfect Legend</t>
        </is>
      </c>
      <c r="C25" s="92">
        <f>DECU!R136</f>
        <v/>
      </c>
      <c r="D25" s="4">
        <f>C25/$C$33</f>
        <v/>
      </c>
      <c r="E25" s="353" t="n"/>
      <c r="F25" s="353" t="n"/>
      <c r="G25" s="353" t="n"/>
      <c r="H25" s="353" t="n"/>
    </row>
    <row r="26" ht="16.5" customHeight="1" s="671">
      <c r="B26" s="359" t="inlineStr">
        <is>
          <t>Sun Hung Kai Account No. 1</t>
        </is>
      </c>
      <c r="C26" s="92">
        <f>DECU!R86</f>
        <v/>
      </c>
      <c r="D26" s="4">
        <f>C26/$C$33</f>
        <v/>
      </c>
      <c r="E26" s="353" t="n"/>
      <c r="F26" s="353" t="n"/>
      <c r="G26" s="353" t="n"/>
      <c r="H26" s="353" t="n"/>
    </row>
    <row r="27">
      <c r="B27" s="359" t="inlineStr">
        <is>
          <t>Sun Hung Kai Account No. 2</t>
        </is>
      </c>
      <c r="C27" s="92">
        <f>DECU!R108</f>
        <v/>
      </c>
      <c r="D27" s="4">
        <f>C27/$C$33</f>
        <v/>
      </c>
      <c r="E27" s="353" t="n"/>
      <c r="F27" s="353" t="n"/>
      <c r="G27" s="353" t="n"/>
      <c r="H27" s="353" t="n"/>
    </row>
    <row r="28" hidden="1" s="671">
      <c r="B28" s="359" t="inlineStr">
        <is>
          <t>Morgan Stanley - Titan 1</t>
        </is>
      </c>
      <c r="C28" s="92">
        <f>+DECU!$R$144</f>
        <v/>
      </c>
      <c r="D28" s="4">
        <f>C28/$C$33</f>
        <v/>
      </c>
      <c r="E28" s="353" t="n"/>
      <c r="F28" s="353" t="n"/>
      <c r="G28" s="353" t="n"/>
      <c r="H28" s="353" t="n"/>
    </row>
    <row r="29" hidden="1" ht="16.5" customHeight="1" s="671">
      <c r="B29" s="359" t="inlineStr">
        <is>
          <t>Morgan Stanley - Titan 2</t>
        </is>
      </c>
      <c r="C29" s="92">
        <f>+DECU!$R$116</f>
        <v/>
      </c>
      <c r="D29" s="4">
        <f>C29/$C$33</f>
        <v/>
      </c>
      <c r="E29" s="353" t="n"/>
      <c r="F29" s="353" t="n"/>
      <c r="G29" s="353" t="n"/>
      <c r="H29" s="353" t="n"/>
    </row>
    <row r="30" hidden="1" ht="16.5" customHeight="1" s="671">
      <c r="B30" s="359" t="inlineStr">
        <is>
          <t>Morgan Stanley - Perfect Legend</t>
        </is>
      </c>
      <c r="C30" s="92">
        <f>+DECU!$R$151</f>
        <v/>
      </c>
      <c r="D30" s="4">
        <f>C30/$C$33</f>
        <v/>
      </c>
      <c r="E30" s="353" t="n"/>
      <c r="F30" s="353" t="n"/>
      <c r="G30" s="353" t="n"/>
      <c r="H30" s="353" t="n"/>
    </row>
    <row r="31" ht="16.5" customHeight="1" s="671" thickBot="1">
      <c r="B31" s="360" t="inlineStr">
        <is>
          <t>Nomura Singapore</t>
        </is>
      </c>
      <c r="C31" s="93">
        <f>DECU!R67</f>
        <v/>
      </c>
      <c r="D31" s="3">
        <f>C31/$C$33</f>
        <v/>
      </c>
      <c r="E31" s="353" t="n"/>
      <c r="F31" s="353" t="n"/>
      <c r="G31" s="353" t="n"/>
      <c r="H31" s="353" t="n"/>
    </row>
    <row r="32" hidden="1" ht="16.15" customHeight="1" s="671" thickBot="1">
      <c r="B32" s="506" t="inlineStr">
        <is>
          <t>Bank of Singapore</t>
        </is>
      </c>
      <c r="C32" s="507">
        <f>DECU!$R$123</f>
        <v/>
      </c>
      <c r="D32" s="8">
        <f>C32/$C$33</f>
        <v/>
      </c>
      <c r="E32" s="353" t="n"/>
      <c r="F32" s="673">
        <f>ALLM!N43</f>
        <v/>
      </c>
      <c r="G32" s="673">
        <f>F32-F33</f>
        <v/>
      </c>
      <c r="H32" s="353" t="n"/>
    </row>
    <row r="33" ht="16.15" customHeight="1" s="671" thickBot="1">
      <c r="B33" s="362" t="n"/>
      <c r="C33" s="363">
        <f>SUM(C21:C32)</f>
        <v/>
      </c>
      <c r="D33" s="8">
        <f>C33/$C$33</f>
        <v/>
      </c>
      <c r="E33" s="353" t="n"/>
      <c r="F33" s="673">
        <f>+DECU!$R$158</f>
        <v/>
      </c>
      <c r="G33" s="365">
        <f>C33-F33</f>
        <v/>
      </c>
      <c r="H33" s="353" t="n"/>
    </row>
    <row r="35">
      <c r="F35" s="673">
        <f>F16-F33</f>
        <v/>
      </c>
    </row>
  </sheetData>
  <mergeCells count="2">
    <mergeCell ref="C1:D1"/>
    <mergeCell ref="C18:D18"/>
  </mergeCells>
  <pageMargins left="0.2" right="0.2" top="0.2" bottom="0.2" header="0.3" footer="0.3"/>
  <pageSetup orientation="landscape" paperSize="10001" fitToHeight="0" horizontalDpi="30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T55"/>
  <sheetViews>
    <sheetView view="pageBreakPreview" zoomScaleSheetLayoutView="100" workbookViewId="0">
      <selection activeCell="B41" sqref="B41"/>
    </sheetView>
  </sheetViews>
  <sheetFormatPr baseColWidth="8" defaultColWidth="9.140625" defaultRowHeight="15.75" outlineLevelCol="0"/>
  <cols>
    <col width="2.85546875" customWidth="1" style="353" min="1" max="1"/>
    <col width="28.28515625" customWidth="1" style="353" min="2" max="2"/>
    <col width="7.85546875" bestFit="1" customWidth="1" style="353" min="3" max="3"/>
    <col width="10.5703125" customWidth="1" style="1" min="4" max="4"/>
    <col width="10.5703125" customWidth="1" style="620" min="5" max="12"/>
    <col width="1.7109375" customWidth="1" style="353" min="13" max="13"/>
    <col width="21.7109375" bestFit="1" customWidth="1" style="353" min="14" max="14"/>
    <col width="8.85546875" bestFit="1" customWidth="1" style="353" min="15" max="15"/>
    <col width="9.140625" customWidth="1" style="353" min="16" max="16"/>
    <col width="9.5703125" bestFit="1" customWidth="1" style="353" min="17" max="17"/>
    <col width="9.140625" customWidth="1" style="353" min="18" max="19"/>
    <col width="17.85546875" bestFit="1" customWidth="1" style="353" min="20" max="20"/>
    <col width="9.140625" customWidth="1" style="353" min="21" max="686"/>
    <col width="9.140625" customWidth="1" style="353" min="687" max="16384"/>
  </cols>
  <sheetData>
    <row r="1" ht="26.45" customHeight="1" s="671" thickBot="1">
      <c r="B1" s="364" t="inlineStr">
        <is>
          <t>ACCUMULATORS</t>
        </is>
      </c>
      <c r="F1" s="674">
        <f>ACCU!B1</f>
        <v/>
      </c>
    </row>
    <row r="2" ht="29.25" customFormat="1" customHeight="1" s="356" thickBot="1">
      <c r="B2" s="366" t="inlineStr">
        <is>
          <t>HK Stock</t>
        </is>
      </c>
      <c r="C2" s="367" t="inlineStr">
        <is>
          <t>Code</t>
        </is>
      </c>
      <c r="D2" s="18" t="inlineStr">
        <is>
          <t>Total</t>
        </is>
      </c>
      <c r="E2" s="34" t="inlineStr">
        <is>
          <t>Jul 2026</t>
        </is>
      </c>
      <c r="F2" s="34" t="inlineStr">
        <is>
          <t>Aug 2026</t>
        </is>
      </c>
      <c r="G2" s="34" t="inlineStr">
        <is>
          <t>Sep 2026</t>
        </is>
      </c>
      <c r="H2" s="34" t="inlineStr">
        <is>
          <t>Oct 2026</t>
        </is>
      </c>
      <c r="I2" s="34" t="inlineStr">
        <is>
          <t>Nov 2026</t>
        </is>
      </c>
      <c r="J2" s="34" t="inlineStr">
        <is>
          <t>Dec 2026</t>
        </is>
      </c>
      <c r="K2" s="34" t="inlineStr">
        <is>
          <t>Jan 2027</t>
        </is>
      </c>
      <c r="L2" s="33" t="inlineStr">
        <is>
          <t>Feb 2027 Onwards</t>
        </is>
      </c>
      <c r="N2" s="83" t="inlineStr">
        <is>
          <t>Estimated Amount</t>
        </is>
      </c>
      <c r="O2" s="6" t="inlineStr">
        <is>
          <t>%</t>
        </is>
      </c>
    </row>
    <row r="3" hidden="1" ht="27.75" customFormat="1" customHeight="1" s="356">
      <c r="B3" s="368" t="n"/>
      <c r="C3" s="369" t="n"/>
      <c r="D3" s="32" t="n"/>
      <c r="E3" s="31" t="inlineStr">
        <is>
          <t>7-2026</t>
        </is>
      </c>
      <c r="F3" s="31" t="inlineStr">
        <is>
          <t>8-2026</t>
        </is>
      </c>
      <c r="G3" s="31" t="inlineStr">
        <is>
          <t>9-2026</t>
        </is>
      </c>
      <c r="H3" s="31" t="inlineStr">
        <is>
          <t>10-2026</t>
        </is>
      </c>
      <c r="I3" s="31" t="inlineStr">
        <is>
          <t>11-2026</t>
        </is>
      </c>
      <c r="J3" s="31" t="inlineStr">
        <is>
          <t>12-2026</t>
        </is>
      </c>
      <c r="K3" s="31" t="inlineStr">
        <is>
          <t>01-2027</t>
        </is>
      </c>
      <c r="L3" s="30" t="n"/>
      <c r="N3" s="370" t="n"/>
      <c r="O3" s="35" t="n"/>
    </row>
    <row r="4" ht="16.5" customHeight="1" s="671">
      <c r="A4" s="144">
        <f>INDIRECT(ADDRESS(ROW()-1,COLUMN()))+1</f>
        <v/>
      </c>
      <c r="B4" s="359" t="inlineStr">
        <is>
          <t>Geely Motor</t>
        </is>
      </c>
      <c r="C4" s="24" t="inlineStr">
        <is>
          <t>0175</t>
        </is>
      </c>
      <c r="D4" s="23">
        <f>SUM(E4:L4)</f>
        <v/>
      </c>
      <c r="E4" s="22">
        <f>IF(COUNTIF(ACCU!$AD:$AD,E$3&amp;"-"&amp;$C4)=0,"",COUNTIF(ACCU!$AD:$AD,E$3&amp;"-"&amp;$C4))</f>
        <v/>
      </c>
      <c r="F4" s="22">
        <f>IF(COUNTIF(ACCU!$AD:$AD,F$3&amp;"-"&amp;$C4)=0,"",COUNTIF(ACCU!$AD:$AD,F$3&amp;"-"&amp;$C4))</f>
        <v/>
      </c>
      <c r="G4" s="22">
        <f>IF(COUNTIF(ACCU!$AD:$AD,G$3&amp;"-"&amp;$C4)=0,"",COUNTIF(ACCU!$AD:$AD,G$3&amp;"-"&amp;$C4))</f>
        <v/>
      </c>
      <c r="H4" s="22">
        <f>IF(COUNTIF(ACCU!$AD:$AD,H$3&amp;"-"&amp;$C4)=0,"",COUNTIF(ACCU!$AD:$AD,H$3&amp;"-"&amp;$C4))</f>
        <v/>
      </c>
      <c r="I4" s="22">
        <f>IF(COUNTIF(ACCU!$AD:$AD,I$3&amp;"-"&amp;$C4)=0,"",COUNTIF(ACCU!$AD:$AD,I$3&amp;"-"&amp;$C4))</f>
        <v/>
      </c>
      <c r="J4" s="22">
        <f>IF(COUNTIF(ACCU!$AD:$AD,J$3&amp;"-"&amp;$C4)=0,"",COUNTIF(ACCU!$AD:$AD,J$3&amp;"-"&amp;$C4))</f>
        <v/>
      </c>
      <c r="K4" s="21">
        <f>IF(COUNTIF(ACCU!$AD:$AD,K$3&amp;"-"&amp;$C4)=0,"",COUNTIF(ACCU!$AD:$AD,K$3&amp;"-"&amp;$C4))</f>
        <v/>
      </c>
      <c r="L4" s="20">
        <f>COUNTIF(ACCU!$AE:$AE,$C4)-SUM(E4:K4)</f>
        <v/>
      </c>
      <c r="N4" s="108">
        <f>SUMIF(ACCU!AE:AE,C4,ACCU!R:R)</f>
        <v/>
      </c>
      <c r="O4" s="500">
        <f>N4/N$13</f>
        <v/>
      </c>
    </row>
    <row r="5" ht="16.5" customHeight="1" s="671">
      <c r="A5" s="144">
        <f>INDIRECT(ADDRESS(ROW()-1,COLUMN()))+1</f>
        <v/>
      </c>
      <c r="B5" s="359" t="inlineStr">
        <is>
          <t>HK Exchange</t>
        </is>
      </c>
      <c r="C5" s="24" t="inlineStr">
        <is>
          <t>0388</t>
        </is>
      </c>
      <c r="D5" s="23">
        <f>SUM(E5:L5)</f>
        <v/>
      </c>
      <c r="E5" s="22">
        <f>IF(COUNTIF(ACCU!$AD:$AD,E$3&amp;"-"&amp;$C5)=0,"",COUNTIF(ACCU!$AD:$AD,E$3&amp;"-"&amp;$C5))</f>
        <v/>
      </c>
      <c r="F5" s="22">
        <f>IF(COUNTIF(ACCU!$AD:$AD,F$3&amp;"-"&amp;$C5)=0,"",COUNTIF(ACCU!$AD:$AD,F$3&amp;"-"&amp;$C5))</f>
        <v/>
      </c>
      <c r="G5" s="22">
        <f>IF(COUNTIF(ACCU!$AD:$AD,G$3&amp;"-"&amp;$C5)=0,"",COUNTIF(ACCU!$AD:$AD,G$3&amp;"-"&amp;$C5))</f>
        <v/>
      </c>
      <c r="H5" s="22">
        <f>IF(COUNTIF(ACCU!$AD:$AD,H$3&amp;"-"&amp;$C5)=0,"",COUNTIF(ACCU!$AD:$AD,H$3&amp;"-"&amp;$C5))</f>
        <v/>
      </c>
      <c r="I5" s="22">
        <f>IF(COUNTIF(ACCU!$AD:$AD,I$3&amp;"-"&amp;$C5)=0,"",COUNTIF(ACCU!$AD:$AD,I$3&amp;"-"&amp;$C5))</f>
        <v/>
      </c>
      <c r="J5" s="22">
        <f>IF(COUNTIF(ACCU!$AD:$AD,J$3&amp;"-"&amp;$C5)=0,"",COUNTIF(ACCU!$AD:$AD,J$3&amp;"-"&amp;$C5))</f>
        <v/>
      </c>
      <c r="K5" s="21">
        <f>IF(COUNTIF(ACCU!$AD:$AD,K$3&amp;"-"&amp;$C5)=0,"",COUNTIF(ACCU!$AD:$AD,K$3&amp;"-"&amp;$C5))</f>
        <v/>
      </c>
      <c r="L5" s="20">
        <f>COUNTIF(ACCU!$AE:$AE,$C5)-SUM(E5:K5)</f>
        <v/>
      </c>
      <c r="N5" s="108">
        <f>SUMIF(ACCU!AE:AE,C5,ACCU!R:R)</f>
        <v/>
      </c>
      <c r="O5" s="500">
        <f>N5/N$13</f>
        <v/>
      </c>
    </row>
    <row r="6" ht="16.5" customHeight="1" s="671">
      <c r="A6" s="144">
        <f>INDIRECT(ADDRESS(ROW()-1,COLUMN()))+1</f>
        <v/>
      </c>
      <c r="B6" s="359" t="inlineStr">
        <is>
          <t>Tencent</t>
        </is>
      </c>
      <c r="C6" s="24" t="inlineStr">
        <is>
          <t>0700</t>
        </is>
      </c>
      <c r="D6" s="23">
        <f>SUM(E6:L6)</f>
        <v/>
      </c>
      <c r="E6" s="22">
        <f>IF(COUNTIF(ACCU!$AD:$AD,E$3&amp;"-"&amp;$C6)=0,"",COUNTIF(ACCU!$AD:$AD,E$3&amp;"-"&amp;$C6))</f>
        <v/>
      </c>
      <c r="F6" s="22">
        <f>IF(COUNTIF(ACCU!$AD:$AD,F$3&amp;"-"&amp;$C6)=0,"",COUNTIF(ACCU!$AD:$AD,F$3&amp;"-"&amp;$C6))</f>
        <v/>
      </c>
      <c r="G6" s="22">
        <f>IF(COUNTIF(ACCU!$AD:$AD,G$3&amp;"-"&amp;$C6)=0,"",COUNTIF(ACCU!$AD:$AD,G$3&amp;"-"&amp;$C6))</f>
        <v/>
      </c>
      <c r="H6" s="22">
        <f>IF(COUNTIF(ACCU!$AD:$AD,H$3&amp;"-"&amp;$C6)=0,"",COUNTIF(ACCU!$AD:$AD,H$3&amp;"-"&amp;$C6))</f>
        <v/>
      </c>
      <c r="I6" s="22">
        <f>IF(COUNTIF(ACCU!$AD:$AD,I$3&amp;"-"&amp;$C6)=0,"",COUNTIF(ACCU!$AD:$AD,I$3&amp;"-"&amp;$C6))</f>
        <v/>
      </c>
      <c r="J6" s="22">
        <f>IF(COUNTIF(ACCU!$AD:$AD,J$3&amp;"-"&amp;$C6)=0,"",COUNTIF(ACCU!$AD:$AD,J$3&amp;"-"&amp;$C6))</f>
        <v/>
      </c>
      <c r="K6" s="21">
        <f>IF(COUNTIF(ACCU!$AD:$AD,K$3&amp;"-"&amp;$C6)=0,"",COUNTIF(ACCU!$AD:$AD,K$3&amp;"-"&amp;$C6))</f>
        <v/>
      </c>
      <c r="L6" s="20">
        <f>COUNTIF(ACCU!$AE:$AE,$C6)-SUM(E6:K6)</f>
        <v/>
      </c>
      <c r="N6" s="108">
        <f>SUMIF(ACCU!AE:AE,C6,ACCU!R:R)</f>
        <v/>
      </c>
      <c r="O6" s="500">
        <f>N6/N$13</f>
        <v/>
      </c>
    </row>
    <row r="7" ht="16.5" customHeight="1" s="671">
      <c r="A7" s="144">
        <f>INDIRECT(ADDRESS(ROW()-1,COLUMN()))+1</f>
        <v/>
      </c>
      <c r="B7" s="359" t="inlineStr">
        <is>
          <t>Semiconductor Mfg</t>
        </is>
      </c>
      <c r="C7" s="24" t="inlineStr">
        <is>
          <t>0981</t>
        </is>
      </c>
      <c r="D7" s="23">
        <f>SUM(E7:L7)</f>
        <v/>
      </c>
      <c r="E7" s="22">
        <f>IF(COUNTIF(ACCU!$AD:$AD,E$3&amp;"-"&amp;$C7)=0,"",COUNTIF(ACCU!$AD:$AD,E$3&amp;"-"&amp;$C7))</f>
        <v/>
      </c>
      <c r="F7" s="22">
        <f>IF(COUNTIF(ACCU!$AD:$AD,F$3&amp;"-"&amp;$C7)=0,"",COUNTIF(ACCU!$AD:$AD,F$3&amp;"-"&amp;$C7))</f>
        <v/>
      </c>
      <c r="G7" s="22">
        <f>IF(COUNTIF(ACCU!$AD:$AD,G$3&amp;"-"&amp;$C7)=0,"",COUNTIF(ACCU!$AD:$AD,G$3&amp;"-"&amp;$C7))</f>
        <v/>
      </c>
      <c r="H7" s="22">
        <f>IF(COUNTIF(ACCU!$AD:$AD,H$3&amp;"-"&amp;$C7)=0,"",COUNTIF(ACCU!$AD:$AD,H$3&amp;"-"&amp;$C7))</f>
        <v/>
      </c>
      <c r="I7" s="22">
        <f>IF(COUNTIF(ACCU!$AD:$AD,I$3&amp;"-"&amp;$C7)=0,"",COUNTIF(ACCU!$AD:$AD,I$3&amp;"-"&amp;$C7))</f>
        <v/>
      </c>
      <c r="J7" s="22">
        <f>IF(COUNTIF(ACCU!$AD:$AD,J$3&amp;"-"&amp;$C7)=0,"",COUNTIF(ACCU!$AD:$AD,J$3&amp;"-"&amp;$C7))</f>
        <v/>
      </c>
      <c r="K7" s="21">
        <f>IF(COUNTIF(ACCU!$AD:$AD,K$3&amp;"-"&amp;$C7)=0,"",COUNTIF(ACCU!$AD:$AD,K$3&amp;"-"&amp;$C7))</f>
        <v/>
      </c>
      <c r="L7" s="20">
        <f>COUNTIF(ACCU!$AE:$AE,$C7)-SUM(E7:K7)</f>
        <v/>
      </c>
      <c r="N7" s="108">
        <f>SUMIF(ACCU!AE:AE,C7,ACCU!R:R)</f>
        <v/>
      </c>
      <c r="O7" s="500">
        <f>N7/N$13</f>
        <v/>
      </c>
    </row>
    <row r="8" ht="16.5" customHeight="1" s="671">
      <c r="A8" s="144">
        <f>INDIRECT(ADDRESS(ROW()-1,COLUMN()))+1</f>
        <v/>
      </c>
      <c r="B8" s="359" t="inlineStr">
        <is>
          <t>Kuaishou Tech</t>
        </is>
      </c>
      <c r="C8" s="24" t="inlineStr">
        <is>
          <t>1024</t>
        </is>
      </c>
      <c r="D8" s="23">
        <f>SUM(E8:L8)</f>
        <v/>
      </c>
      <c r="E8" s="22">
        <f>IF(COUNTIF(ACCU!$AD:$AD,E$3&amp;"-"&amp;$C8)=0,"",COUNTIF(ACCU!$AD:$AD,E$3&amp;"-"&amp;$C8))</f>
        <v/>
      </c>
      <c r="F8" s="22">
        <f>IF(COUNTIF(ACCU!$AD:$AD,F$3&amp;"-"&amp;$C8)=0,"",COUNTIF(ACCU!$AD:$AD,F$3&amp;"-"&amp;$C8))</f>
        <v/>
      </c>
      <c r="G8" s="22">
        <f>IF(COUNTIF(ACCU!$AD:$AD,G$3&amp;"-"&amp;$C8)=0,"",COUNTIF(ACCU!$AD:$AD,G$3&amp;"-"&amp;$C8))</f>
        <v/>
      </c>
      <c r="H8" s="22">
        <f>IF(COUNTIF(ACCU!$AD:$AD,H$3&amp;"-"&amp;$C8)=0,"",COUNTIF(ACCU!$AD:$AD,H$3&amp;"-"&amp;$C8))</f>
        <v/>
      </c>
      <c r="I8" s="22">
        <f>IF(COUNTIF(ACCU!$AD:$AD,I$3&amp;"-"&amp;$C8)=0,"",COUNTIF(ACCU!$AD:$AD,I$3&amp;"-"&amp;$C8))</f>
        <v/>
      </c>
      <c r="J8" s="22">
        <f>IF(COUNTIF(ACCU!$AD:$AD,J$3&amp;"-"&amp;$C8)=0,"",COUNTIF(ACCU!$AD:$AD,J$3&amp;"-"&amp;$C8))</f>
        <v/>
      </c>
      <c r="K8" s="21">
        <f>IF(COUNTIF(ACCU!$AD:$AD,K$3&amp;"-"&amp;$C8)=0,"",COUNTIF(ACCU!$AD:$AD,K$3&amp;"-"&amp;$C8))</f>
        <v/>
      </c>
      <c r="L8" s="20">
        <f>COUNTIF(ACCU!$AE:$AE,$C8)-SUM(E8:K8)</f>
        <v/>
      </c>
      <c r="N8" s="108">
        <f>SUMIF(ACCU!AE:AE,C8,ACCU!R:R)</f>
        <v/>
      </c>
      <c r="O8" s="500">
        <f>N8/N$13</f>
        <v/>
      </c>
    </row>
    <row r="9" ht="16.5" customHeight="1" s="671">
      <c r="A9" s="144">
        <f>INDIRECT(ADDRESS(ROW()-1,COLUMN()))+1</f>
        <v/>
      </c>
      <c r="B9" s="359" t="inlineStr">
        <is>
          <t>Shanghai Pharma</t>
        </is>
      </c>
      <c r="C9" s="24" t="inlineStr">
        <is>
          <t>2196</t>
        </is>
      </c>
      <c r="D9" s="23">
        <f>SUM(E9:L9)</f>
        <v/>
      </c>
      <c r="E9" s="22">
        <f>IF(COUNTIF(ACCU!$AD:$AD,E$3&amp;"-"&amp;$C9)=0,"",COUNTIF(ACCU!$AD:$AD,E$3&amp;"-"&amp;$C9))</f>
        <v/>
      </c>
      <c r="F9" s="22">
        <f>IF(COUNTIF(ACCU!$AD:$AD,F$3&amp;"-"&amp;$C9)=0,"",COUNTIF(ACCU!$AD:$AD,F$3&amp;"-"&amp;$C9))</f>
        <v/>
      </c>
      <c r="G9" s="22">
        <f>IF(COUNTIF(ACCU!$AD:$AD,G$3&amp;"-"&amp;$C9)=0,"",COUNTIF(ACCU!$AD:$AD,G$3&amp;"-"&amp;$C9))</f>
        <v/>
      </c>
      <c r="H9" s="22">
        <f>IF(COUNTIF(ACCU!$AD:$AD,H$3&amp;"-"&amp;$C9)=0,"",COUNTIF(ACCU!$AD:$AD,H$3&amp;"-"&amp;$C9))</f>
        <v/>
      </c>
      <c r="I9" s="22">
        <f>IF(COUNTIF(ACCU!$AD:$AD,I$3&amp;"-"&amp;$C9)=0,"",COUNTIF(ACCU!$AD:$AD,I$3&amp;"-"&amp;$C9))</f>
        <v/>
      </c>
      <c r="J9" s="22">
        <f>IF(COUNTIF(ACCU!$AD:$AD,J$3&amp;"-"&amp;$C9)=0,"",COUNTIF(ACCU!$AD:$AD,J$3&amp;"-"&amp;$C9))</f>
        <v/>
      </c>
      <c r="K9" s="21">
        <f>IF(COUNTIF(ACCU!$AD:$AD,K$3&amp;"-"&amp;$C9)=0,"",COUNTIF(ACCU!$AD:$AD,K$3&amp;"-"&amp;$C9))</f>
        <v/>
      </c>
      <c r="L9" s="20">
        <f>COUNTIF(ACCU!$AE:$AE,$C9)-SUM(E9:K9)</f>
        <v/>
      </c>
      <c r="N9" s="108">
        <f>SUMIF(ACCU!AE:AE,C9,ACCU!R:R)</f>
        <v/>
      </c>
      <c r="O9" s="500">
        <f>N9/N$13</f>
        <v/>
      </c>
    </row>
    <row r="10" ht="16.5" customHeight="1" s="671">
      <c r="A10" s="144">
        <f>INDIRECT(ADDRESS(ROW()-1,COLUMN()))+1</f>
        <v/>
      </c>
      <c r="B10" s="359" t="inlineStr">
        <is>
          <t>China Molybdenum</t>
        </is>
      </c>
      <c r="C10" s="24" t="inlineStr">
        <is>
          <t>3993</t>
        </is>
      </c>
      <c r="D10" s="23">
        <f>SUM(E10:L10)</f>
        <v/>
      </c>
      <c r="E10" s="22">
        <f>IF(COUNTIF(ACCU!$AD:$AD,E$3&amp;"-"&amp;$C10)=0,"",COUNTIF(ACCU!$AD:$AD,E$3&amp;"-"&amp;$C10))</f>
        <v/>
      </c>
      <c r="F10" s="22">
        <f>IF(COUNTIF(ACCU!$AD:$AD,F$3&amp;"-"&amp;$C10)=0,"",COUNTIF(ACCU!$AD:$AD,F$3&amp;"-"&amp;$C10))</f>
        <v/>
      </c>
      <c r="G10" s="22">
        <f>IF(COUNTIF(ACCU!$AD:$AD,G$3&amp;"-"&amp;$C10)=0,"",COUNTIF(ACCU!$AD:$AD,G$3&amp;"-"&amp;$C10))</f>
        <v/>
      </c>
      <c r="H10" s="22">
        <f>IF(COUNTIF(ACCU!$AD:$AD,H$3&amp;"-"&amp;$C10)=0,"",COUNTIF(ACCU!$AD:$AD,H$3&amp;"-"&amp;$C10))</f>
        <v/>
      </c>
      <c r="I10" s="22">
        <f>IF(COUNTIF(ACCU!$AD:$AD,I$3&amp;"-"&amp;$C10)=0,"",COUNTIF(ACCU!$AD:$AD,I$3&amp;"-"&amp;$C10))</f>
        <v/>
      </c>
      <c r="J10" s="22">
        <f>IF(COUNTIF(ACCU!$AD:$AD,J$3&amp;"-"&amp;$C10)=0,"",COUNTIF(ACCU!$AD:$AD,J$3&amp;"-"&amp;$C10))</f>
        <v/>
      </c>
      <c r="K10" s="21">
        <f>IF(COUNTIF(ACCU!$AD:$AD,K$3&amp;"-"&amp;$C10)=0,"",COUNTIF(ACCU!$AD:$AD,K$3&amp;"-"&amp;$C10))</f>
        <v/>
      </c>
      <c r="L10" s="20">
        <f>COUNTIF(ACCU!$AE:$AE,$C10)-SUM(E10:K10)</f>
        <v/>
      </c>
      <c r="N10" s="108">
        <f>SUMIF(ACCU!AE:AE,C10,ACCU!R:R)</f>
        <v/>
      </c>
      <c r="O10" s="500">
        <f>N10/N$13</f>
        <v/>
      </c>
    </row>
    <row r="11" ht="16.5" customHeight="1" s="671">
      <c r="A11" s="144">
        <f>INDIRECT(ADDRESS(ROW()-1,COLUMN()))+1</f>
        <v/>
      </c>
      <c r="B11" s="359" t="inlineStr">
        <is>
          <t>Baidu Inc</t>
        </is>
      </c>
      <c r="C11" s="24" t="inlineStr">
        <is>
          <t>9888</t>
        </is>
      </c>
      <c r="D11" s="23">
        <f>SUM(E11:L11)</f>
        <v/>
      </c>
      <c r="E11" s="22">
        <f>IF(COUNTIF(ACCU!$AD:$AD,E$3&amp;"-"&amp;$C11)=0,"",COUNTIF(ACCU!$AD:$AD,E$3&amp;"-"&amp;$C11))</f>
        <v/>
      </c>
      <c r="F11" s="22">
        <f>IF(COUNTIF(ACCU!$AD:$AD,F$3&amp;"-"&amp;$C11)=0,"",COUNTIF(ACCU!$AD:$AD,F$3&amp;"-"&amp;$C11))</f>
        <v/>
      </c>
      <c r="G11" s="22">
        <f>IF(COUNTIF(ACCU!$AD:$AD,G$3&amp;"-"&amp;$C11)=0,"",COUNTIF(ACCU!$AD:$AD,G$3&amp;"-"&amp;$C11))</f>
        <v/>
      </c>
      <c r="H11" s="22">
        <f>IF(COUNTIF(ACCU!$AD:$AD,H$3&amp;"-"&amp;$C11)=0,"",COUNTIF(ACCU!$AD:$AD,H$3&amp;"-"&amp;$C11))</f>
        <v/>
      </c>
      <c r="I11" s="22">
        <f>IF(COUNTIF(ACCU!$AD:$AD,I$3&amp;"-"&amp;$C11)=0,"",COUNTIF(ACCU!$AD:$AD,I$3&amp;"-"&amp;$C11))</f>
        <v/>
      </c>
      <c r="J11" s="22">
        <f>IF(COUNTIF(ACCU!$AD:$AD,J$3&amp;"-"&amp;$C11)=0,"",COUNTIF(ACCU!$AD:$AD,J$3&amp;"-"&amp;$C11))</f>
        <v/>
      </c>
      <c r="K11" s="21">
        <f>IF(COUNTIF(ACCU!$AD:$AD,K$3&amp;"-"&amp;$C11)=0,"",COUNTIF(ACCU!$AD:$AD,K$3&amp;"-"&amp;$C11))</f>
        <v/>
      </c>
      <c r="L11" s="20">
        <f>COUNTIF(ACCU!$AE:$AE,$C11)-SUM(E11:K11)</f>
        <v/>
      </c>
      <c r="N11" s="108">
        <f>SUMIF(ACCU!AE:AE,C11,ACCU!R:R)</f>
        <v/>
      </c>
      <c r="O11" s="500">
        <f>N11/N$13</f>
        <v/>
      </c>
    </row>
    <row r="12" ht="16.5" customHeight="1" s="671" thickBot="1">
      <c r="A12" s="144">
        <f>INDIRECT(ADDRESS(ROW()-1,COLUMN()))+1</f>
        <v/>
      </c>
      <c r="B12" s="360" t="inlineStr">
        <is>
          <t>Alibaba</t>
        </is>
      </c>
      <c r="C12" s="146" t="inlineStr">
        <is>
          <t>9988</t>
        </is>
      </c>
      <c r="D12" s="23">
        <f>SUM(E12:L12)</f>
        <v/>
      </c>
      <c r="E12" s="22">
        <f>IF(COUNTIF(ACCU!$AD:$AD,E$3&amp;"-"&amp;$C12)=0,"",COUNTIF(ACCU!$AD:$AD,E$3&amp;"-"&amp;$C12))</f>
        <v/>
      </c>
      <c r="F12" s="22">
        <f>IF(COUNTIF(ACCU!$AD:$AD,F$3&amp;"-"&amp;$C12)=0,"",COUNTIF(ACCU!$AD:$AD,F$3&amp;"-"&amp;$C12))</f>
        <v/>
      </c>
      <c r="G12" s="22">
        <f>IF(COUNTIF(ACCU!$AD:$AD,G$3&amp;"-"&amp;$C12)=0,"",COUNTIF(ACCU!$AD:$AD,G$3&amp;"-"&amp;$C12))</f>
        <v/>
      </c>
      <c r="H12" s="22">
        <f>IF(COUNTIF(ACCU!$AD:$AD,H$3&amp;"-"&amp;$C12)=0,"",COUNTIF(ACCU!$AD:$AD,H$3&amp;"-"&amp;$C12))</f>
        <v/>
      </c>
      <c r="I12" s="22">
        <f>IF(COUNTIF(ACCU!$AD:$AD,I$3&amp;"-"&amp;$C12)=0,"",COUNTIF(ACCU!$AD:$AD,I$3&amp;"-"&amp;$C12))</f>
        <v/>
      </c>
      <c r="J12" s="22">
        <f>IF(COUNTIF(ACCU!$AD:$AD,J$3&amp;"-"&amp;$C12)=0,"",COUNTIF(ACCU!$AD:$AD,J$3&amp;"-"&amp;$C12))</f>
        <v/>
      </c>
      <c r="K12" s="21">
        <f>IF(COUNTIF(ACCU!$AD:$AD,K$3&amp;"-"&amp;$C12)=0,"",COUNTIF(ACCU!$AD:$AD,K$3&amp;"-"&amp;$C12))</f>
        <v/>
      </c>
      <c r="L12" s="20">
        <f>COUNTIF(ACCU!$AE:$AE,$C12)-SUM(E12:K12)</f>
        <v/>
      </c>
      <c r="N12" s="108">
        <f>SUMIF(ACCU!AE:AE,C12,ACCU!R:R)</f>
        <v/>
      </c>
      <c r="O12" s="500">
        <f>N12/N$13</f>
        <v/>
      </c>
    </row>
    <row r="13" ht="16.15" customHeight="1" s="671" thickBot="1">
      <c r="C13" s="371" t="inlineStr">
        <is>
          <t>TOTAL:</t>
        </is>
      </c>
      <c r="D13" s="12">
        <f>SUM(D2:D12)</f>
        <v/>
      </c>
      <c r="E13" s="11">
        <f>SUM(E2:E12)</f>
        <v/>
      </c>
      <c r="F13" s="11">
        <f>SUM(F2:F12)</f>
        <v/>
      </c>
      <c r="G13" s="11">
        <f>SUM(G2:G12)</f>
        <v/>
      </c>
      <c r="H13" s="11">
        <f>SUM(H2:H12)</f>
        <v/>
      </c>
      <c r="I13" s="11">
        <f>SUM(I2:I12)</f>
        <v/>
      </c>
      <c r="J13" s="11">
        <f>SUM(J2:J12)</f>
        <v/>
      </c>
      <c r="K13" s="10">
        <f>SUM(K4:K12)</f>
        <v/>
      </c>
      <c r="L13" s="9">
        <f>SUM(L2:L12)</f>
        <v/>
      </c>
      <c r="N13" s="372">
        <f>SUM(N2:INDIRECT("N"&amp;ROW()-1))</f>
        <v/>
      </c>
      <c r="O13" s="501">
        <f>N13/N$13</f>
        <v/>
      </c>
    </row>
    <row r="14" ht="16.15" customHeight="1" s="671">
      <c r="D14" s="96" t="n"/>
      <c r="E14" s="96" t="n"/>
      <c r="F14" s="96" t="n"/>
      <c r="G14" s="96">
        <f>SUM(G13:$L13)-G13</f>
        <v/>
      </c>
      <c r="H14" s="96" t="n"/>
      <c r="I14" s="96" t="n"/>
      <c r="J14" s="96">
        <f>SUM(J13:$L13)-J13</f>
        <v/>
      </c>
      <c r="K14" s="96" t="n"/>
      <c r="L14" s="96" t="n"/>
      <c r="M14" s="96" t="n"/>
    </row>
    <row r="15" hidden="1" ht="29.25" customFormat="1" customHeight="1" s="356" thickBot="1">
      <c r="B15" s="366" t="inlineStr">
        <is>
          <t>JP Stock</t>
        </is>
      </c>
      <c r="C15" s="367" t="inlineStr">
        <is>
          <t>Code</t>
        </is>
      </c>
      <c r="D15" s="18" t="inlineStr">
        <is>
          <t>Total</t>
        </is>
      </c>
      <c r="E15" s="7">
        <f>E$2</f>
        <v/>
      </c>
      <c r="F15" s="373">
        <f>F$2</f>
        <v/>
      </c>
      <c r="G15" s="373">
        <f>G$2</f>
        <v/>
      </c>
      <c r="H15" s="373">
        <f>H$2</f>
        <v/>
      </c>
      <c r="I15" s="373">
        <f>I$2</f>
        <v/>
      </c>
      <c r="J15" s="373">
        <f>J$2</f>
        <v/>
      </c>
      <c r="K15" s="373">
        <f>K$2</f>
        <v/>
      </c>
      <c r="L15" s="374">
        <f>L$2</f>
        <v/>
      </c>
      <c r="N15" s="164" t="inlineStr">
        <is>
          <t>Estimated Amount</t>
        </is>
      </c>
      <c r="P15" s="166" t="inlineStr">
        <is>
          <t>Remaining</t>
        </is>
      </c>
      <c r="Q15" s="166" t="inlineStr">
        <is>
          <t>strike</t>
        </is>
      </c>
      <c r="R15" s="166" t="inlineStr">
        <is>
          <t>Single</t>
        </is>
      </c>
      <c r="S15" s="356" t="inlineStr">
        <is>
          <t>SD</t>
        </is>
      </c>
      <c r="T15" s="356" t="inlineStr">
        <is>
          <t>Adjustment</t>
        </is>
      </c>
    </row>
    <row r="16" hidden="1" ht="16.15" customHeight="1" s="671" thickBot="1">
      <c r="B16" s="360" t="inlineStr">
        <is>
          <t>Nomura</t>
        </is>
      </c>
      <c r="C16" s="17" t="inlineStr">
        <is>
          <t>8604</t>
        </is>
      </c>
      <c r="D16" s="16">
        <f>SUM(E16:L16)</f>
        <v/>
      </c>
      <c r="E16" s="15" t="n"/>
      <c r="F16" s="14" t="n"/>
      <c r="G16" s="14" t="n"/>
      <c r="H16" s="14" t="n"/>
      <c r="I16" s="14" t="n"/>
      <c r="J16" s="14" t="n"/>
      <c r="K16" s="14" t="n"/>
      <c r="L16" s="13" t="n">
        <v>0</v>
      </c>
      <c r="N16" s="165">
        <f>P16*Q16*R16*S16+T16</f>
        <v/>
      </c>
      <c r="P16" s="102" t="n">
        <v>19</v>
      </c>
      <c r="Q16" s="675" t="n">
        <v>457.9325</v>
      </c>
      <c r="R16" s="102" t="n">
        <v>500</v>
      </c>
      <c r="S16" s="184" t="n">
        <v>1</v>
      </c>
    </row>
    <row r="17" hidden="1" ht="16.15" customHeight="1" s="671" thickBot="1">
      <c r="C17" s="371" t="inlineStr">
        <is>
          <t>TOTAL:</t>
        </is>
      </c>
      <c r="D17" s="12">
        <f>SUM(D16:D16)</f>
        <v/>
      </c>
      <c r="E17" s="11">
        <f>SUM(E16:E16)</f>
        <v/>
      </c>
      <c r="F17" s="11">
        <f>SUM(F16:F16)</f>
        <v/>
      </c>
      <c r="G17" s="11">
        <f>SUM(G16:G16)</f>
        <v/>
      </c>
      <c r="H17" s="11">
        <f>SUM(H16:H16)</f>
        <v/>
      </c>
      <c r="I17" s="11">
        <f>SUM(I16:I16)</f>
        <v/>
      </c>
      <c r="J17" s="11">
        <f>SUM(J16:J16)</f>
        <v/>
      </c>
      <c r="K17" s="10">
        <f>SUM(K16:K16)</f>
        <v/>
      </c>
      <c r="L17" s="9">
        <f>SUM(L16:L16)</f>
        <v/>
      </c>
      <c r="N17" s="676">
        <f>SUM(N15:N16)</f>
        <v/>
      </c>
      <c r="S17" s="184" t="n"/>
    </row>
    <row r="18" hidden="1" ht="16.15" customHeight="1" s="671">
      <c r="S18" s="184" t="n"/>
    </row>
    <row r="19" hidden="1" ht="29.25" customFormat="1" customHeight="1" s="356" thickBot="1">
      <c r="B19" s="366" t="inlineStr">
        <is>
          <t>AU Stock</t>
        </is>
      </c>
      <c r="C19" s="367" t="inlineStr">
        <is>
          <t>Code</t>
        </is>
      </c>
      <c r="D19" s="18" t="inlineStr">
        <is>
          <t>Total</t>
        </is>
      </c>
      <c r="E19" s="7">
        <f>E$2</f>
        <v/>
      </c>
      <c r="F19" s="373">
        <f>F$2</f>
        <v/>
      </c>
      <c r="G19" s="373">
        <f>G$2</f>
        <v/>
      </c>
      <c r="H19" s="373">
        <f>H$2</f>
        <v/>
      </c>
      <c r="I19" s="373">
        <f>I$2</f>
        <v/>
      </c>
      <c r="J19" s="373">
        <f>J$2</f>
        <v/>
      </c>
      <c r="K19" s="373">
        <f>K$2</f>
        <v/>
      </c>
      <c r="L19" s="374">
        <f>L$2</f>
        <v/>
      </c>
      <c r="S19" s="166" t="n"/>
    </row>
    <row r="20" hidden="1" ht="16.15" customHeight="1" s="671" thickBot="1">
      <c r="A20" s="144">
        <f>INDIRECT(ADDRESS(ROW()-1,COLUMN()))+1</f>
        <v/>
      </c>
      <c r="B20" s="360" t="inlineStr">
        <is>
          <t>Rio Tinto</t>
        </is>
      </c>
      <c r="C20" s="17" t="inlineStr">
        <is>
          <t>RIO</t>
        </is>
      </c>
      <c r="D20" s="16">
        <f>SUM(E20:L20)</f>
        <v/>
      </c>
      <c r="E20" s="15" t="n"/>
      <c r="F20" s="15" t="n"/>
      <c r="G20" s="15" t="n"/>
      <c r="H20" s="15" t="n"/>
      <c r="I20" s="15" t="n"/>
      <c r="J20" s="14" t="n"/>
      <c r="K20" s="14" t="n"/>
      <c r="L20" s="13" t="n">
        <v>0</v>
      </c>
      <c r="S20" s="184" t="n"/>
    </row>
    <row r="21" hidden="1" ht="16.15" customHeight="1" s="671" thickBot="1">
      <c r="C21" s="371" t="inlineStr">
        <is>
          <t>TOTAL:</t>
        </is>
      </c>
      <c r="D21" s="12">
        <f>SUM(D20:D20)</f>
        <v/>
      </c>
      <c r="E21" s="11">
        <f>SUM(E20:E20)</f>
        <v/>
      </c>
      <c r="F21" s="11">
        <f>SUM(F20:F20)</f>
        <v/>
      </c>
      <c r="G21" s="11">
        <f>SUM(G20:G20)</f>
        <v/>
      </c>
      <c r="H21" s="11">
        <f>SUM(H20:H20)</f>
        <v/>
      </c>
      <c r="I21" s="11">
        <f>SUM(I20:I20)</f>
        <v/>
      </c>
      <c r="J21" s="11">
        <f>SUM(J20:J20)</f>
        <v/>
      </c>
      <c r="K21" s="10">
        <f>SUM(K20:K20)</f>
        <v/>
      </c>
      <c r="L21" s="9">
        <f>SUM(L20:L20)</f>
        <v/>
      </c>
      <c r="S21" s="184" t="n"/>
    </row>
    <row r="22" hidden="1" ht="16.15" customHeight="1" s="671" thickBot="1">
      <c r="S22" s="184" t="n"/>
    </row>
    <row r="23" hidden="1" ht="29.25" customFormat="1" customHeight="1" s="356" thickBot="1">
      <c r="B23" s="366" t="inlineStr">
        <is>
          <t>US Stock</t>
        </is>
      </c>
      <c r="C23" s="367" t="inlineStr">
        <is>
          <t>Code</t>
        </is>
      </c>
      <c r="D23" s="18" t="inlineStr">
        <is>
          <t>Total</t>
        </is>
      </c>
      <c r="E23" s="7">
        <f>E$2</f>
        <v/>
      </c>
      <c r="F23" s="373">
        <f>F$2</f>
        <v/>
      </c>
      <c r="G23" s="373">
        <f>G$2</f>
        <v/>
      </c>
      <c r="H23" s="373">
        <f>H$2</f>
        <v/>
      </c>
      <c r="I23" s="373">
        <f>I$2</f>
        <v/>
      </c>
      <c r="J23" s="373">
        <f>J$2</f>
        <v/>
      </c>
      <c r="K23" s="373">
        <f>K$2</f>
        <v/>
      </c>
      <c r="L23" s="374">
        <f>L$2</f>
        <v/>
      </c>
      <c r="S23" s="166" t="n"/>
    </row>
    <row r="24" hidden="1" ht="16.15" customHeight="1" s="671">
      <c r="B24" s="377" t="inlineStr">
        <is>
          <t>Bank of America</t>
        </is>
      </c>
      <c r="C24" s="132" t="inlineStr">
        <is>
          <t>BAC</t>
        </is>
      </c>
      <c r="D24" s="88">
        <f>SUM(E24:L24)</f>
        <v/>
      </c>
      <c r="E24" s="15" t="n"/>
      <c r="F24" s="15" t="n"/>
      <c r="G24" s="15" t="n"/>
      <c r="H24" s="15" t="n"/>
      <c r="I24" s="15" t="n"/>
      <c r="J24" s="15" t="n"/>
      <c r="K24" s="14" t="n"/>
      <c r="L24" s="88" t="n">
        <v>0</v>
      </c>
      <c r="S24" s="184" t="n"/>
    </row>
    <row r="25" hidden="1" ht="16.15" customHeight="1" s="671" thickBot="1">
      <c r="B25" s="378" t="inlineStr">
        <is>
          <t>General Electric</t>
        </is>
      </c>
      <c r="C25" s="133" t="inlineStr">
        <is>
          <t>GE</t>
        </is>
      </c>
      <c r="D25" s="20">
        <f>SUM(E25:L25)</f>
        <v/>
      </c>
      <c r="E25" s="15" t="n">
        <v>0</v>
      </c>
      <c r="F25" s="15" t="n"/>
      <c r="G25" s="15" t="n"/>
      <c r="H25" s="15" t="n"/>
      <c r="I25" s="15" t="n"/>
      <c r="J25" s="15" t="n"/>
      <c r="K25" s="14" t="n"/>
      <c r="L25" s="13" t="n">
        <v>0</v>
      </c>
      <c r="S25" s="184" t="n"/>
    </row>
    <row r="26" hidden="1" ht="16.15" customHeight="1" s="671" thickBot="1">
      <c r="B26" s="378" t="inlineStr">
        <is>
          <t>Baidu</t>
        </is>
      </c>
      <c r="C26" s="133" t="inlineStr">
        <is>
          <t>BIDU</t>
        </is>
      </c>
      <c r="D26" s="20">
        <f>SUM(E26:L26)</f>
        <v/>
      </c>
      <c r="E26" s="15" t="n"/>
      <c r="F26" s="15" t="n"/>
      <c r="G26" s="15" t="n"/>
      <c r="H26" s="15" t="n"/>
      <c r="I26" s="15" t="n"/>
      <c r="J26" s="15" t="n"/>
      <c r="K26" s="14" t="n"/>
      <c r="L26" s="88" t="n">
        <v>0</v>
      </c>
      <c r="S26" s="184" t="n"/>
    </row>
    <row r="27" hidden="1" ht="16.15" customHeight="1" s="671" thickBot="1">
      <c r="C27" s="371" t="inlineStr">
        <is>
          <t>TOTAL:</t>
        </is>
      </c>
      <c r="D27" s="12">
        <f>SUM(D24:D26)</f>
        <v/>
      </c>
      <c r="E27" s="11">
        <f>SUM(E24:E26)</f>
        <v/>
      </c>
      <c r="F27" s="11">
        <f>SUM(F24:F26)</f>
        <v/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SUM(J24:J26)</f>
        <v/>
      </c>
      <c r="K27" s="10">
        <f>SUM(K24:K26)</f>
        <v/>
      </c>
      <c r="L27" s="9">
        <f>SUM(L24:L26)</f>
        <v/>
      </c>
      <c r="S27" s="184" t="n"/>
    </row>
    <row r="28" hidden="1" ht="16.5" customHeight="1" s="671" thickBot="1">
      <c r="S28" s="184" t="n"/>
    </row>
    <row r="29" hidden="1" ht="29.25" customFormat="1" customHeight="1" s="356" thickBot="1">
      <c r="B29" s="366" t="inlineStr">
        <is>
          <t>SGD Stock</t>
        </is>
      </c>
      <c r="C29" s="367" t="inlineStr">
        <is>
          <t>Code</t>
        </is>
      </c>
      <c r="D29" s="18" t="inlineStr">
        <is>
          <t>Total</t>
        </is>
      </c>
      <c r="E29" s="7">
        <f>E$2</f>
        <v/>
      </c>
      <c r="F29" s="373">
        <f>F$2</f>
        <v/>
      </c>
      <c r="G29" s="373">
        <f>G$2</f>
        <v/>
      </c>
      <c r="H29" s="373">
        <f>H$2</f>
        <v/>
      </c>
      <c r="I29" s="373">
        <f>I$2</f>
        <v/>
      </c>
      <c r="J29" s="373">
        <f>J$2</f>
        <v/>
      </c>
      <c r="K29" s="373">
        <f>K$2</f>
        <v/>
      </c>
      <c r="L29" s="374">
        <f>L$2</f>
        <v/>
      </c>
      <c r="N29" s="164" t="inlineStr">
        <is>
          <t>Estimated Amount</t>
        </is>
      </c>
      <c r="P29" s="166" t="inlineStr">
        <is>
          <t>Remaining</t>
        </is>
      </c>
      <c r="Q29" s="166" t="inlineStr">
        <is>
          <t>strike</t>
        </is>
      </c>
      <c r="R29" s="166" t="inlineStr">
        <is>
          <t>Single</t>
        </is>
      </c>
      <c r="S29" s="356" t="inlineStr">
        <is>
          <t>SD</t>
        </is>
      </c>
    </row>
    <row r="30" hidden="1" ht="16.15" customHeight="1" s="671" thickBot="1">
      <c r="B30" s="379" t="inlineStr">
        <is>
          <t>DBS Group</t>
        </is>
      </c>
      <c r="C30" s="157" t="inlineStr">
        <is>
          <t>DBS</t>
        </is>
      </c>
      <c r="D30" s="88">
        <f>SUM(E30:L30)</f>
        <v/>
      </c>
      <c r="E30" s="15" t="n"/>
      <c r="F30" s="15" t="n"/>
      <c r="G30" s="15" t="n"/>
      <c r="H30" s="14" t="n"/>
      <c r="I30" s="14" t="n"/>
      <c r="J30" s="14" t="n"/>
      <c r="K30" s="14" t="n"/>
      <c r="L30" s="88" t="n">
        <v>0</v>
      </c>
      <c r="N30" s="165">
        <f>P30*Q30*R30*S30+T30</f>
        <v/>
      </c>
      <c r="P30" s="102" t="n">
        <v>0</v>
      </c>
      <c r="Q30" s="102" t="n">
        <v>32.0786</v>
      </c>
      <c r="R30" s="102" t="n">
        <v>100</v>
      </c>
      <c r="S30" s="184" t="n">
        <v>1</v>
      </c>
    </row>
    <row r="31" hidden="1" ht="16.15" customHeight="1" s="671" thickBot="1">
      <c r="C31" s="371" t="inlineStr">
        <is>
          <t>TOTAL:</t>
        </is>
      </c>
      <c r="D31" s="12">
        <f>SUM(D30:D30)</f>
        <v/>
      </c>
      <c r="E31" s="11">
        <f>SUM(E30:E30)</f>
        <v/>
      </c>
      <c r="F31" s="11">
        <f>SUM(F30:F30)</f>
        <v/>
      </c>
      <c r="G31" s="11">
        <f>SUM(G30:G30)</f>
        <v/>
      </c>
      <c r="H31" s="11">
        <f>SUM(H30:H30)</f>
        <v/>
      </c>
      <c r="I31" s="11">
        <f>SUM(I30:I30)</f>
        <v/>
      </c>
      <c r="J31" s="11">
        <f>SUM(J30:J30)</f>
        <v/>
      </c>
      <c r="K31" s="10">
        <f>SUM(K30:K30)</f>
        <v/>
      </c>
      <c r="L31" s="9">
        <f>SUM(L30:L30)</f>
        <v/>
      </c>
      <c r="N31" s="677">
        <f>SUM(N29:N30)</f>
        <v/>
      </c>
      <c r="S31" s="184" t="n"/>
    </row>
    <row r="32" hidden="1" s="671"/>
    <row r="33" ht="26.45" customHeight="1" s="671" thickBot="1">
      <c r="B33" s="364" t="inlineStr">
        <is>
          <t>DECUMULATORS</t>
        </is>
      </c>
      <c r="E33" s="381" t="n"/>
      <c r="F33" s="674">
        <f>F1</f>
        <v/>
      </c>
    </row>
    <row r="34" ht="29.25" customFormat="1" customHeight="1" s="356" thickBot="1">
      <c r="B34" s="366" t="inlineStr">
        <is>
          <t>Stock</t>
        </is>
      </c>
      <c r="C34" s="367" t="inlineStr">
        <is>
          <t>Code</t>
        </is>
      </c>
      <c r="D34" s="18" t="inlineStr">
        <is>
          <t>Total</t>
        </is>
      </c>
      <c r="E34" s="7">
        <f>E$2</f>
        <v/>
      </c>
      <c r="F34" s="373">
        <f>F$2</f>
        <v/>
      </c>
      <c r="G34" s="373">
        <f>G$2</f>
        <v/>
      </c>
      <c r="H34" s="373">
        <f>H$2</f>
        <v/>
      </c>
      <c r="I34" s="373">
        <f>I$2</f>
        <v/>
      </c>
      <c r="J34" s="373">
        <f>J$2</f>
        <v/>
      </c>
      <c r="K34" s="373">
        <f>K$2</f>
        <v/>
      </c>
      <c r="L34" s="374">
        <f>L$2</f>
        <v/>
      </c>
      <c r="N34" s="85" t="inlineStr">
        <is>
          <t>Estimated Amount</t>
        </is>
      </c>
      <c r="O34" s="86" t="inlineStr">
        <is>
          <t>%</t>
        </is>
      </c>
    </row>
    <row r="35">
      <c r="A35" s="144">
        <f>INDIRECT(ADDRESS(ROW()-1,COLUMN()))+1</f>
        <v/>
      </c>
      <c r="B35" s="359" t="inlineStr">
        <is>
          <t>Geely Motor</t>
        </is>
      </c>
      <c r="C35" s="145" t="inlineStr">
        <is>
          <t>0175</t>
        </is>
      </c>
      <c r="D35" s="23">
        <f>SUM(E35:L35)</f>
        <v/>
      </c>
      <c r="E35" s="22">
        <f>IF(COUNTIF(DECU!$AD:$AD,E$3&amp;"-"&amp;$C35)=0,"",COUNTIF(DECU!$AD:$AD,E$3&amp;"-"&amp;$C35))</f>
        <v/>
      </c>
      <c r="F35" s="22">
        <f>IF(COUNTIF(DECU!$AD:$AD,F$3&amp;"-"&amp;$C35)=0,"",COUNTIF(DECU!$AD:$AD,F$3&amp;"-"&amp;$C35))</f>
        <v/>
      </c>
      <c r="G35" s="22">
        <f>IF(COUNTIF(DECU!$AD:$AD,G$3&amp;"-"&amp;$C35)=0,"",COUNTIF(DECU!$AD:$AD,G$3&amp;"-"&amp;$C35))</f>
        <v/>
      </c>
      <c r="H35" s="22">
        <f>IF(COUNTIF(DECU!$AD:$AD,H$3&amp;"-"&amp;$C35)=0,"",COUNTIF(DECU!$AD:$AD,H$3&amp;"-"&amp;$C35))</f>
        <v/>
      </c>
      <c r="I35" s="22">
        <f>IF(COUNTIF(DECU!$AD:$AD,I$3&amp;"-"&amp;$C35)=0,"",COUNTIF(DECU!$AD:$AD,I$3&amp;"-"&amp;$C35))</f>
        <v/>
      </c>
      <c r="J35" s="22">
        <f>IF(COUNTIF(DECU!$AD:$AD,J$3&amp;"-"&amp;$C35)=0,"",COUNTIF(DECU!$AD:$AD,J$3&amp;"-"&amp;$C35))</f>
        <v/>
      </c>
      <c r="K35" s="21">
        <f>IF(COUNTIF(DECU!$AD:$AD,K$3&amp;"-"&amp;$C35)=0,"",COUNTIF(DECU!$AD:$AD,K$3&amp;"-"&amp;$C35))</f>
        <v/>
      </c>
      <c r="L35" s="20">
        <f>COUNTIF(DECU!$AE:$AE,$C35)-SUM(E35:K35)</f>
        <v/>
      </c>
      <c r="N35" s="90">
        <f>SUMIF(DECU!AE:AE,C35,DECU!R:R)</f>
        <v/>
      </c>
      <c r="O35" s="87">
        <f>N35/$N$43</f>
        <v/>
      </c>
    </row>
    <row r="36" ht="16.5" customHeight="1" s="671">
      <c r="A36" s="144">
        <f>INDIRECT(ADDRESS(ROW()-1,COLUMN()))+1</f>
        <v/>
      </c>
      <c r="B36" s="359" t="inlineStr">
        <is>
          <t>HK Exchange</t>
        </is>
      </c>
      <c r="C36" s="24" t="inlineStr">
        <is>
          <t>0388</t>
        </is>
      </c>
      <c r="D36" s="23">
        <f>SUM(E36:L36)</f>
        <v/>
      </c>
      <c r="E36" s="22">
        <f>IF(COUNTIF(DECU!$AD:$AD,E$3&amp;"-"&amp;$C36)=0,"",COUNTIF(DECU!$AD:$AD,E$3&amp;"-"&amp;$C36))</f>
        <v/>
      </c>
      <c r="F36" s="22">
        <f>IF(COUNTIF(DECU!$AD:$AD,F$3&amp;"-"&amp;$C36)=0,"",COUNTIF(DECU!$AD:$AD,F$3&amp;"-"&amp;$C36))</f>
        <v/>
      </c>
      <c r="G36" s="22">
        <f>IF(COUNTIF(DECU!$AD:$AD,G$3&amp;"-"&amp;$C36)=0,"",COUNTIF(DECU!$AD:$AD,G$3&amp;"-"&amp;$C36))</f>
        <v/>
      </c>
      <c r="H36" s="22">
        <f>IF(COUNTIF(DECU!$AD:$AD,H$3&amp;"-"&amp;$C36)=0,"",COUNTIF(DECU!$AD:$AD,H$3&amp;"-"&amp;$C36))</f>
        <v/>
      </c>
      <c r="I36" s="22">
        <f>IF(COUNTIF(DECU!$AD:$AD,I$3&amp;"-"&amp;$C36)=0,"",COUNTIF(DECU!$AD:$AD,I$3&amp;"-"&amp;$C36))</f>
        <v/>
      </c>
      <c r="J36" s="22">
        <f>IF(COUNTIF(DECU!$AD:$AD,J$3&amp;"-"&amp;$C36)=0,"",COUNTIF(DECU!$AD:$AD,J$3&amp;"-"&amp;$C36))</f>
        <v/>
      </c>
      <c r="K36" s="21">
        <f>IF(COUNTIF(DECU!$AD:$AD,K$3&amp;"-"&amp;$C36)=0,"",COUNTIF(DECU!$AD:$AD,K$3&amp;"-"&amp;$C36))</f>
        <v/>
      </c>
      <c r="L36" s="20">
        <f>COUNTIF(DECU!$AE:$AE,$C36)-SUM(E36:K36)</f>
        <v/>
      </c>
      <c r="N36" s="108">
        <f>SUMIF(DECU!AE:AE,C36,DECU!R:R)</f>
        <v/>
      </c>
      <c r="O36" s="500">
        <f>N36/$N$43</f>
        <v/>
      </c>
    </row>
    <row r="37" ht="16.5" customHeight="1" s="671">
      <c r="A37" s="144">
        <f>INDIRECT(ADDRESS(ROW()-1,COLUMN()))+1</f>
        <v/>
      </c>
      <c r="B37" s="359" t="inlineStr">
        <is>
          <t>Tencent</t>
        </is>
      </c>
      <c r="C37" s="24" t="inlineStr">
        <is>
          <t>0700</t>
        </is>
      </c>
      <c r="D37" s="23">
        <f>SUM(E37:L37)</f>
        <v/>
      </c>
      <c r="E37" s="22">
        <f>IF(COUNTIF(DECU!$AD:$AD,E$3&amp;"-"&amp;$C37)=0,"",COUNTIF(DECU!$AD:$AD,E$3&amp;"-"&amp;$C37))</f>
        <v/>
      </c>
      <c r="F37" s="22">
        <f>IF(COUNTIF(DECU!$AD:$AD,F$3&amp;"-"&amp;$C37)=0,"",COUNTIF(DECU!$AD:$AD,F$3&amp;"-"&amp;$C37))</f>
        <v/>
      </c>
      <c r="G37" s="22">
        <f>IF(COUNTIF(DECU!$AD:$AD,G$3&amp;"-"&amp;$C37)=0,"",COUNTIF(DECU!$AD:$AD,G$3&amp;"-"&amp;$C37))</f>
        <v/>
      </c>
      <c r="H37" s="22">
        <f>IF(COUNTIF(DECU!$AD:$AD,H$3&amp;"-"&amp;$C37)=0,"",COUNTIF(DECU!$AD:$AD,H$3&amp;"-"&amp;$C37))</f>
        <v/>
      </c>
      <c r="I37" s="22">
        <f>IF(COUNTIF(DECU!$AD:$AD,I$3&amp;"-"&amp;$C37)=0,"",COUNTIF(DECU!$AD:$AD,I$3&amp;"-"&amp;$C37))</f>
        <v/>
      </c>
      <c r="J37" s="22">
        <f>IF(COUNTIF(DECU!$AD:$AD,J$3&amp;"-"&amp;$C37)=0,"",COUNTIF(DECU!$AD:$AD,J$3&amp;"-"&amp;$C37))</f>
        <v/>
      </c>
      <c r="K37" s="21">
        <f>IF(COUNTIF(DECU!$AD:$AD,K$3&amp;"-"&amp;$C37)=0,"",COUNTIF(DECU!$AD:$AD,K$3&amp;"-"&amp;$C37))</f>
        <v/>
      </c>
      <c r="L37" s="20">
        <f>COUNTIF(DECU!$AE:$AE,$C37)-SUM(E37:K37)</f>
        <v/>
      </c>
      <c r="N37" s="108">
        <f>SUMIF(DECU!AE:AE,C37,DECU!R:R)</f>
        <v/>
      </c>
      <c r="O37" s="500">
        <f>N37/$N$43</f>
        <v/>
      </c>
    </row>
    <row r="38" ht="16.5" customHeight="1" s="671">
      <c r="A38" s="144">
        <f>INDIRECT(ADDRESS(ROW()-1,COLUMN()))+1</f>
        <v/>
      </c>
      <c r="B38" s="359" t="inlineStr">
        <is>
          <t>Semiconductor Mfg Intl Corp</t>
        </is>
      </c>
      <c r="C38" s="24" t="inlineStr">
        <is>
          <t>0981</t>
        </is>
      </c>
      <c r="D38" s="23">
        <f>SUM(E38:L38)</f>
        <v/>
      </c>
      <c r="E38" s="22">
        <f>IF(COUNTIF(DECU!$AD:$AD,E$3&amp;"-"&amp;$C38)=0,"",COUNTIF(DECU!$AD:$AD,E$3&amp;"-"&amp;$C38))</f>
        <v/>
      </c>
      <c r="F38" s="22">
        <f>IF(COUNTIF(DECU!$AD:$AD,F$3&amp;"-"&amp;$C38)=0,"",COUNTIF(DECU!$AD:$AD,F$3&amp;"-"&amp;$C38))</f>
        <v/>
      </c>
      <c r="G38" s="22">
        <f>IF(COUNTIF(DECU!$AD:$AD,G$3&amp;"-"&amp;$C38)=0,"",COUNTIF(DECU!$AD:$AD,G$3&amp;"-"&amp;$C38))</f>
        <v/>
      </c>
      <c r="H38" s="22">
        <f>IF(COUNTIF(DECU!$AD:$AD,H$3&amp;"-"&amp;$C38)=0,"",COUNTIF(DECU!$AD:$AD,H$3&amp;"-"&amp;$C38))</f>
        <v/>
      </c>
      <c r="I38" s="22">
        <f>IF(COUNTIF(DECU!$AD:$AD,I$3&amp;"-"&amp;$C38)=0,"",COUNTIF(DECU!$AD:$AD,I$3&amp;"-"&amp;$C38))</f>
        <v/>
      </c>
      <c r="J38" s="22">
        <f>IF(COUNTIF(DECU!$AD:$AD,J$3&amp;"-"&amp;$C38)=0,"",COUNTIF(DECU!$AD:$AD,J$3&amp;"-"&amp;$C38))</f>
        <v/>
      </c>
      <c r="K38" s="21">
        <f>IF(COUNTIF(DECU!$AD:$AD,K$3&amp;"-"&amp;$C38)=0,"",COUNTIF(DECU!$AD:$AD,K$3&amp;"-"&amp;$C38))</f>
        <v/>
      </c>
      <c r="L38" s="20">
        <f>COUNTIF(DECU!$AE:$AE,$C38)-SUM(E38:K38)</f>
        <v/>
      </c>
      <c r="N38" s="108">
        <f>SUMIF(DECU!AE:AE,C38,DECU!R:R)</f>
        <v/>
      </c>
      <c r="O38" s="500">
        <f>N38/$N$43</f>
        <v/>
      </c>
    </row>
    <row r="39" ht="16.5" customHeight="1" s="671">
      <c r="A39" s="144">
        <f>INDIRECT(ADDRESS(ROW()-1,COLUMN()))+1</f>
        <v/>
      </c>
      <c r="B39" s="359" t="inlineStr">
        <is>
          <t>Kuaishou Tech</t>
        </is>
      </c>
      <c r="C39" s="24" t="inlineStr">
        <is>
          <t>1024</t>
        </is>
      </c>
      <c r="D39" s="23">
        <f>SUM(E39:L39)</f>
        <v/>
      </c>
      <c r="E39" s="22">
        <f>IF(COUNTIF(DECU!$AD:$AD,E$3&amp;"-"&amp;$C39)=0,"",COUNTIF(DECU!$AD:$AD,E$3&amp;"-"&amp;$C39))</f>
        <v/>
      </c>
      <c r="F39" s="22">
        <f>IF(COUNTIF(DECU!$AD:$AD,F$3&amp;"-"&amp;$C39)=0,"",COUNTIF(DECU!$AD:$AD,F$3&amp;"-"&amp;$C39))</f>
        <v/>
      </c>
      <c r="G39" s="22">
        <f>IF(COUNTIF(DECU!$AD:$AD,G$3&amp;"-"&amp;$C39)=0,"",COUNTIF(DECU!$AD:$AD,G$3&amp;"-"&amp;$C39))</f>
        <v/>
      </c>
      <c r="H39" s="22">
        <f>IF(COUNTIF(DECU!$AD:$AD,H$3&amp;"-"&amp;$C39)=0,"",COUNTIF(DECU!$AD:$AD,H$3&amp;"-"&amp;$C39))</f>
        <v/>
      </c>
      <c r="I39" s="22">
        <f>IF(COUNTIF(DECU!$AD:$AD,I$3&amp;"-"&amp;$C39)=0,"",COUNTIF(DECU!$AD:$AD,I$3&amp;"-"&amp;$C39))</f>
        <v/>
      </c>
      <c r="J39" s="22">
        <f>IF(COUNTIF(DECU!$AD:$AD,J$3&amp;"-"&amp;$C39)=0,"",COUNTIF(DECU!$AD:$AD,J$3&amp;"-"&amp;$C39))</f>
        <v/>
      </c>
      <c r="K39" s="21">
        <f>IF(COUNTIF(DECU!$AD:$AD,K$3&amp;"-"&amp;$C39)=0,"",COUNTIF(DECU!$AD:$AD,K$3&amp;"-"&amp;$C39))</f>
        <v/>
      </c>
      <c r="L39" s="20">
        <f>COUNTIF(DECU!$AE:$AE,$C39)-SUM(E39:K39)</f>
        <v/>
      </c>
      <c r="N39" s="108">
        <f>SUMIF(DECU!AE:AE,C39,DECU!R:R)</f>
        <v/>
      </c>
      <c r="O39" s="500">
        <f>N39/$N$43</f>
        <v/>
      </c>
    </row>
    <row r="40" ht="16.5" customHeight="1" s="671">
      <c r="A40" s="144">
        <f>INDIRECT(ADDRESS(ROW()-1,COLUMN()))+1</f>
        <v/>
      </c>
      <c r="B40" s="359" t="inlineStr">
        <is>
          <t>Shanghai Fosun</t>
        </is>
      </c>
      <c r="C40" s="24" t="inlineStr">
        <is>
          <t>2196</t>
        </is>
      </c>
      <c r="D40" s="23">
        <f>SUM(E40:L40)</f>
        <v/>
      </c>
      <c r="E40" s="22">
        <f>IF(COUNTIF(DECU!$AD:$AD,E$3&amp;"-"&amp;$C40)=0,"",COUNTIF(DECU!$AD:$AD,E$3&amp;"-"&amp;$C40))</f>
        <v/>
      </c>
      <c r="F40" s="22">
        <f>IF(COUNTIF(DECU!$AD:$AD,F$3&amp;"-"&amp;$C40)=0,"",COUNTIF(DECU!$AD:$AD,F$3&amp;"-"&amp;$C40))</f>
        <v/>
      </c>
      <c r="G40" s="22">
        <f>IF(COUNTIF(DECU!$AD:$AD,G$3&amp;"-"&amp;$C40)=0,"",COUNTIF(DECU!$AD:$AD,G$3&amp;"-"&amp;$C40))</f>
        <v/>
      </c>
      <c r="H40" s="22">
        <f>IF(COUNTIF(DECU!$AD:$AD,H$3&amp;"-"&amp;$C40)=0,"",COUNTIF(DECU!$AD:$AD,H$3&amp;"-"&amp;$C40))</f>
        <v/>
      </c>
      <c r="I40" s="22">
        <f>IF(COUNTIF(DECU!$AD:$AD,I$3&amp;"-"&amp;$C40)=0,"",COUNTIF(DECU!$AD:$AD,I$3&amp;"-"&amp;$C40))</f>
        <v/>
      </c>
      <c r="J40" s="22">
        <f>IF(COUNTIF(DECU!$AD:$AD,J$3&amp;"-"&amp;$C40)=0,"",COUNTIF(DECU!$AD:$AD,J$3&amp;"-"&amp;$C40))</f>
        <v/>
      </c>
      <c r="K40" s="21">
        <f>IF(COUNTIF(DECU!$AD:$AD,K$3&amp;"-"&amp;$C40)=0,"",COUNTIF(DECU!$AD:$AD,K$3&amp;"-"&amp;$C40))</f>
        <v/>
      </c>
      <c r="L40" s="20">
        <f>COUNTIF(DECU!$AE:$AE,$C40)-SUM(E40:K40)</f>
        <v/>
      </c>
      <c r="N40" s="108">
        <f>SUMIF(DECU!AE:AE,C40,DECU!R:R)</f>
        <v/>
      </c>
      <c r="O40" s="500">
        <f>N40/$N$43</f>
        <v/>
      </c>
    </row>
    <row r="41" ht="16.5" customHeight="1" s="671">
      <c r="A41" s="144">
        <f>INDIRECT(ADDRESS(ROW()-1,COLUMN()))+1</f>
        <v/>
      </c>
      <c r="B41" s="359" t="inlineStr">
        <is>
          <t>China Molybdenum</t>
        </is>
      </c>
      <c r="C41" s="24" t="inlineStr">
        <is>
          <t>3993</t>
        </is>
      </c>
      <c r="D41" s="23">
        <f>SUM(E41:L41)</f>
        <v/>
      </c>
      <c r="E41" s="22">
        <f>IF(COUNTIF(DECU!$AD:$AD,E$3&amp;"-"&amp;$C41)=0,"",COUNTIF(DECU!$AD:$AD,E$3&amp;"-"&amp;$C41))</f>
        <v/>
      </c>
      <c r="F41" s="22">
        <f>IF(COUNTIF(DECU!$AD:$AD,F$3&amp;"-"&amp;$C41)=0,"",COUNTIF(DECU!$AD:$AD,F$3&amp;"-"&amp;$C41))</f>
        <v/>
      </c>
      <c r="G41" s="22">
        <f>IF(COUNTIF(DECU!$AD:$AD,G$3&amp;"-"&amp;$C41)=0,"",COUNTIF(DECU!$AD:$AD,G$3&amp;"-"&amp;$C41))</f>
        <v/>
      </c>
      <c r="H41" s="22">
        <f>IF(COUNTIF(DECU!$AD:$AD,H$3&amp;"-"&amp;$C41)=0,"",COUNTIF(DECU!$AD:$AD,H$3&amp;"-"&amp;$C41))</f>
        <v/>
      </c>
      <c r="I41" s="22">
        <f>IF(COUNTIF(DECU!$AD:$AD,I$3&amp;"-"&amp;$C41)=0,"",COUNTIF(DECU!$AD:$AD,I$3&amp;"-"&amp;$C41))</f>
        <v/>
      </c>
      <c r="J41" s="22">
        <f>IF(COUNTIF(DECU!$AD:$AD,J$3&amp;"-"&amp;$C41)=0,"",COUNTIF(DECU!$AD:$AD,J$3&amp;"-"&amp;$C41))</f>
        <v/>
      </c>
      <c r="K41" s="21">
        <f>IF(COUNTIF(DECU!$AD:$AD,K$3&amp;"-"&amp;$C41)=0,"",COUNTIF(DECU!$AD:$AD,K$3&amp;"-"&amp;$C41))</f>
        <v/>
      </c>
      <c r="L41" s="20">
        <f>COUNTIF(DECU!$AE:$AE,$C41)-SUM(E41:K41)</f>
        <v/>
      </c>
      <c r="N41" s="108">
        <f>SUMIF(DECU!AE:AE,C41,DECU!R:R)</f>
        <v/>
      </c>
      <c r="O41" s="500">
        <f>N41/$N$43</f>
        <v/>
      </c>
    </row>
    <row r="42" ht="16.5" customHeight="1" s="671" thickBot="1">
      <c r="A42" s="144">
        <f>INDIRECT(ADDRESS(ROW()-1,COLUMN()))+1</f>
        <v/>
      </c>
      <c r="B42" s="360" t="inlineStr">
        <is>
          <t>Alibaba</t>
        </is>
      </c>
      <c r="C42" s="146" t="inlineStr">
        <is>
          <t>9988</t>
        </is>
      </c>
      <c r="D42" s="23">
        <f>SUM(E42:L42)</f>
        <v/>
      </c>
      <c r="E42" s="22">
        <f>IF(COUNTIF(DECU!$AD:$AD,E$3&amp;"-"&amp;$C42)=0,"",COUNTIF(DECU!$AD:$AD,E$3&amp;"-"&amp;$C42))</f>
        <v/>
      </c>
      <c r="F42" s="22">
        <f>IF(COUNTIF(DECU!$AD:$AD,F$3&amp;"-"&amp;$C42)=0,"",COUNTIF(DECU!$AD:$AD,F$3&amp;"-"&amp;$C42))</f>
        <v/>
      </c>
      <c r="G42" s="22">
        <f>IF(COUNTIF(DECU!$AD:$AD,G$3&amp;"-"&amp;$C42)=0,"",COUNTIF(DECU!$AD:$AD,G$3&amp;"-"&amp;$C42))</f>
        <v/>
      </c>
      <c r="H42" s="22">
        <f>IF(COUNTIF(DECU!$AD:$AD,H$3&amp;"-"&amp;$C42)=0,"",COUNTIF(DECU!$AD:$AD,H$3&amp;"-"&amp;$C42))</f>
        <v/>
      </c>
      <c r="I42" s="22">
        <f>IF(COUNTIF(DECU!$AD:$AD,I$3&amp;"-"&amp;$C42)=0,"",COUNTIF(DECU!$AD:$AD,I$3&amp;"-"&amp;$C42))</f>
        <v/>
      </c>
      <c r="J42" s="22">
        <f>IF(COUNTIF(DECU!$AD:$AD,J$3&amp;"-"&amp;$C42)=0,"",COUNTIF(DECU!$AD:$AD,J$3&amp;"-"&amp;$C42))</f>
        <v/>
      </c>
      <c r="K42" s="21">
        <f>IF(COUNTIF(DECU!$AD:$AD,K$3&amp;"-"&amp;$C42)=0,"",COUNTIF(DECU!$AD:$AD,K$3&amp;"-"&amp;$C42))</f>
        <v/>
      </c>
      <c r="L42" s="20">
        <f>COUNTIF(DECU!$AE:$AE,$C42)-SUM(E42:K42)</f>
        <v/>
      </c>
      <c r="N42" s="90">
        <f>SUMIF(DECU!AE:AE,C42,DECU!R:R)</f>
        <v/>
      </c>
      <c r="O42" s="87">
        <f>N42/$N$43</f>
        <v/>
      </c>
    </row>
    <row r="43" ht="16.15" customHeight="1" s="671" thickBot="1">
      <c r="C43" s="371" t="inlineStr">
        <is>
          <t>TOTAL:</t>
        </is>
      </c>
      <c r="D43" s="12">
        <f>SUM(D34:D42)</f>
        <v/>
      </c>
      <c r="E43" s="11">
        <f>SUM(E34:E42)</f>
        <v/>
      </c>
      <c r="F43" s="11">
        <f>SUM(F34:F42)</f>
        <v/>
      </c>
      <c r="G43" s="11">
        <f>SUM(G34:G42)</f>
        <v/>
      </c>
      <c r="H43" s="11">
        <f>SUM(H34:H42)</f>
        <v/>
      </c>
      <c r="I43" s="11">
        <f>SUM(I34:I42)</f>
        <v/>
      </c>
      <c r="J43" s="11">
        <f>SUM(J34:J42)</f>
        <v/>
      </c>
      <c r="K43" s="10">
        <f>SUM(K34:K42)</f>
        <v/>
      </c>
      <c r="L43" s="9">
        <f>SUM(L34:L42)</f>
        <v/>
      </c>
      <c r="N43" s="382">
        <f>SUM(N34:N42)</f>
        <v/>
      </c>
      <c r="O43" s="502">
        <f>N43/N$43</f>
        <v/>
      </c>
    </row>
    <row r="44" ht="16.15" customHeight="1" s="671">
      <c r="D44" s="96" t="n"/>
      <c r="E44" s="96" t="n"/>
      <c r="F44" s="96" t="n"/>
      <c r="G44" s="96">
        <f>SUM(G43:$L43)-G43</f>
        <v/>
      </c>
      <c r="H44" s="96" t="n"/>
      <c r="I44" s="96" t="n"/>
      <c r="J44" s="96">
        <f>SUM(J43:$L43)-J43</f>
        <v/>
      </c>
      <c r="K44" s="96" t="n"/>
      <c r="L44" s="96" t="n"/>
      <c r="M44" s="620" t="n"/>
    </row>
    <row r="45" hidden="1" ht="29.25" customFormat="1" customHeight="1" s="356" thickBot="1">
      <c r="B45" s="366" t="inlineStr">
        <is>
          <t>JP Stock</t>
        </is>
      </c>
      <c r="C45" s="367" t="inlineStr">
        <is>
          <t>Code</t>
        </is>
      </c>
      <c r="D45" s="18" t="inlineStr">
        <is>
          <t>Total</t>
        </is>
      </c>
      <c r="E45" s="7">
        <f>E$2</f>
        <v/>
      </c>
      <c r="F45" s="373">
        <f>F$2</f>
        <v/>
      </c>
      <c r="G45" s="373">
        <f>G$2</f>
        <v/>
      </c>
      <c r="H45" s="373">
        <f>H$2</f>
        <v/>
      </c>
      <c r="I45" s="373">
        <f>I$2</f>
        <v/>
      </c>
      <c r="J45" s="373">
        <f>J$2</f>
        <v/>
      </c>
      <c r="K45" s="373">
        <f>K$2</f>
        <v/>
      </c>
      <c r="L45" s="374">
        <f>L$2</f>
        <v/>
      </c>
    </row>
    <row r="46" hidden="1" ht="16.15" customHeight="1" s="671" thickBot="1">
      <c r="B46" s="360" t="inlineStr">
        <is>
          <t>Nomura</t>
        </is>
      </c>
      <c r="C46" s="17" t="inlineStr">
        <is>
          <t>8604</t>
        </is>
      </c>
      <c r="D46" s="16">
        <f>SUM(E46:L46)</f>
        <v/>
      </c>
      <c r="E46" s="15" t="n"/>
      <c r="F46" s="15" t="n"/>
      <c r="G46" s="15" t="n"/>
      <c r="H46" s="15" t="n"/>
      <c r="I46" s="15" t="n"/>
      <c r="J46" s="14" t="n"/>
      <c r="K46" s="14" t="n"/>
      <c r="L46" s="13" t="n">
        <v>0</v>
      </c>
    </row>
    <row r="47" hidden="1" ht="16.15" customHeight="1" s="671" thickBot="1">
      <c r="C47" s="371" t="inlineStr">
        <is>
          <t>TOTAL:</t>
        </is>
      </c>
      <c r="D47" s="12">
        <f>SUM(D46:D46)</f>
        <v/>
      </c>
      <c r="E47" s="11">
        <f>SUM(E46:E46)</f>
        <v/>
      </c>
      <c r="F47" s="11">
        <f>SUM(F46:F46)</f>
        <v/>
      </c>
      <c r="G47" s="11">
        <f>SUM(G46:G46)</f>
        <v/>
      </c>
      <c r="H47" s="11">
        <f>SUM(H46:H46)</f>
        <v/>
      </c>
      <c r="I47" s="11">
        <f>SUM(I46:I46)</f>
        <v/>
      </c>
      <c r="J47" s="11">
        <f>SUM(J46:J46)</f>
        <v/>
      </c>
      <c r="K47" s="10">
        <f>SUM(K46:K46)</f>
        <v/>
      </c>
      <c r="L47" s="9">
        <f>SUM(L46:L46)</f>
        <v/>
      </c>
    </row>
    <row r="48" hidden="1" ht="16.15" customHeight="1" s="671" thickBot="1"/>
    <row r="49" hidden="1" ht="29.25" customFormat="1" customHeight="1" s="356" thickBot="1">
      <c r="B49" s="366" t="inlineStr">
        <is>
          <t>AU Stock</t>
        </is>
      </c>
      <c r="C49" s="367" t="inlineStr">
        <is>
          <t>Code</t>
        </is>
      </c>
      <c r="D49" s="18" t="inlineStr">
        <is>
          <t>Total</t>
        </is>
      </c>
      <c r="E49" s="7">
        <f>E$2</f>
        <v/>
      </c>
      <c r="F49" s="373">
        <f>F$2</f>
        <v/>
      </c>
      <c r="G49" s="373">
        <f>G$2</f>
        <v/>
      </c>
      <c r="H49" s="373">
        <f>H$2</f>
        <v/>
      </c>
      <c r="I49" s="373">
        <f>I$2</f>
        <v/>
      </c>
      <c r="J49" s="373">
        <f>J$2</f>
        <v/>
      </c>
      <c r="K49" s="373">
        <f>K$2</f>
        <v/>
      </c>
      <c r="L49" s="374">
        <f>L$2</f>
        <v/>
      </c>
    </row>
    <row r="50" hidden="1" ht="16.15" customHeight="1" s="671" thickBot="1">
      <c r="B50" s="360" t="inlineStr">
        <is>
          <t>Rio Tinto</t>
        </is>
      </c>
      <c r="C50" s="17" t="inlineStr">
        <is>
          <t>RIO</t>
        </is>
      </c>
      <c r="D50" s="16">
        <f>SUM(E50:L50)</f>
        <v/>
      </c>
      <c r="E50" s="15" t="n"/>
      <c r="F50" s="15" t="n"/>
      <c r="G50" s="15" t="n"/>
      <c r="H50" s="15" t="n"/>
      <c r="I50" s="14" t="n"/>
      <c r="J50" s="14" t="n"/>
      <c r="K50" s="14" t="n"/>
      <c r="L50" s="13" t="n">
        <v>0</v>
      </c>
      <c r="M50" s="19" t="n"/>
      <c r="N50" s="19" t="n"/>
    </row>
    <row r="51" hidden="1" ht="16.15" customHeight="1" s="671" thickBot="1">
      <c r="C51" s="371" t="inlineStr">
        <is>
          <t>TOTAL:</t>
        </is>
      </c>
      <c r="D51" s="12">
        <f>SUM(D50:D50)</f>
        <v/>
      </c>
      <c r="E51" s="11">
        <f>SUM(E50:E50)</f>
        <v/>
      </c>
      <c r="F51" s="11">
        <f>SUM(F50:F50)</f>
        <v/>
      </c>
      <c r="G51" s="11">
        <f>SUM(G50:G50)</f>
        <v/>
      </c>
      <c r="H51" s="11">
        <f>SUM(H50:H50)</f>
        <v/>
      </c>
      <c r="I51" s="11">
        <f>SUM(I50:I50)</f>
        <v/>
      </c>
      <c r="J51" s="11">
        <f>SUM(J50:J50)</f>
        <v/>
      </c>
      <c r="K51" s="10">
        <f>SUM(K50:K50)</f>
        <v/>
      </c>
      <c r="L51" s="9">
        <f>SUM(L50:L50)</f>
        <v/>
      </c>
    </row>
    <row r="52" hidden="1" ht="16.5" customHeight="1" s="671" thickBot="1"/>
    <row r="53" hidden="1" ht="29.25" customFormat="1" customHeight="1" s="356" thickBot="1">
      <c r="B53" s="366" t="inlineStr">
        <is>
          <t>US Stock</t>
        </is>
      </c>
      <c r="C53" s="367" t="inlineStr">
        <is>
          <t>Code</t>
        </is>
      </c>
      <c r="D53" s="18" t="inlineStr">
        <is>
          <t>Total</t>
        </is>
      </c>
      <c r="E53" s="7">
        <f>E$2</f>
        <v/>
      </c>
      <c r="F53" s="373">
        <f>F$2</f>
        <v/>
      </c>
      <c r="G53" s="373">
        <f>G$2</f>
        <v/>
      </c>
      <c r="H53" s="373">
        <f>H$2</f>
        <v/>
      </c>
      <c r="I53" s="373">
        <f>I$2</f>
        <v/>
      </c>
      <c r="J53" s="373">
        <f>J$2</f>
        <v/>
      </c>
      <c r="K53" s="373">
        <f>K$2</f>
        <v/>
      </c>
      <c r="L53" s="374">
        <f>L$2</f>
        <v/>
      </c>
    </row>
    <row r="54" hidden="1" ht="16.15" customHeight="1" s="671" thickBot="1">
      <c r="B54" s="360" t="inlineStr">
        <is>
          <t>Baidu Inc</t>
        </is>
      </c>
      <c r="C54" s="17" t="inlineStr">
        <is>
          <t>BIDU</t>
        </is>
      </c>
      <c r="D54" s="16">
        <f>SUM(E54:L54)</f>
        <v/>
      </c>
      <c r="E54" s="15" t="n"/>
      <c r="F54" s="15" t="n"/>
      <c r="G54" s="15" t="n"/>
      <c r="H54" s="15" t="n"/>
      <c r="I54" s="15" t="n"/>
      <c r="J54" s="15" t="n"/>
      <c r="K54" s="14" t="n"/>
      <c r="L54" s="13" t="n">
        <v>0</v>
      </c>
    </row>
    <row r="55" hidden="1" ht="16.15" customHeight="1" s="671" thickBot="1">
      <c r="C55" s="371" t="inlineStr">
        <is>
          <t>TOTAL:</t>
        </is>
      </c>
      <c r="D55" s="12">
        <f>SUM(D54:D54)</f>
        <v/>
      </c>
      <c r="E55" s="11">
        <f>SUM(E54:E54)</f>
        <v/>
      </c>
      <c r="F55" s="11">
        <f>SUM(F54:F54)</f>
        <v/>
      </c>
      <c r="G55" s="11">
        <f>SUM(G54:G54)</f>
        <v/>
      </c>
      <c r="H55" s="11">
        <f>SUM(H54:H54)</f>
        <v/>
      </c>
      <c r="I55" s="11">
        <f>SUM(I54:I54)</f>
        <v/>
      </c>
      <c r="J55" s="11">
        <f>SUM(J54:J54)</f>
        <v/>
      </c>
      <c r="K55" s="10">
        <f>SUM(K54:K54)</f>
        <v/>
      </c>
      <c r="L55" s="9">
        <f>SUM(L54:L54)</f>
        <v/>
      </c>
    </row>
  </sheetData>
  <mergeCells count="2">
    <mergeCell ref="F1:L1"/>
    <mergeCell ref="F33:L33"/>
  </mergeCells>
  <pageMargins left="0.2" right="0.2" top="0.2" bottom="0.2" header="0.3" footer="0.3"/>
  <pageSetup orientation="landscape" paperSize="10001" scale="83" fitToHeight="0" horizontalDpi="300" verticalDpi="3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AF182"/>
  <sheetViews>
    <sheetView view="pageBreakPreview" topLeftCell="A110" zoomScaleNormal="100" zoomScaleSheetLayoutView="100" workbookViewId="0">
      <selection activeCell="D169" sqref="D169"/>
    </sheetView>
  </sheetViews>
  <sheetFormatPr baseColWidth="8" defaultColWidth="9.140625" defaultRowHeight="15" outlineLevelCol="1"/>
  <cols>
    <col width="4.28515625" customWidth="1" style="646" min="1" max="1"/>
    <col width="26.7109375" customWidth="1" style="642" min="2" max="2"/>
    <col width="5.5703125" customWidth="1" style="642" min="3" max="3"/>
    <col outlineLevel="1" width="26" bestFit="1" customWidth="1" style="642" min="4" max="4"/>
    <col width="7" customWidth="1" style="642" min="5" max="5"/>
    <col width="1.42578125" customWidth="1" style="642" min="6" max="6"/>
    <col width="6.42578125" bestFit="1" customWidth="1" style="642" min="7" max="7"/>
    <col width="9.5703125" customWidth="1" style="636" min="8" max="8"/>
    <col width="9.7109375" customWidth="1" style="635" min="9" max="9"/>
    <col width="9.28515625" customWidth="1" style="636" min="10" max="10"/>
    <col width="7.140625" customWidth="1" style="646" min="11" max="13"/>
    <col width="10.5703125" customWidth="1" style="642" min="14" max="15"/>
    <col width="2.7109375" customWidth="1" style="642" min="16" max="16"/>
    <col width="17.7109375" customWidth="1" style="642" min="17" max="17"/>
    <col width="21.140625" customWidth="1" style="642" min="18" max="18"/>
    <col width="3" customWidth="1" style="642" min="19" max="19"/>
    <col width="19.42578125" customWidth="1" style="642" min="20" max="20"/>
    <col width="9.140625" customWidth="1" style="642" min="21" max="21"/>
    <col outlineLevel="1" width="9.5703125" customWidth="1" style="678" min="22" max="23"/>
    <col outlineLevel="1" width="9.140625" customWidth="1" style="155" min="24" max="24"/>
    <col outlineLevel="1" width="15.7109375" customWidth="1" style="154" min="25" max="25"/>
    <col outlineLevel="1" width="13.85546875" customWidth="1" style="154" min="26" max="26"/>
    <col width="9.140625" customWidth="1" style="642" min="27" max="27"/>
    <col hidden="1" outlineLevel="1" width="3" customWidth="1" style="155" min="28" max="28"/>
    <col hidden="1" outlineLevel="1" width="5" customWidth="1" style="155" min="29" max="29"/>
    <col hidden="1" outlineLevel="1" width="12.42578125" customWidth="1" style="642" min="30" max="30"/>
    <col hidden="1" outlineLevel="1" width="9.140625" customWidth="1" style="642" min="31" max="31"/>
    <col collapsed="1" width="15.28515625" customWidth="1" style="642" min="32" max="32"/>
    <col width="9.140625" customWidth="1" style="642" min="33" max="703"/>
    <col width="9.140625" customWidth="1" style="642" min="704" max="16384"/>
  </cols>
  <sheetData>
    <row r="1" ht="18" customHeight="1" s="671">
      <c r="A1" s="646">
        <f>SUM(A7,A16,A34,A52,A122,A130,A145,A153,A162,A114,A65,A24,A87)</f>
        <v/>
      </c>
      <c r="B1" s="679">
        <f>ALLHKD!C1</f>
        <v/>
      </c>
      <c r="F1" s="385" t="n"/>
      <c r="G1" s="381" t="n"/>
      <c r="H1" s="648" t="inlineStr">
        <is>
          <t>ACCUMULATORS</t>
        </is>
      </c>
      <c r="N1" s="680" t="inlineStr">
        <is>
          <t>For the Whole Structure</t>
        </is>
      </c>
    </row>
    <row r="2" ht="18" customHeight="1" s="671">
      <c r="B2" s="385" t="n"/>
      <c r="C2" s="385" t="n"/>
      <c r="D2" s="385" t="n"/>
      <c r="E2" s="385" t="n"/>
      <c r="F2" s="385" t="n"/>
      <c r="G2" s="381" t="n"/>
      <c r="H2" s="634" t="n"/>
    </row>
    <row r="3" hidden="1" ht="21" customHeight="1" s="671">
      <c r="A3" s="56" t="inlineStr">
        <is>
          <t>CITIBANK  Account No. 1</t>
        </is>
      </c>
      <c r="B3" s="67" t="n"/>
      <c r="C3" s="386" t="n"/>
      <c r="D3" s="386" t="n"/>
      <c r="E3" s="681" t="n"/>
      <c r="F3" s="681" t="n"/>
      <c r="G3" s="68" t="n"/>
      <c r="H3" s="245" t="n"/>
      <c r="I3" s="245" t="n"/>
      <c r="J3" s="246" t="n"/>
      <c r="K3" s="645" t="inlineStr">
        <is>
          <t>1 month = 20 days</t>
        </is>
      </c>
    </row>
    <row r="4" hidden="1" ht="15" customHeight="1" s="671">
      <c r="A4" s="64" t="n"/>
      <c r="B4" s="388" t="n"/>
      <c r="C4" s="388" t="n"/>
      <c r="D4" s="388" t="n"/>
      <c r="E4" s="388" t="n"/>
      <c r="F4" s="388" t="n"/>
      <c r="G4" s="388" t="n"/>
      <c r="H4" s="247" t="n"/>
      <c r="I4" s="248" t="n"/>
      <c r="J4" s="247" t="n"/>
    </row>
    <row r="5" hidden="1" ht="15" customHeight="1" s="671">
      <c r="B5" s="640" t="inlineStr">
        <is>
          <t>ACCUMULATOR</t>
        </is>
      </c>
      <c r="C5" s="631" t="inlineStr">
        <is>
          <t>CODE</t>
        </is>
      </c>
      <c r="D5" s="631" t="n"/>
      <c r="E5" s="624" t="inlineStr">
        <is>
          <t>SHARES / DAY</t>
        </is>
      </c>
      <c r="F5" s="625" t="n"/>
      <c r="G5" s="626" t="n"/>
      <c r="H5" s="633" t="inlineStr">
        <is>
          <t>SPOT PRICE</t>
        </is>
      </c>
      <c r="I5" s="633" t="inlineStr">
        <is>
          <t>STRIKE PRICE</t>
        </is>
      </c>
      <c r="J5" s="633" t="inlineStr">
        <is>
          <t>K/O PRICE</t>
        </is>
      </c>
      <c r="K5" s="637" t="inlineStr">
        <is>
          <t>LIFE TERM OF CONTRACT</t>
        </is>
      </c>
      <c r="L5" s="638" t="n"/>
      <c r="M5" s="639" t="n"/>
      <c r="N5" s="622" t="inlineStr">
        <is>
          <t>START DATE</t>
        </is>
      </c>
      <c r="O5" s="622" t="inlineStr">
        <is>
          <t>END DATE</t>
        </is>
      </c>
      <c r="P5" s="682" t="n"/>
      <c r="Q5" s="632" t="inlineStr">
        <is>
          <t>Estimated Total Shares Remaining</t>
        </is>
      </c>
      <c r="R5" s="683" t="inlineStr">
        <is>
          <t>Estimated Amount</t>
        </is>
      </c>
      <c r="S5" s="682" t="n"/>
      <c r="T5" s="683" t="inlineStr">
        <is>
          <t>Estimated Amount per month</t>
        </is>
      </c>
      <c r="Y5" s="154" t="inlineStr">
        <is>
          <t>Month 1</t>
        </is>
      </c>
      <c r="Z5" s="154" t="inlineStr">
        <is>
          <t>Month 2</t>
        </is>
      </c>
    </row>
    <row r="6" hidden="1" ht="20.45" customHeight="1" s="671">
      <c r="B6" s="623" t="n"/>
      <c r="C6" s="623" t="n"/>
      <c r="D6" s="390" t="inlineStr">
        <is>
          <t>CB1</t>
        </is>
      </c>
      <c r="E6" s="627" t="n"/>
      <c r="F6" s="628" t="n"/>
      <c r="G6" s="629" t="n"/>
      <c r="H6" s="623" t="n"/>
      <c r="I6" s="623" t="n"/>
      <c r="J6" s="623" t="n"/>
      <c r="K6" s="637" t="inlineStr">
        <is>
          <t>RCVD mos.</t>
        </is>
      </c>
      <c r="L6" s="637" t="inlineStr">
        <is>
          <t>REM mos.</t>
        </is>
      </c>
      <c r="M6" s="637" t="inlineStr">
        <is>
          <t>Total mos.</t>
        </is>
      </c>
      <c r="N6" s="623" t="n"/>
      <c r="O6" s="623" t="n"/>
      <c r="P6" s="682" t="n"/>
      <c r="Q6" s="623" t="n"/>
      <c r="R6" s="623" t="n"/>
      <c r="S6" s="682" t="n"/>
      <c r="T6" s="623" t="n"/>
      <c r="U6" s="642" t="inlineStr">
        <is>
          <t>Price</t>
        </is>
      </c>
      <c r="V6" s="678" t="inlineStr">
        <is>
          <t>NOW</t>
        </is>
      </c>
      <c r="W6" s="678" t="inlineStr">
        <is>
          <t>NEXT</t>
        </is>
      </c>
      <c r="X6" s="155" t="inlineStr">
        <is>
          <t>sd</t>
        </is>
      </c>
      <c r="Y6" s="154" t="inlineStr">
        <is>
          <t>hkd</t>
        </is>
      </c>
      <c r="Z6" s="154" t="inlineStr">
        <is>
          <t>hkd</t>
        </is>
      </c>
    </row>
    <row r="7" hidden="1" s="671">
      <c r="A7" s="195">
        <f>IF(B7&lt;&gt;"",INDIRECT(ADDRESS(ROW()-1,COLUMN()))+1,0)</f>
        <v/>
      </c>
      <c r="B7" s="391" t="n"/>
      <c r="C7" s="196" t="n"/>
      <c r="D7" s="197" t="n"/>
      <c r="E7" s="198" t="n"/>
      <c r="F7" s="199" t="n"/>
      <c r="G7" s="200" t="n"/>
      <c r="H7" s="249" t="n"/>
      <c r="I7" s="250" t="n"/>
      <c r="J7" s="249" t="n"/>
      <c r="K7" s="201" t="n"/>
      <c r="L7" s="201" t="n"/>
      <c r="M7" s="201" t="n"/>
      <c r="N7" s="279" t="n"/>
      <c r="O7" s="279" t="n"/>
      <c r="P7" s="202" t="n"/>
      <c r="Q7" s="203">
        <f>E7*L7*20*X7</f>
        <v/>
      </c>
      <c r="R7" s="684">
        <f>E7*I7*L7*20*X7</f>
        <v/>
      </c>
      <c r="S7" s="202" t="n"/>
      <c r="T7" s="684">
        <f>E7*I7*20*X7</f>
        <v/>
      </c>
      <c r="U7" s="0" t="n">
        <v>12.18</v>
      </c>
      <c r="V7" s="280" t="n">
        <v>21</v>
      </c>
      <c r="W7" s="280" t="n">
        <v>21</v>
      </c>
      <c r="X7" s="0" t="n">
        <v>2</v>
      </c>
      <c r="Y7" s="154">
        <f>X7*V7*E7*I7</f>
        <v/>
      </c>
      <c r="Z7" s="154">
        <f>X7*W7*E7*I7</f>
        <v/>
      </c>
      <c r="AB7" s="155">
        <f>MONTH(O7)</f>
        <v/>
      </c>
      <c r="AC7" s="155">
        <f>YEAR(O7)</f>
        <v/>
      </c>
      <c r="AD7" s="642">
        <f>AB7&amp;"-"&amp;AC7&amp;"-"&amp;C7</f>
        <v/>
      </c>
      <c r="AE7" s="642">
        <f>C7</f>
        <v/>
      </c>
      <c r="AF7" s="685">
        <f>MATCH(AE7,ALLM!C$2:C$13,)</f>
        <v/>
      </c>
    </row>
    <row r="8" hidden="1" ht="15.6" customHeight="1" s="671">
      <c r="A8" s="64" t="n"/>
      <c r="B8" s="388" t="n"/>
      <c r="C8" s="388" t="n"/>
      <c r="D8" s="388" t="n"/>
      <c r="E8" s="388" t="n"/>
      <c r="F8" s="388" t="n"/>
      <c r="G8" s="388" t="n"/>
      <c r="H8" s="247" t="n"/>
      <c r="I8" s="248" t="n"/>
      <c r="J8" s="247" t="n"/>
      <c r="K8" s="64" t="n"/>
      <c r="N8" s="394" t="n"/>
      <c r="O8" s="394" t="n"/>
    </row>
    <row r="9" hidden="1" ht="15.6" customFormat="1" customHeight="1" s="353">
      <c r="A9" s="66" t="n"/>
      <c r="B9" s="395" t="n"/>
      <c r="C9" s="395" t="n"/>
      <c r="D9" s="395" t="n"/>
      <c r="E9" s="395" t="n"/>
      <c r="F9" s="395" t="n"/>
      <c r="G9" s="395" t="n"/>
      <c r="H9" s="251" t="n"/>
      <c r="I9" s="252" t="n"/>
      <c r="J9" s="251" t="n"/>
      <c r="K9" s="66" t="n"/>
      <c r="L9" s="54" t="n"/>
      <c r="M9" s="54" t="n"/>
      <c r="N9" s="394" t="n"/>
      <c r="O9" s="394" t="inlineStr">
        <is>
          <t>Total</t>
        </is>
      </c>
      <c r="P9" s="686" t="n"/>
      <c r="Q9" s="44">
        <f>SUM(Q6:Q8)</f>
        <v/>
      </c>
      <c r="R9" s="686">
        <f>SUM(R6:R8)</f>
        <v/>
      </c>
      <c r="S9" s="686" t="n"/>
      <c r="T9" s="686">
        <f>SUM(T6:T8)</f>
        <v/>
      </c>
      <c r="V9" s="687" t="n"/>
      <c r="W9" s="687" t="n"/>
      <c r="X9" s="102" t="n"/>
      <c r="Y9" s="43" t="n"/>
      <c r="Z9" s="43" t="n"/>
      <c r="AB9" s="102" t="n"/>
      <c r="AC9" s="102" t="n"/>
    </row>
    <row r="10" hidden="1" ht="15.6" customFormat="1" customHeight="1" s="353">
      <c r="A10" s="66" t="n"/>
      <c r="B10" s="395" t="n"/>
      <c r="C10" s="395" t="n"/>
      <c r="D10" s="395" t="n"/>
      <c r="E10" s="395" t="n"/>
      <c r="F10" s="395" t="n"/>
      <c r="G10" s="395" t="n"/>
      <c r="H10" s="251" t="n"/>
      <c r="I10" s="252" t="n"/>
      <c r="J10" s="251" t="n"/>
      <c r="K10" s="66" t="n"/>
      <c r="L10" s="54" t="n"/>
      <c r="M10" s="54" t="n"/>
      <c r="N10" s="394" t="n"/>
      <c r="O10" s="394" t="n"/>
      <c r="P10" s="686" t="n"/>
      <c r="Q10" s="44" t="n"/>
      <c r="R10" s="688" t="inlineStr">
        <is>
          <t>HKD</t>
        </is>
      </c>
      <c r="S10" s="688" t="n"/>
      <c r="T10" s="688" t="inlineStr">
        <is>
          <t>HKD</t>
        </is>
      </c>
      <c r="V10" s="687" t="n"/>
      <c r="W10" s="687" t="n"/>
      <c r="X10" s="102" t="n"/>
      <c r="Y10" s="43" t="n"/>
      <c r="Z10" s="43" t="n"/>
      <c r="AB10" s="102" t="n"/>
      <c r="AC10" s="102" t="n"/>
    </row>
    <row r="11" hidden="1" ht="15.6" customFormat="1" customHeight="1" s="353">
      <c r="A11" s="66" t="n"/>
      <c r="B11" s="395" t="n"/>
      <c r="C11" s="395" t="n"/>
      <c r="D11" s="395" t="n"/>
      <c r="E11" s="395" t="n"/>
      <c r="F11" s="395" t="n"/>
      <c r="G11" s="395" t="n"/>
      <c r="H11" s="251" t="n"/>
      <c r="I11" s="252" t="n"/>
      <c r="J11" s="251" t="n"/>
      <c r="K11" s="66" t="n"/>
      <c r="L11" s="54" t="n"/>
      <c r="M11" s="54" t="n"/>
      <c r="N11" s="394" t="n"/>
      <c r="O11" s="394" t="n"/>
      <c r="P11" s="686" t="n"/>
      <c r="Q11" s="44" t="n"/>
      <c r="R11" s="688" t="n"/>
      <c r="S11" s="688" t="n"/>
      <c r="T11" s="688" t="n"/>
      <c r="V11" s="687" t="n"/>
      <c r="W11" s="687" t="n"/>
      <c r="X11" s="102" t="n"/>
      <c r="Y11" s="43" t="n"/>
      <c r="Z11" s="43" t="n"/>
      <c r="AB11" s="102" t="n"/>
      <c r="AC11" s="102" t="n"/>
    </row>
    <row r="12" hidden="1" ht="21" customHeight="1" s="671">
      <c r="A12" s="56" t="inlineStr">
        <is>
          <t>CITIBANK  ACCOUNT # 2</t>
        </is>
      </c>
      <c r="B12" s="67" t="n"/>
      <c r="C12" s="386" t="n"/>
      <c r="D12" s="386" t="n"/>
      <c r="E12" s="681" t="n"/>
      <c r="F12" s="681" t="n"/>
      <c r="G12" s="681" t="n"/>
      <c r="H12" s="245" t="n"/>
      <c r="I12" s="245" t="n"/>
      <c r="J12" s="246" t="n"/>
      <c r="K12" s="645" t="inlineStr">
        <is>
          <t>1 month = 20 days</t>
        </is>
      </c>
    </row>
    <row r="13" hidden="1" ht="15" customHeight="1" s="671">
      <c r="A13" s="64" t="n"/>
      <c r="B13" s="388" t="n"/>
      <c r="C13" s="388" t="n"/>
      <c r="D13" s="388" t="n"/>
      <c r="E13" s="388" t="n"/>
      <c r="F13" s="388" t="n"/>
      <c r="G13" s="388" t="n"/>
      <c r="H13" s="247" t="n"/>
      <c r="I13" s="248" t="n"/>
      <c r="J13" s="247" t="n"/>
    </row>
    <row r="14" hidden="1" ht="15" customHeight="1" s="671">
      <c r="B14" s="640" t="inlineStr">
        <is>
          <t>ACCUMULATOR</t>
        </is>
      </c>
      <c r="C14" s="631" t="inlineStr">
        <is>
          <t>CODE</t>
        </is>
      </c>
      <c r="D14" s="631" t="n"/>
      <c r="E14" s="624" t="inlineStr">
        <is>
          <t>SHARES / DAY</t>
        </is>
      </c>
      <c r="F14" s="625" t="n"/>
      <c r="G14" s="626" t="n"/>
      <c r="H14" s="633" t="inlineStr">
        <is>
          <t>SPOT PRICE</t>
        </is>
      </c>
      <c r="I14" s="633" t="inlineStr">
        <is>
          <t>STRIKE PRICE</t>
        </is>
      </c>
      <c r="J14" s="633" t="inlineStr">
        <is>
          <t>K/O PRICE</t>
        </is>
      </c>
      <c r="K14" s="637" t="inlineStr">
        <is>
          <t>LIFE TERM OF CONTRACT</t>
        </is>
      </c>
      <c r="L14" s="638" t="n"/>
      <c r="M14" s="639" t="n"/>
      <c r="N14" s="622" t="inlineStr">
        <is>
          <t>START DATE</t>
        </is>
      </c>
      <c r="O14" s="622" t="inlineStr">
        <is>
          <t>END DATE</t>
        </is>
      </c>
      <c r="P14" s="682" t="n"/>
      <c r="Q14" s="632" t="inlineStr">
        <is>
          <t>Estimated Total Shares Remaining</t>
        </is>
      </c>
      <c r="R14" s="683" t="inlineStr">
        <is>
          <t>Estimated Amount</t>
        </is>
      </c>
      <c r="S14" s="682" t="n"/>
      <c r="T14" s="683" t="inlineStr">
        <is>
          <t>Estimated Amount per month</t>
        </is>
      </c>
    </row>
    <row r="15" hidden="1" ht="20.45" customHeight="1" s="671">
      <c r="B15" s="623" t="n"/>
      <c r="C15" s="623" t="n"/>
      <c r="D15" s="390" t="inlineStr">
        <is>
          <t>CB2</t>
        </is>
      </c>
      <c r="E15" s="627" t="n"/>
      <c r="F15" s="628" t="n"/>
      <c r="G15" s="629" t="n"/>
      <c r="H15" s="623" t="n"/>
      <c r="I15" s="623" t="n"/>
      <c r="J15" s="623" t="n"/>
      <c r="K15" s="637" t="inlineStr">
        <is>
          <t>RCVD mos.</t>
        </is>
      </c>
      <c r="L15" s="637" t="inlineStr">
        <is>
          <t>REM mos.</t>
        </is>
      </c>
      <c r="M15" s="637" t="inlineStr">
        <is>
          <t>Total mos.</t>
        </is>
      </c>
      <c r="N15" s="623" t="n"/>
      <c r="O15" s="623" t="n"/>
      <c r="P15" s="682" t="n"/>
      <c r="Q15" s="623" t="n"/>
      <c r="R15" s="623" t="n"/>
      <c r="S15" s="682" t="n"/>
      <c r="T15" s="623" t="n"/>
    </row>
    <row r="16" hidden="1" s="671">
      <c r="A16" s="204">
        <f>IF(B16&lt;&gt;"",INDIRECT(ADDRESS(ROW()-1,COLUMN()))+1,0)</f>
        <v/>
      </c>
      <c r="B16" s="399" t="n"/>
      <c r="C16" s="205" t="n"/>
      <c r="D16" s="206" t="n"/>
      <c r="E16" s="207" t="n"/>
      <c r="F16" s="208" t="n"/>
      <c r="G16" s="209" t="n"/>
      <c r="H16" s="253" t="n"/>
      <c r="I16" s="254" t="n"/>
      <c r="J16" s="253" t="n"/>
      <c r="K16" s="210" t="n"/>
      <c r="L16" s="210" t="n"/>
      <c r="M16" s="210" t="n"/>
      <c r="N16" s="281" t="n"/>
      <c r="O16" s="281" t="n"/>
      <c r="P16" s="211" t="n"/>
      <c r="Q16" s="212">
        <f>E16*L16*20*X16</f>
        <v/>
      </c>
      <c r="R16" s="689">
        <f>E16*I16*L16*20*X16</f>
        <v/>
      </c>
      <c r="S16" s="211" t="n"/>
      <c r="T16" s="689">
        <f>E16*I16*20*X16</f>
        <v/>
      </c>
      <c r="U16" s="0" t="n"/>
      <c r="V16" s="282" t="n">
        <v>21</v>
      </c>
      <c r="W16" s="282" t="n">
        <v>41</v>
      </c>
      <c r="X16" s="0" t="n">
        <v>2</v>
      </c>
      <c r="Y16" s="154">
        <f>X16*V16*E16*I16</f>
        <v/>
      </c>
      <c r="Z16" s="154">
        <f>X16*W16*E16*I16</f>
        <v/>
      </c>
      <c r="AB16" s="155">
        <f>MONTH(O16)</f>
        <v/>
      </c>
      <c r="AC16" s="155">
        <f>YEAR(O16)</f>
        <v/>
      </c>
      <c r="AD16" s="642">
        <f>AB16&amp;"-"&amp;AC16&amp;"-"&amp;C16</f>
        <v/>
      </c>
      <c r="AE16" s="642">
        <f>C16</f>
        <v/>
      </c>
      <c r="AF16" s="685">
        <f>MATCH(AE16,ALLM!C$2:C$13,)</f>
        <v/>
      </c>
    </row>
    <row r="17" hidden="1" s="671">
      <c r="A17" s="64" t="n"/>
      <c r="B17" s="388" t="n"/>
      <c r="C17" s="388" t="n"/>
      <c r="D17" s="388" t="n"/>
      <c r="E17" s="388" t="n"/>
      <c r="F17" s="388" t="n"/>
      <c r="G17" s="388" t="n"/>
      <c r="H17" s="247" t="n"/>
      <c r="I17" s="248" t="n"/>
      <c r="J17" s="247" t="n"/>
      <c r="K17" s="64" t="n"/>
      <c r="V17" s="280" t="n"/>
      <c r="W17" s="280" t="n"/>
    </row>
    <row r="18" hidden="1" ht="15.6" customFormat="1" customHeight="1" s="353">
      <c r="A18" s="66" t="n"/>
      <c r="B18" s="395" t="n"/>
      <c r="C18" s="395" t="n"/>
      <c r="D18" s="395" t="n"/>
      <c r="E18" s="395" t="n"/>
      <c r="F18" s="395" t="n"/>
      <c r="G18" s="395" t="n"/>
      <c r="H18" s="255" t="n"/>
      <c r="I18" s="252" t="n"/>
      <c r="J18" s="251" t="n"/>
      <c r="K18" s="66" t="n"/>
      <c r="L18" s="54" t="n"/>
      <c r="M18" s="54" t="n"/>
      <c r="N18" s="394" t="n"/>
      <c r="O18" s="394" t="inlineStr">
        <is>
          <t>Total</t>
        </is>
      </c>
      <c r="P18" s="686" t="n"/>
      <c r="Q18" s="44">
        <f>SUM(Q15:Q17)</f>
        <v/>
      </c>
      <c r="R18" s="95">
        <f>SUM(R15:R17)</f>
        <v/>
      </c>
      <c r="S18" s="686" t="n"/>
      <c r="T18" s="686">
        <f>SUM(T15:T17)</f>
        <v/>
      </c>
      <c r="V18" s="687" t="n"/>
      <c r="W18" s="687" t="n"/>
      <c r="X18" s="102" t="n"/>
      <c r="Y18" s="43" t="n"/>
      <c r="Z18" s="43" t="n"/>
      <c r="AB18" s="102" t="n"/>
      <c r="AC18" s="102" t="n"/>
    </row>
    <row r="19" hidden="1" ht="15.75" customHeight="1" s="671">
      <c r="A19" s="64" t="n"/>
      <c r="B19" s="388" t="n"/>
      <c r="C19" s="388" t="n"/>
      <c r="D19" s="388" t="n"/>
      <c r="E19" s="388" t="n"/>
      <c r="F19" s="388" t="n"/>
      <c r="G19" s="388" t="n"/>
      <c r="H19" s="247" t="n"/>
      <c r="I19" s="248" t="n"/>
      <c r="J19" s="247" t="n"/>
      <c r="K19" s="64" t="n"/>
      <c r="R19" s="688" t="inlineStr">
        <is>
          <t>HKD</t>
        </is>
      </c>
      <c r="S19" s="688" t="n"/>
      <c r="T19" s="688" t="inlineStr">
        <is>
          <t>HKD</t>
        </is>
      </c>
    </row>
    <row r="20" hidden="1" ht="21" customHeight="1" s="671">
      <c r="A20" s="56" t="inlineStr">
        <is>
          <t>CITIBANK SINGAPORE - ACCOUNT # 1</t>
        </is>
      </c>
      <c r="B20" s="67" t="n"/>
      <c r="C20" s="386" t="n"/>
      <c r="D20" s="386" t="n"/>
      <c r="E20" s="681" t="n"/>
      <c r="F20" s="681" t="n"/>
      <c r="G20" s="681" t="n"/>
      <c r="H20" s="245" t="n"/>
      <c r="I20" s="245" t="n"/>
      <c r="J20" s="246" t="n"/>
      <c r="K20" s="645" t="n"/>
    </row>
    <row r="21" hidden="1" ht="15" customHeight="1" s="671">
      <c r="A21" s="64" t="n"/>
      <c r="B21" s="388" t="n"/>
      <c r="C21" s="388" t="n"/>
      <c r="D21" s="388" t="n"/>
      <c r="E21" s="388" t="n"/>
      <c r="F21" s="388" t="n"/>
      <c r="G21" s="388" t="n"/>
      <c r="H21" s="247" t="n"/>
      <c r="I21" s="248" t="n"/>
      <c r="J21" s="247" t="n"/>
    </row>
    <row r="22" hidden="1" ht="15" customHeight="1" s="671">
      <c r="B22" s="640" t="inlineStr">
        <is>
          <t>ACCUMULATOR</t>
        </is>
      </c>
      <c r="C22" s="631" t="inlineStr">
        <is>
          <t>CODE</t>
        </is>
      </c>
      <c r="D22" s="631" t="n"/>
      <c r="E22" s="624" t="inlineStr">
        <is>
          <t>SHARES / DAY</t>
        </is>
      </c>
      <c r="F22" s="625" t="n"/>
      <c r="G22" s="626" t="n"/>
      <c r="H22" s="633" t="inlineStr">
        <is>
          <t>SPOT PRICE</t>
        </is>
      </c>
      <c r="I22" s="633" t="inlineStr">
        <is>
          <t>STRIKE PRICE</t>
        </is>
      </c>
      <c r="J22" s="633" t="inlineStr">
        <is>
          <t>K/O PRICE</t>
        </is>
      </c>
      <c r="K22" s="637" t="inlineStr">
        <is>
          <t>LIFE TERM OF CONTRACT</t>
        </is>
      </c>
      <c r="L22" s="638" t="n"/>
      <c r="M22" s="639" t="n"/>
      <c r="N22" s="622" t="inlineStr">
        <is>
          <t>START DATE</t>
        </is>
      </c>
      <c r="O22" s="622" t="inlineStr">
        <is>
          <t>END DATE</t>
        </is>
      </c>
      <c r="P22" s="682" t="n"/>
      <c r="Q22" s="632" t="inlineStr">
        <is>
          <t>Estimated Total Shares Remaining</t>
        </is>
      </c>
      <c r="R22" s="683" t="inlineStr">
        <is>
          <t>Estimated Amount</t>
        </is>
      </c>
      <c r="S22" s="682" t="n"/>
      <c r="T22" s="683" t="inlineStr">
        <is>
          <t>Estimated Amount per month</t>
        </is>
      </c>
    </row>
    <row r="23" hidden="1" ht="20.45" customHeight="1" s="671">
      <c r="B23" s="623" t="n"/>
      <c r="C23" s="623" t="n"/>
      <c r="D23" s="390" t="inlineStr">
        <is>
          <t>CBSG</t>
        </is>
      </c>
      <c r="E23" s="627" t="n"/>
      <c r="F23" s="628" t="n"/>
      <c r="G23" s="629" t="n"/>
      <c r="H23" s="623" t="n"/>
      <c r="I23" s="623" t="n"/>
      <c r="J23" s="623" t="n"/>
      <c r="K23" s="637" t="inlineStr">
        <is>
          <t>RCVD mos.</t>
        </is>
      </c>
      <c r="L23" s="637" t="inlineStr">
        <is>
          <t>REM mos.</t>
        </is>
      </c>
      <c r="M23" s="637" t="inlineStr">
        <is>
          <t>Total mos.</t>
        </is>
      </c>
      <c r="N23" s="623" t="n"/>
      <c r="O23" s="623" t="n"/>
      <c r="P23" s="682" t="n"/>
      <c r="Q23" s="623" t="n"/>
      <c r="R23" s="623" t="n"/>
      <c r="S23" s="682" t="n"/>
      <c r="T23" s="623" t="n"/>
    </row>
    <row r="24" hidden="1" s="671">
      <c r="A24" s="217">
        <f>IF(B24&lt;&gt;"",INDIRECT(ADDRESS(ROW()-1,COLUMN()))+1,0)</f>
        <v/>
      </c>
      <c r="B24" s="401" t="n"/>
      <c r="C24" s="218" t="n"/>
      <c r="D24" s="219" t="n"/>
      <c r="E24" s="225" t="n"/>
      <c r="F24" s="220" t="n"/>
      <c r="G24" s="221" t="n"/>
      <c r="H24" s="256" t="n"/>
      <c r="I24" s="257" t="n"/>
      <c r="J24" s="256" t="n"/>
      <c r="K24" s="222" t="n"/>
      <c r="L24" s="222" t="n"/>
      <c r="M24" s="222" t="n"/>
      <c r="N24" s="283" t="n"/>
      <c r="O24" s="283" t="n"/>
      <c r="P24" s="223" t="n"/>
      <c r="Q24" s="224">
        <f>E24*L24*X24</f>
        <v/>
      </c>
      <c r="R24" s="690">
        <f>E24*I24*L24*X24</f>
        <v/>
      </c>
      <c r="S24" s="223" t="n"/>
      <c r="T24" s="690">
        <f>E24*I24*20*X24</f>
        <v/>
      </c>
      <c r="U24" s="0" t="n"/>
      <c r="V24" s="282" t="n">
        <v>19</v>
      </c>
      <c r="W24" s="282" t="n">
        <v>19</v>
      </c>
      <c r="X24" s="0" t="n">
        <v>1</v>
      </c>
      <c r="Y24" s="154">
        <f>X24*V24*E24*I24</f>
        <v/>
      </c>
      <c r="Z24" s="154">
        <f>X24*W24*E24*I24</f>
        <v/>
      </c>
      <c r="AB24" s="155">
        <f>MONTH(O24)</f>
        <v/>
      </c>
      <c r="AC24" s="155">
        <f>YEAR(O24)</f>
        <v/>
      </c>
      <c r="AD24" s="642">
        <f>AB24&amp;"-"&amp;AC24&amp;"-"&amp;C24</f>
        <v/>
      </c>
      <c r="AE24" s="642">
        <f>C24</f>
        <v/>
      </c>
      <c r="AF24" s="685">
        <f>MATCH(AE24,ALLM!C$2:C$13,)</f>
        <v/>
      </c>
    </row>
    <row r="25" hidden="1" s="671">
      <c r="A25" s="64" t="n"/>
      <c r="B25" s="388" t="n"/>
      <c r="C25" s="388" t="n"/>
      <c r="D25" s="388" t="n"/>
      <c r="E25" s="388" t="n"/>
      <c r="F25" s="388" t="n"/>
      <c r="G25" s="388" t="n"/>
      <c r="H25" s="247" t="n"/>
      <c r="I25" s="248" t="n"/>
      <c r="J25" s="247" t="n"/>
      <c r="K25" s="64" t="n"/>
      <c r="V25" s="280" t="n"/>
      <c r="W25" s="280" t="n"/>
    </row>
    <row r="26" hidden="1" ht="15.6" customFormat="1" customHeight="1" s="353">
      <c r="A26" s="66" t="n"/>
      <c r="B26" s="395" t="n"/>
      <c r="C26" s="395" t="n"/>
      <c r="D26" s="395" t="n"/>
      <c r="E26" s="395" t="n"/>
      <c r="F26" s="395" t="n"/>
      <c r="G26" s="395" t="n"/>
      <c r="H26" s="255" t="n"/>
      <c r="I26" s="252" t="n"/>
      <c r="J26" s="251" t="n"/>
      <c r="K26" s="66" t="n"/>
      <c r="L26" s="54" t="n"/>
      <c r="M26" s="54" t="n"/>
      <c r="N26" s="394" t="n"/>
      <c r="O26" s="394" t="inlineStr">
        <is>
          <t>Total</t>
        </is>
      </c>
      <c r="P26" s="686" t="n"/>
      <c r="Q26" s="44">
        <f>SUM(Q23:Q25)</f>
        <v/>
      </c>
      <c r="R26" s="95">
        <f>SUM(R23:R25)</f>
        <v/>
      </c>
      <c r="S26" s="686" t="n"/>
      <c r="T26" s="686">
        <f>SUM(T23:T25)</f>
        <v/>
      </c>
      <c r="V26" s="687" t="n"/>
      <c r="W26" s="687" t="n"/>
      <c r="X26" s="102" t="n"/>
      <c r="Y26" s="43" t="n"/>
      <c r="Z26" s="43" t="n"/>
      <c r="AB26" s="102" t="n"/>
      <c r="AC26" s="102" t="n"/>
    </row>
    <row r="27" hidden="1" ht="15.75" customHeight="1" s="671">
      <c r="A27" s="64" t="n"/>
      <c r="B27" s="388" t="n"/>
      <c r="C27" s="388" t="n"/>
      <c r="D27" s="388" t="n"/>
      <c r="E27" s="388" t="n"/>
      <c r="F27" s="388" t="n"/>
      <c r="G27" s="388" t="n"/>
      <c r="H27" s="247" t="n"/>
      <c r="I27" s="248" t="n"/>
      <c r="J27" s="247" t="n"/>
      <c r="K27" s="64" t="n"/>
      <c r="R27" s="688" t="inlineStr">
        <is>
          <t>HKD</t>
        </is>
      </c>
      <c r="S27" s="688" t="n"/>
      <c r="T27" s="688" t="inlineStr">
        <is>
          <t>HKD</t>
        </is>
      </c>
    </row>
    <row r="28" hidden="1" ht="15.6" customHeight="1" s="671">
      <c r="A28" s="64" t="n"/>
      <c r="B28" s="388" t="n"/>
      <c r="C28" s="388" t="n"/>
      <c r="D28" s="388" t="n"/>
      <c r="E28" s="388" t="n"/>
      <c r="F28" s="388" t="n"/>
      <c r="G28" s="388" t="n"/>
      <c r="H28" s="247" t="n"/>
      <c r="I28" s="248" t="n"/>
      <c r="J28" s="247" t="n"/>
      <c r="K28" s="64" t="n"/>
      <c r="R28" s="688" t="n"/>
      <c r="S28" s="688" t="n"/>
      <c r="T28" s="688" t="n"/>
    </row>
    <row r="29" hidden="1" ht="21" customHeight="1" s="671">
      <c r="A29" s="56" t="inlineStr">
        <is>
          <t>CITIBANK    BERRY HILL</t>
        </is>
      </c>
      <c r="B29" s="67" t="n"/>
      <c r="C29" s="386" t="n"/>
      <c r="D29" s="386" t="n"/>
      <c r="E29" s="681" t="n"/>
      <c r="F29" s="681" t="n"/>
      <c r="G29" s="681" t="n"/>
      <c r="H29" s="245" t="n"/>
      <c r="I29" s="245" t="n"/>
      <c r="J29" s="246" t="n"/>
      <c r="K29" s="645" t="inlineStr">
        <is>
          <t>1 month = 20 days</t>
        </is>
      </c>
    </row>
    <row r="30" hidden="1" ht="15" customHeight="1" s="671">
      <c r="A30" s="64" t="n"/>
      <c r="B30" s="388" t="n"/>
      <c r="C30" s="388" t="n"/>
      <c r="D30" s="388" t="n"/>
      <c r="E30" s="388" t="n"/>
      <c r="F30" s="388" t="n"/>
      <c r="G30" s="388" t="n"/>
      <c r="H30" s="247" t="n"/>
      <c r="I30" s="248" t="n"/>
      <c r="J30" s="247" t="n"/>
    </row>
    <row r="31" hidden="1" ht="15" customHeight="1" s="671">
      <c r="B31" s="640" t="inlineStr">
        <is>
          <t>ACCUMULATOR</t>
        </is>
      </c>
      <c r="C31" s="631" t="inlineStr">
        <is>
          <t>CODE</t>
        </is>
      </c>
      <c r="D31" s="631" t="n"/>
      <c r="E31" s="624" t="inlineStr">
        <is>
          <t>SHARES / DAY</t>
        </is>
      </c>
      <c r="F31" s="625" t="n"/>
      <c r="G31" s="626" t="n"/>
      <c r="H31" s="633" t="inlineStr">
        <is>
          <t>SPOT PRICE</t>
        </is>
      </c>
      <c r="I31" s="633" t="inlineStr">
        <is>
          <t>STRIKE PRICE</t>
        </is>
      </c>
      <c r="J31" s="633" t="inlineStr">
        <is>
          <t>K/O PRICE</t>
        </is>
      </c>
      <c r="K31" s="637" t="inlineStr">
        <is>
          <t>LIFE TERM OF CONTRACT</t>
        </is>
      </c>
      <c r="L31" s="638" t="n"/>
      <c r="M31" s="639" t="n"/>
      <c r="N31" s="622" t="inlineStr">
        <is>
          <t>START DATE</t>
        </is>
      </c>
      <c r="O31" s="622" t="inlineStr">
        <is>
          <t>END DATE</t>
        </is>
      </c>
      <c r="P31" s="682" t="n"/>
      <c r="Q31" s="632" t="inlineStr">
        <is>
          <t>Estimated Total Shares Remaining</t>
        </is>
      </c>
      <c r="R31" s="683" t="inlineStr">
        <is>
          <t>Estimated Amount</t>
        </is>
      </c>
      <c r="S31" s="682" t="n"/>
      <c r="T31" s="683" t="inlineStr">
        <is>
          <t>Estimated Amount per month</t>
        </is>
      </c>
    </row>
    <row r="32" hidden="1" ht="20.45" customHeight="1" s="671">
      <c r="B32" s="623" t="n"/>
      <c r="C32" s="623" t="n"/>
      <c r="D32" s="390" t="inlineStr">
        <is>
          <t>CBBH</t>
        </is>
      </c>
      <c r="E32" s="627" t="n"/>
      <c r="F32" s="628" t="n"/>
      <c r="G32" s="629" t="n"/>
      <c r="H32" s="623" t="n"/>
      <c r="I32" s="623" t="n"/>
      <c r="J32" s="623" t="n"/>
      <c r="K32" s="637" t="inlineStr">
        <is>
          <t>RCVD mos.</t>
        </is>
      </c>
      <c r="L32" s="637" t="inlineStr">
        <is>
          <t>REM mos.</t>
        </is>
      </c>
      <c r="M32" s="637" t="inlineStr">
        <is>
          <t>Total mos.</t>
        </is>
      </c>
      <c r="N32" s="623" t="n"/>
      <c r="O32" s="623" t="n"/>
      <c r="P32" s="682" t="n"/>
      <c r="Q32" s="623" t="n"/>
      <c r="R32" s="623" t="n"/>
      <c r="S32" s="682" t="n"/>
      <c r="T32" s="623" t="n"/>
    </row>
    <row r="33" hidden="1" s="671">
      <c r="A33" s="174">
        <f>IF(B33&lt;&gt;"",INDIRECT(ADDRESS(ROW()-1,COLUMN()))+1,0)</f>
        <v/>
      </c>
      <c r="B33" s="403" t="n"/>
      <c r="C33" s="175" t="n"/>
      <c r="D33" s="176" t="n"/>
      <c r="E33" s="177" t="n"/>
      <c r="F33" s="178" t="n"/>
      <c r="G33" s="179" t="n"/>
      <c r="H33" s="258" t="n"/>
      <c r="I33" s="259" t="n"/>
      <c r="J33" s="258" t="n"/>
      <c r="K33" s="180" t="n"/>
      <c r="L33" s="180" t="n"/>
      <c r="M33" s="180" t="n"/>
      <c r="N33" s="181" t="n"/>
      <c r="O33" s="181" t="n"/>
      <c r="P33" s="182" t="n"/>
      <c r="Q33" s="183">
        <f>E33*L33*20*X33</f>
        <v/>
      </c>
      <c r="R33" s="691">
        <f>E33*I33*L33*20*X33</f>
        <v/>
      </c>
      <c r="S33" s="182" t="n"/>
      <c r="T33" s="691">
        <f>E33*I33*20*X33</f>
        <v/>
      </c>
      <c r="U33" s="0" t="n"/>
      <c r="V33" s="282" t="n">
        <v>20</v>
      </c>
      <c r="W33" s="282" t="n">
        <v>40</v>
      </c>
      <c r="X33" s="0" t="n">
        <v>2</v>
      </c>
      <c r="Y33" s="154">
        <f>X33*V33*E33*I33</f>
        <v/>
      </c>
      <c r="Z33" s="154">
        <f>X33*W33*E33*I33</f>
        <v/>
      </c>
      <c r="AB33" s="155">
        <f>MONTH(O33)</f>
        <v/>
      </c>
      <c r="AC33" s="155">
        <f>YEAR(O33)</f>
        <v/>
      </c>
      <c r="AD33" s="642">
        <f>AB33&amp;"-"&amp;AC33&amp;"-"&amp;C33</f>
        <v/>
      </c>
      <c r="AE33" s="642">
        <f>C33</f>
        <v/>
      </c>
      <c r="AF33" s="685">
        <f>MATCH(AE33,ALLM!C$2:C$13,)</f>
        <v/>
      </c>
    </row>
    <row r="34" hidden="1" s="671">
      <c r="A34" s="174">
        <f>IF(B34&lt;&gt;"",INDIRECT(ADDRESS(ROW()-1,COLUMN()))+1,0)</f>
        <v/>
      </c>
      <c r="B34" s="403" t="n"/>
      <c r="C34" s="175" t="n"/>
      <c r="D34" s="176" t="n"/>
      <c r="E34" s="177" t="n"/>
      <c r="F34" s="178" t="n"/>
      <c r="G34" s="179" t="n"/>
      <c r="H34" s="258" t="n"/>
      <c r="I34" s="259" t="n"/>
      <c r="J34" s="258" t="n"/>
      <c r="K34" s="180" t="n"/>
      <c r="L34" s="180" t="n"/>
      <c r="M34" s="180" t="n"/>
      <c r="N34" s="181" t="n"/>
      <c r="O34" s="181" t="n"/>
      <c r="P34" s="182" t="n"/>
      <c r="Q34" s="183">
        <f>E34*L34*20*X34</f>
        <v/>
      </c>
      <c r="R34" s="691">
        <f>E34*I34*L34*20*X34</f>
        <v/>
      </c>
      <c r="S34" s="182" t="n"/>
      <c r="T34" s="691">
        <f>E34*I34*20*X34</f>
        <v/>
      </c>
      <c r="U34" s="0" t="n"/>
      <c r="V34" s="282" t="n">
        <v>0</v>
      </c>
      <c r="W34" s="282" t="n">
        <v>19</v>
      </c>
      <c r="X34" s="0" t="n">
        <v>2</v>
      </c>
      <c r="Y34" s="154">
        <f>X34*V34*E34*I34</f>
        <v/>
      </c>
      <c r="Z34" s="154">
        <f>X34*W34*E34*I34</f>
        <v/>
      </c>
      <c r="AB34" s="155">
        <f>MONTH(O34)</f>
        <v/>
      </c>
      <c r="AC34" s="155">
        <f>YEAR(O34)</f>
        <v/>
      </c>
      <c r="AD34" s="642">
        <f>AB34&amp;"-"&amp;AC34&amp;"-"&amp;C34</f>
        <v/>
      </c>
      <c r="AE34" s="642">
        <f>C34</f>
        <v/>
      </c>
      <c r="AF34" s="685">
        <f>MATCH(AE34,ALLM!C$2:C$13,)</f>
        <v/>
      </c>
    </row>
    <row r="35" hidden="1" ht="9.75" customHeight="1" s="671">
      <c r="A35" s="64" t="n"/>
      <c r="B35" s="388" t="n"/>
      <c r="C35" s="388" t="n"/>
      <c r="D35" s="388" t="n"/>
      <c r="E35" s="388" t="n"/>
      <c r="F35" s="388" t="n"/>
      <c r="G35" s="388" t="n"/>
      <c r="H35" s="247" t="n"/>
      <c r="I35" s="248" t="n"/>
      <c r="J35" s="247" t="n"/>
      <c r="K35" s="64" t="n"/>
    </row>
    <row r="36" hidden="1" ht="15.6" customFormat="1" customHeight="1" s="353">
      <c r="A36" s="66" t="n"/>
      <c r="B36" s="395" t="n"/>
      <c r="C36" s="395" t="n"/>
      <c r="D36" s="395" t="n"/>
      <c r="E36" s="395" t="n"/>
      <c r="F36" s="395" t="n"/>
      <c r="G36" s="395" t="n"/>
      <c r="H36" s="251" t="n"/>
      <c r="I36" s="252" t="n"/>
      <c r="J36" s="251" t="n"/>
      <c r="K36" s="66" t="n"/>
      <c r="L36" s="54" t="n"/>
      <c r="M36" s="54" t="n"/>
      <c r="N36" s="394" t="n"/>
      <c r="O36" s="394" t="inlineStr">
        <is>
          <t>Total</t>
        </is>
      </c>
      <c r="P36" s="686" t="n"/>
      <c r="Q36" s="44">
        <f>SUM(Q32:Q35)</f>
        <v/>
      </c>
      <c r="R36" s="95">
        <f>SUM(R32:R35)</f>
        <v/>
      </c>
      <c r="S36" s="686" t="n"/>
      <c r="T36" s="95">
        <f>SUM(T32:T35)</f>
        <v/>
      </c>
      <c r="V36" s="687" t="n"/>
      <c r="W36" s="687" t="n"/>
      <c r="X36" s="102" t="n"/>
      <c r="Y36" s="43" t="n"/>
      <c r="Z36" s="43" t="n"/>
      <c r="AB36" s="102" t="n"/>
      <c r="AC36" s="102" t="n"/>
    </row>
    <row r="37" hidden="1" ht="15.6" customHeight="1" s="671">
      <c r="A37" s="64" t="n"/>
      <c r="B37" s="388" t="n"/>
      <c r="C37" s="388" t="n"/>
      <c r="D37" s="388" t="n"/>
      <c r="E37" s="388" t="n"/>
      <c r="F37" s="388" t="n"/>
      <c r="G37" s="388" t="n"/>
      <c r="H37" s="247" t="n"/>
      <c r="I37" s="248" t="n"/>
      <c r="J37" s="247" t="n"/>
      <c r="K37" s="64" t="n"/>
      <c r="R37" s="688" t="inlineStr">
        <is>
          <t>HKD</t>
        </is>
      </c>
      <c r="S37" s="688" t="n"/>
      <c r="T37" s="688" t="inlineStr">
        <is>
          <t>HKD</t>
        </is>
      </c>
    </row>
    <row r="38" hidden="1" ht="3" customHeight="1" s="671">
      <c r="A38" s="64" t="n"/>
      <c r="B38" s="388" t="n"/>
      <c r="C38" s="388" t="n"/>
      <c r="D38" s="388" t="n"/>
      <c r="E38" s="388" t="n"/>
      <c r="F38" s="388" t="n"/>
      <c r="G38" s="388" t="n"/>
      <c r="H38" s="247" t="n"/>
      <c r="I38" s="248" t="n"/>
      <c r="J38" s="247" t="n"/>
      <c r="K38" s="64" t="n"/>
      <c r="R38" s="688" t="n"/>
      <c r="S38" s="688" t="n"/>
      <c r="T38" s="688" t="n"/>
    </row>
    <row r="39" hidden="1" ht="18" customHeight="1" s="671">
      <c r="A39" s="64" t="n"/>
      <c r="B39" s="388" t="n"/>
      <c r="C39" s="388" t="n"/>
      <c r="D39" s="388" t="n"/>
      <c r="E39" s="388" t="n"/>
      <c r="F39" s="388" t="n"/>
      <c r="G39" s="388" t="n"/>
      <c r="H39" s="247" t="n"/>
      <c r="I39" s="248" t="n"/>
      <c r="J39" s="247" t="n"/>
      <c r="K39" s="64" t="n"/>
      <c r="M39" s="65" t="n"/>
      <c r="N39" s="405" t="n"/>
      <c r="O39" s="406" t="inlineStr">
        <is>
          <t>TOTAL CITIBANK</t>
        </is>
      </c>
      <c r="P39" s="405" t="n"/>
      <c r="Q39" s="405">
        <f>SUM(Q9,Q36,Q18,Q26)</f>
        <v/>
      </c>
      <c r="R39" s="692">
        <f>SUM(R9,R36,R18,R26)</f>
        <v/>
      </c>
      <c r="S39" s="692" t="n"/>
      <c r="T39" s="692">
        <f>SUM(T9,T36,T18,T26)</f>
        <v/>
      </c>
    </row>
    <row r="40" hidden="1" ht="18.75" customHeight="1" s="671">
      <c r="A40" s="64" t="n"/>
      <c r="B40" s="388" t="n"/>
      <c r="C40" s="388" t="n"/>
      <c r="D40" s="388" t="n"/>
      <c r="E40" s="388" t="n"/>
      <c r="F40" s="388" t="n"/>
      <c r="G40" s="388" t="n"/>
      <c r="H40" s="247" t="n"/>
      <c r="I40" s="248" t="n"/>
      <c r="J40" s="247" t="n"/>
      <c r="K40" s="64" t="n"/>
      <c r="N40" s="408" t="n"/>
      <c r="O40" s="408" t="n"/>
      <c r="P40" s="408" t="n"/>
      <c r="Q40" s="408" t="n"/>
      <c r="R40" s="693" t="inlineStr">
        <is>
          <t>HKD</t>
        </is>
      </c>
      <c r="S40" s="693" t="n"/>
      <c r="T40" s="693" t="inlineStr">
        <is>
          <t>HKD</t>
        </is>
      </c>
    </row>
    <row r="41" ht="4.5" customHeight="1" s="671">
      <c r="A41" s="64" t="n"/>
      <c r="B41" s="388" t="n"/>
      <c r="C41" s="388" t="n"/>
      <c r="D41" s="388" t="n"/>
      <c r="E41" s="388" t="n"/>
      <c r="F41" s="388" t="n"/>
      <c r="G41" s="388" t="n"/>
      <c r="H41" s="247" t="n"/>
      <c r="I41" s="248" t="n"/>
      <c r="J41" s="247" t="n"/>
      <c r="K41" s="64" t="n"/>
      <c r="R41" s="688" t="n"/>
      <c r="S41" s="688" t="n"/>
      <c r="T41" s="688" t="n"/>
    </row>
    <row r="42" ht="15.6" customHeight="1" s="671">
      <c r="A42" s="56" t="inlineStr">
        <is>
          <t>DEUTSCHE BANK  (Personal)</t>
        </is>
      </c>
      <c r="P42" s="694" t="n"/>
      <c r="Q42" s="694" t="n"/>
      <c r="R42" s="694" t="n"/>
      <c r="S42" s="694" t="n"/>
    </row>
    <row r="43" ht="9" customHeight="1" s="671"/>
    <row r="44" ht="15" customHeight="1" s="671">
      <c r="B44" s="640" t="inlineStr">
        <is>
          <t>ACCUMULATOR</t>
        </is>
      </c>
      <c r="C44" s="631" t="inlineStr">
        <is>
          <t>CODE</t>
        </is>
      </c>
      <c r="D44" s="631" t="n"/>
      <c r="E44" s="624" t="inlineStr">
        <is>
          <t>SHARES / DAY</t>
        </is>
      </c>
      <c r="F44" s="625" t="n"/>
      <c r="G44" s="626" t="n"/>
      <c r="H44" s="633" t="inlineStr">
        <is>
          <t>SPOT PRICE</t>
        </is>
      </c>
      <c r="I44" s="633" t="inlineStr">
        <is>
          <t>STRIKE PRICE</t>
        </is>
      </c>
      <c r="J44" s="633" t="inlineStr">
        <is>
          <t>K/O PRICE</t>
        </is>
      </c>
      <c r="K44" s="637" t="inlineStr">
        <is>
          <t>LIFE TERM OF CONTRACT</t>
        </is>
      </c>
      <c r="L44" s="638" t="n"/>
      <c r="M44" s="639" t="n"/>
      <c r="N44" s="622" t="inlineStr">
        <is>
          <t>START DATE</t>
        </is>
      </c>
      <c r="O44" s="622" t="inlineStr">
        <is>
          <t>END DATE</t>
        </is>
      </c>
      <c r="P44" s="682" t="n"/>
      <c r="Q44" s="632" t="inlineStr">
        <is>
          <t>Estimated Total Shares Remaining</t>
        </is>
      </c>
      <c r="R44" s="683" t="inlineStr">
        <is>
          <t>Estimated Amount</t>
        </is>
      </c>
      <c r="S44" s="682" t="n"/>
      <c r="T44" s="683" t="inlineStr">
        <is>
          <t>Estimated Amount per month</t>
        </is>
      </c>
    </row>
    <row r="45" ht="20.45" customHeight="1" s="671">
      <c r="A45" s="55" t="n"/>
      <c r="B45" s="623" t="n"/>
      <c r="C45" s="623" t="n"/>
      <c r="D45" s="390" t="inlineStr">
        <is>
          <t>DBPe</t>
        </is>
      </c>
      <c r="E45" s="627" t="n"/>
      <c r="F45" s="628" t="n"/>
      <c r="G45" s="629" t="n"/>
      <c r="H45" s="623" t="n"/>
      <c r="I45" s="623" t="n"/>
      <c r="J45" s="623" t="n"/>
      <c r="K45" s="637" t="inlineStr">
        <is>
          <t>RCVD DAYS</t>
        </is>
      </c>
      <c r="L45" s="637" t="inlineStr">
        <is>
          <t>REM DAYS</t>
        </is>
      </c>
      <c r="M45" s="637" t="inlineStr">
        <is>
          <t>Total DAYS</t>
        </is>
      </c>
      <c r="N45" s="623" t="n"/>
      <c r="O45" s="623" t="n"/>
      <c r="P45" s="682" t="n"/>
      <c r="Q45" s="623" t="n"/>
      <c r="R45" s="623" t="n"/>
      <c r="S45" s="682" t="n"/>
      <c r="T45" s="623" t="n"/>
    </row>
    <row r="46">
      <c r="A46" s="695">
        <f>IF(B46&lt;&gt;"",INDIRECT(ADDRESS(ROW()-1,COLUMN()))+1,0)</f>
        <v/>
      </c>
      <c r="B46" s="696" t="inlineStr">
        <is>
          <t>Alibaba</t>
        </is>
      </c>
      <c r="C46" s="697" t="inlineStr">
        <is>
          <t>9988</t>
        </is>
      </c>
      <c r="D46" s="698" t="inlineStr">
        <is>
          <t>Alibaba - 6</t>
        </is>
      </c>
      <c r="E46" s="699" t="n">
        <v>200</v>
      </c>
      <c r="F46" s="700" t="inlineStr">
        <is>
          <t>/</t>
        </is>
      </c>
      <c r="G46" s="701" t="n">
        <v>400</v>
      </c>
      <c r="H46" s="702" t="inlineStr">
        <is>
          <t>168.4000</t>
        </is>
      </c>
      <c r="I46" s="703" t="inlineStr">
        <is>
          <t>133.8612</t>
        </is>
      </c>
      <c r="J46" s="702" t="inlineStr">
        <is>
          <t>185.2400</t>
        </is>
      </c>
      <c r="K46" s="704" t="n">
        <v>194</v>
      </c>
      <c r="L46" s="705">
        <f>M46-K46</f>
        <v/>
      </c>
      <c r="M46" s="705" t="n">
        <v>244</v>
      </c>
      <c r="N46" s="706" t="inlineStr">
        <is>
          <t>29-Sep-2025</t>
        </is>
      </c>
      <c r="O46" s="706" t="inlineStr">
        <is>
          <t>25-Sep-2026</t>
        </is>
      </c>
      <c r="P46" s="707" t="n"/>
      <c r="Q46" s="708">
        <f>E46*L46*X46</f>
        <v/>
      </c>
      <c r="R46" s="709">
        <f>E46*I46*L46*X46</f>
        <v/>
      </c>
      <c r="S46" s="707" t="n"/>
      <c r="T46" s="709">
        <f>E46*I46*20*X46</f>
        <v/>
      </c>
      <c r="U46" s="0" t="n">
        <v>413</v>
      </c>
      <c r="V46" s="282" t="n">
        <v>0</v>
      </c>
      <c r="W46" s="282" t="n">
        <v>30</v>
      </c>
      <c r="X46" s="0" t="n">
        <v>2</v>
      </c>
      <c r="Y46" s="154">
        <f>X46*V46*E46*I46</f>
        <v/>
      </c>
      <c r="Z46" s="154">
        <f>X46*W46*E46*I46</f>
        <v/>
      </c>
      <c r="AB46" s="155">
        <f>MONTH(O46)</f>
        <v/>
      </c>
      <c r="AC46" s="155">
        <f>YEAR(O46)</f>
        <v/>
      </c>
      <c r="AD46" s="642">
        <f>AB46&amp;"-"&amp;AC46&amp;"-"&amp;C46</f>
        <v/>
      </c>
      <c r="AE46" s="642">
        <f>C46</f>
        <v/>
      </c>
      <c r="AF46" s="685">
        <f>MATCH(AE46,ALLM!C$2:C$13,)</f>
        <v/>
      </c>
    </row>
    <row r="47">
      <c r="A47" s="695">
        <f>IF(B47&lt;&gt;"",INDIRECT(ADDRESS(ROW()-1,COLUMN()))+1,0)</f>
        <v/>
      </c>
      <c r="B47" s="696" t="inlineStr">
        <is>
          <t>Tencent</t>
        </is>
      </c>
      <c r="C47" s="697" t="inlineStr">
        <is>
          <t>0700</t>
        </is>
      </c>
      <c r="D47" s="698" t="inlineStr">
        <is>
          <t>Tencent - 8</t>
        </is>
      </c>
      <c r="E47" s="699" t="n">
        <v>130</v>
      </c>
      <c r="F47" s="700" t="inlineStr">
        <is>
          <t>/</t>
        </is>
      </c>
      <c r="G47" s="701" t="n">
        <v>260</v>
      </c>
      <c r="H47" s="702" t="inlineStr">
        <is>
          <t>636.0000</t>
        </is>
      </c>
      <c r="I47" s="703" t="inlineStr">
        <is>
          <t>565.4040</t>
        </is>
      </c>
      <c r="J47" s="702" t="inlineStr">
        <is>
          <t>699.6000</t>
        </is>
      </c>
      <c r="K47" s="704" t="n">
        <v>176</v>
      </c>
      <c r="L47" s="705">
        <f>M47-K47</f>
        <v/>
      </c>
      <c r="M47" s="705" t="n">
        <v>244</v>
      </c>
      <c r="N47" s="706" t="inlineStr">
        <is>
          <t>27-Oct-2025</t>
        </is>
      </c>
      <c r="O47" s="706" t="inlineStr">
        <is>
          <t>23-Oct-2026</t>
        </is>
      </c>
      <c r="P47" s="707" t="n"/>
      <c r="Q47" s="708">
        <f>E47*L47*X47</f>
        <v/>
      </c>
      <c r="R47" s="709">
        <f>E47*I47*L47*X47</f>
        <v/>
      </c>
      <c r="S47" s="707" t="n"/>
      <c r="T47" s="709">
        <f>E47*I47*20*X47</f>
        <v/>
      </c>
      <c r="U47" s="0" t="n">
        <v>413</v>
      </c>
      <c r="V47" s="282" t="n">
        <v>0</v>
      </c>
      <c r="W47" s="282" t="n">
        <v>30</v>
      </c>
      <c r="X47" s="0" t="n">
        <v>2</v>
      </c>
      <c r="Y47" s="154">
        <f>X47*V47*E47*I47</f>
        <v/>
      </c>
      <c r="Z47" s="154">
        <f>X47*W47*E47*I47</f>
        <v/>
      </c>
      <c r="AB47" s="155">
        <f>MONTH(O47)</f>
        <v/>
      </c>
      <c r="AC47" s="155">
        <f>YEAR(O47)</f>
        <v/>
      </c>
      <c r="AD47" s="642">
        <f>AB47&amp;"-"&amp;AC47&amp;"-"&amp;C47</f>
        <v/>
      </c>
      <c r="AE47" s="642">
        <f>C47</f>
        <v/>
      </c>
      <c r="AF47" s="685">
        <f>MATCH(AE47,ALLM!C$2:C$13,)</f>
        <v/>
      </c>
    </row>
    <row r="48">
      <c r="A48" s="695">
        <f>IF(B48&lt;&gt;"",INDIRECT(ADDRESS(ROW()-1,COLUMN()))+1,0)</f>
        <v/>
      </c>
      <c r="B48" s="696" t="inlineStr">
        <is>
          <t>Alibaba</t>
        </is>
      </c>
      <c r="C48" s="697" t="inlineStr">
        <is>
          <t>9988</t>
        </is>
      </c>
      <c r="D48" s="698" t="inlineStr">
        <is>
          <t>Alibaba - 7</t>
        </is>
      </c>
      <c r="E48" s="699" t="n">
        <v>300</v>
      </c>
      <c r="F48" s="700" t="inlineStr">
        <is>
          <t>/</t>
        </is>
      </c>
      <c r="G48" s="701" t="n">
        <v>600</v>
      </c>
      <c r="H48" s="702" t="inlineStr">
        <is>
          <t>172.8593</t>
        </is>
      </c>
      <c r="I48" s="703" t="inlineStr">
        <is>
          <t>145.7204</t>
        </is>
      </c>
      <c r="J48" s="702" t="inlineStr">
        <is>
          <t>181.5023</t>
        </is>
      </c>
      <c r="K48" s="704" t="n">
        <v>177</v>
      </c>
      <c r="L48" s="705">
        <f>M48-K48</f>
        <v/>
      </c>
      <c r="M48" s="705" t="n">
        <v>245</v>
      </c>
      <c r="N48" s="706" t="inlineStr">
        <is>
          <t>31-Oct-2025</t>
        </is>
      </c>
      <c r="O48" s="706" t="inlineStr">
        <is>
          <t>29-Oct-2026</t>
        </is>
      </c>
      <c r="P48" s="707" t="n"/>
      <c r="Q48" s="708">
        <f>E48*L48*X48</f>
        <v/>
      </c>
      <c r="R48" s="709">
        <f>E48*I48*L48*X48</f>
        <v/>
      </c>
      <c r="S48" s="707" t="n"/>
      <c r="T48" s="709">
        <f>E48*I48*20*X48</f>
        <v/>
      </c>
      <c r="U48" s="0" t="n">
        <v>413</v>
      </c>
      <c r="V48" s="282" t="n">
        <v>0</v>
      </c>
      <c r="W48" s="282" t="n">
        <v>20</v>
      </c>
      <c r="X48" s="0" t="n">
        <v>2</v>
      </c>
      <c r="Y48" s="154">
        <f>X48*V48*E48*I48</f>
        <v/>
      </c>
      <c r="Z48" s="154">
        <f>X48*W48*E48*I48</f>
        <v/>
      </c>
      <c r="AB48" s="155">
        <f>MONTH(O48)</f>
        <v/>
      </c>
      <c r="AC48" s="155">
        <f>YEAR(O48)</f>
        <v/>
      </c>
      <c r="AD48" s="642">
        <f>AB48&amp;"-"&amp;AC48&amp;"-"&amp;C48</f>
        <v/>
      </c>
      <c r="AE48" s="642">
        <f>C48</f>
        <v/>
      </c>
      <c r="AF48" s="685">
        <f>MATCH(AE48,ALLM!C$2:C$13,)</f>
        <v/>
      </c>
    </row>
    <row r="49">
      <c r="A49" s="695">
        <f>IF(B49&lt;&gt;"",INDIRECT(ADDRESS(ROW()-1,COLUMN()))+1,0)</f>
        <v/>
      </c>
      <c r="B49" s="696" t="inlineStr">
        <is>
          <t>Tencent</t>
        </is>
      </c>
      <c r="C49" s="697" t="inlineStr">
        <is>
          <t>0700</t>
        </is>
      </c>
      <c r="D49" s="698" t="inlineStr">
        <is>
          <t>Tencent - 10</t>
        </is>
      </c>
      <c r="E49" s="699" t="n">
        <v>100</v>
      </c>
      <c r="F49" s="700" t="inlineStr">
        <is>
          <t>/</t>
        </is>
      </c>
      <c r="G49" s="701" t="n">
        <v>200</v>
      </c>
      <c r="H49" s="702" t="inlineStr">
        <is>
          <t>619.5000</t>
        </is>
      </c>
      <c r="I49" s="703" t="inlineStr">
        <is>
          <t>557.7978</t>
        </is>
      </c>
      <c r="J49" s="702" t="inlineStr">
        <is>
          <t>650.4750</t>
        </is>
      </c>
      <c r="K49" s="704" t="n">
        <v>130</v>
      </c>
      <c r="L49" s="705">
        <f>M49-K49</f>
        <v/>
      </c>
      <c r="M49" s="705" t="n">
        <v>311</v>
      </c>
      <c r="N49" s="706" t="inlineStr">
        <is>
          <t>13-Jan-2026</t>
        </is>
      </c>
      <c r="O49" s="706" t="inlineStr">
        <is>
          <t>19-Apr-2027</t>
        </is>
      </c>
      <c r="P49" s="707" t="n"/>
      <c r="Q49" s="708">
        <f>E49*L49*X49</f>
        <v/>
      </c>
      <c r="R49" s="709">
        <f>E49*I49*L49*X49</f>
        <v/>
      </c>
      <c r="S49" s="707" t="n"/>
      <c r="T49" s="709">
        <f>E49*I49*20*X49</f>
        <v/>
      </c>
      <c r="U49" s="0" t="n">
        <v>413</v>
      </c>
      <c r="V49" s="282" t="n">
        <v>0</v>
      </c>
      <c r="W49" s="282" t="n">
        <v>20</v>
      </c>
      <c r="X49" s="0" t="n">
        <v>2</v>
      </c>
      <c r="Y49" s="154">
        <f>X49*V49*E49*I49</f>
        <v/>
      </c>
      <c r="Z49" s="154">
        <f>X49*W49*E49*I49</f>
        <v/>
      </c>
      <c r="AB49" s="155">
        <f>MONTH(O49)</f>
        <v/>
      </c>
      <c r="AC49" s="155">
        <f>YEAR(O49)</f>
        <v/>
      </c>
      <c r="AD49" s="642">
        <f>AB49&amp;"-"&amp;AC49&amp;"-"&amp;C49</f>
        <v/>
      </c>
      <c r="AE49" s="642">
        <f>C49</f>
        <v/>
      </c>
      <c r="AF49" s="685">
        <f>MATCH(AE49,ALLM!C$2:C$13,)</f>
        <v/>
      </c>
    </row>
    <row r="50">
      <c r="A50" s="695">
        <f>IF(B50&lt;&gt;"",INDIRECT(ADDRESS(ROW()-1,COLUMN()))+1,0)</f>
        <v/>
      </c>
      <c r="B50" s="696" t="inlineStr">
        <is>
          <t>Geely Motor</t>
        </is>
      </c>
      <c r="C50" s="697" t="inlineStr">
        <is>
          <t>0175</t>
        </is>
      </c>
      <c r="D50" s="698" t="inlineStr">
        <is>
          <t>Geely Motor - 14</t>
        </is>
      </c>
      <c r="E50" s="699" t="n">
        <v>1200</v>
      </c>
      <c r="F50" s="700" t="inlineStr">
        <is>
          <t>/</t>
        </is>
      </c>
      <c r="G50" s="701" t="n">
        <v>2400</v>
      </c>
      <c r="H50" s="702" t="inlineStr">
        <is>
          <t>25.0542</t>
        </is>
      </c>
      <c r="I50" s="703" t="inlineStr">
        <is>
          <t>20.5044</t>
        </is>
      </c>
      <c r="J50" s="702" t="inlineStr">
        <is>
          <t>26.3069</t>
        </is>
      </c>
      <c r="K50" s="704" t="n">
        <v>66</v>
      </c>
      <c r="L50" s="705">
        <f>M50-K50</f>
        <v/>
      </c>
      <c r="M50" s="705" t="n">
        <v>247</v>
      </c>
      <c r="N50" s="706" t="inlineStr">
        <is>
          <t>14-Apr-2026</t>
        </is>
      </c>
      <c r="O50" s="706" t="inlineStr">
        <is>
          <t>14-Apr-2027</t>
        </is>
      </c>
      <c r="P50" s="707" t="n"/>
      <c r="Q50" s="708">
        <f>E50*L50*X50</f>
        <v/>
      </c>
      <c r="R50" s="709">
        <f>E50*I50*L50*X50</f>
        <v/>
      </c>
      <c r="S50" s="707" t="n"/>
      <c r="T50" s="709">
        <f>E50*I50*20*X50</f>
        <v/>
      </c>
      <c r="U50" s="0" t="n">
        <v>413</v>
      </c>
      <c r="V50" s="282" t="n">
        <v>0</v>
      </c>
      <c r="W50" s="282" t="n">
        <v>20</v>
      </c>
      <c r="X50" s="0" t="n">
        <v>2</v>
      </c>
      <c r="Y50" s="154">
        <f>X50*V50*E50*I50</f>
        <v/>
      </c>
      <c r="Z50" s="154">
        <f>X50*W50*E50*I50</f>
        <v/>
      </c>
      <c r="AB50" s="155">
        <f>MONTH(O50)</f>
        <v/>
      </c>
      <c r="AC50" s="155">
        <f>YEAR(O50)</f>
        <v/>
      </c>
      <c r="AD50" s="642">
        <f>AB50&amp;"-"&amp;AC50&amp;"-"&amp;C50</f>
        <v/>
      </c>
      <c r="AE50" s="642">
        <f>C50</f>
        <v/>
      </c>
      <c r="AF50" s="685">
        <f>MATCH(AE50,ALLM!C$2:C$13,)</f>
        <v/>
      </c>
    </row>
    <row r="51">
      <c r="A51" s="695">
        <f>IF(B51&lt;&gt;"",INDIRECT(ADDRESS(ROW()-1,COLUMN()))+1,0)</f>
        <v/>
      </c>
      <c r="B51" s="696" t="inlineStr">
        <is>
          <t>China Molybdenum</t>
        </is>
      </c>
      <c r="C51" s="697" t="inlineStr">
        <is>
          <t>3993</t>
        </is>
      </c>
      <c r="D51" s="698" t="inlineStr">
        <is>
          <t>China Molybdenum - 19</t>
        </is>
      </c>
      <c r="E51" s="710" t="n">
        <v>3000</v>
      </c>
      <c r="F51" s="700" t="inlineStr">
        <is>
          <t>/</t>
        </is>
      </c>
      <c r="G51" s="711" t="n">
        <v>6000</v>
      </c>
      <c r="H51" s="702" t="inlineStr">
        <is>
          <t>20.0200</t>
        </is>
      </c>
      <c r="I51" s="703" t="inlineStr">
        <is>
          <t>15.4454</t>
        </is>
      </c>
      <c r="J51" s="702" t="inlineStr">
        <is>
          <t>23.0230</t>
        </is>
      </c>
      <c r="K51" s="704" t="n">
        <v>47</v>
      </c>
      <c r="L51" s="705">
        <f>M51-K51</f>
        <v/>
      </c>
      <c r="M51" s="705" t="n">
        <v>248</v>
      </c>
      <c r="N51" s="706" t="inlineStr">
        <is>
          <t>12-May-2026</t>
        </is>
      </c>
      <c r="O51" s="706" t="inlineStr">
        <is>
          <t>10-May-2027</t>
        </is>
      </c>
      <c r="P51" s="707" t="n"/>
      <c r="Q51" s="708">
        <f>E51*L51*X51</f>
        <v/>
      </c>
      <c r="R51" s="709">
        <f>E51*I51*L51*X51</f>
        <v/>
      </c>
      <c r="S51" s="707" t="n"/>
      <c r="T51" s="709">
        <f>E51*I51*20*X51</f>
        <v/>
      </c>
      <c r="U51" s="0" t="n">
        <v>413</v>
      </c>
      <c r="V51" s="282" t="n">
        <v>0</v>
      </c>
      <c r="W51" s="282" t="n">
        <v>20</v>
      </c>
      <c r="X51" s="0" t="n">
        <v>1</v>
      </c>
      <c r="Y51" s="154">
        <f>X51*V51*E51*I51</f>
        <v/>
      </c>
      <c r="Z51" s="154">
        <f>X51*W51*E51*I51</f>
        <v/>
      </c>
      <c r="AB51" s="155">
        <f>MONTH(O51)</f>
        <v/>
      </c>
      <c r="AC51" s="155">
        <f>YEAR(O51)</f>
        <v/>
      </c>
      <c r="AD51" s="642">
        <f>AB51&amp;"-"&amp;AC51&amp;"-"&amp;C51</f>
        <v/>
      </c>
      <c r="AE51" s="642">
        <f>C51</f>
        <v/>
      </c>
      <c r="AF51" s="685">
        <f>MATCH(AE51,ALLM!C$2:C$13,)</f>
        <v/>
      </c>
    </row>
    <row r="52">
      <c r="A52" s="695">
        <f>IF(B52&lt;&gt;"",INDIRECT(ADDRESS(ROW()-1,COLUMN()))+1,0)</f>
        <v/>
      </c>
      <c r="B52" s="696" t="inlineStr">
        <is>
          <t>HK Exchange</t>
        </is>
      </c>
      <c r="C52" s="697" t="inlineStr">
        <is>
          <t>0388</t>
        </is>
      </c>
      <c r="D52" s="698" t="inlineStr">
        <is>
          <t>HK EXCHANGE - 18</t>
        </is>
      </c>
      <c r="E52" s="710" t="n">
        <v>200</v>
      </c>
      <c r="F52" s="700" t="inlineStr">
        <is>
          <t>/</t>
        </is>
      </c>
      <c r="G52" s="711" t="n">
        <v>400</v>
      </c>
      <c r="H52" s="702" t="inlineStr">
        <is>
          <t>409.6000</t>
        </is>
      </c>
      <c r="I52" s="703" t="inlineStr">
        <is>
          <t>370.6061</t>
        </is>
      </c>
      <c r="J52" s="702" t="inlineStr">
        <is>
          <t>450.5600</t>
        </is>
      </c>
      <c r="K52" s="704" t="n">
        <v>47</v>
      </c>
      <c r="L52" s="705">
        <f>M52-K52</f>
        <v/>
      </c>
      <c r="M52" s="705" t="n">
        <v>247</v>
      </c>
      <c r="N52" s="706" t="inlineStr">
        <is>
          <t>20-May-2026</t>
        </is>
      </c>
      <c r="O52" s="706" t="inlineStr">
        <is>
          <t>18-May-2027</t>
        </is>
      </c>
      <c r="P52" s="707" t="n"/>
      <c r="Q52" s="708">
        <f>E52*L52*X52</f>
        <v/>
      </c>
      <c r="R52" s="709">
        <f>E52*I52*L52*X52</f>
        <v/>
      </c>
      <c r="S52" s="707" t="n"/>
      <c r="T52" s="709">
        <f>E52*I52*20*X52</f>
        <v/>
      </c>
      <c r="U52" s="0" t="n">
        <v>413</v>
      </c>
      <c r="V52" s="282" t="n">
        <v>0</v>
      </c>
      <c r="W52" s="282" t="n">
        <v>20</v>
      </c>
      <c r="X52" s="0" t="n">
        <v>1</v>
      </c>
      <c r="Y52" s="154">
        <f>X52*V52*E52*I52</f>
        <v/>
      </c>
      <c r="Z52" s="154">
        <f>X52*W52*E52*I52</f>
        <v/>
      </c>
      <c r="AB52" s="155">
        <f>MONTH(O52)</f>
        <v/>
      </c>
      <c r="AC52" s="155">
        <f>YEAR(O52)</f>
        <v/>
      </c>
      <c r="AD52" s="642">
        <f>AB52&amp;"-"&amp;AC52&amp;"-"&amp;C52</f>
        <v/>
      </c>
      <c r="AE52" s="642">
        <f>C52</f>
        <v/>
      </c>
      <c r="AF52" s="685">
        <f>MATCH(AE52,ALLM!C$2:C$13,)</f>
        <v/>
      </c>
    </row>
    <row r="53"/>
    <row r="54" ht="18" customFormat="1" customHeight="1" s="353">
      <c r="A54" s="1" t="n"/>
      <c r="H54" s="255" t="n"/>
      <c r="I54" s="260" t="n"/>
      <c r="J54" s="255" t="n"/>
      <c r="K54" s="1" t="n"/>
      <c r="L54" s="54" t="n"/>
      <c r="M54" s="54" t="n"/>
      <c r="N54" s="394" t="n"/>
      <c r="O54" s="385" t="inlineStr">
        <is>
          <t>Deutsche Bank (Personal) Total</t>
        </is>
      </c>
      <c r="P54" s="381" t="n"/>
      <c r="Q54" s="49">
        <f>SUM(Q45:Q53)</f>
        <v/>
      </c>
      <c r="R54" s="712">
        <f>SUM(R45:R53)</f>
        <v/>
      </c>
      <c r="S54" s="381" t="n"/>
      <c r="T54" s="712">
        <f>SUM(T45:T53)</f>
        <v/>
      </c>
      <c r="V54" s="687" t="n"/>
      <c r="W54" s="687" t="n"/>
      <c r="X54" s="102" t="n"/>
      <c r="Y54" s="43" t="n"/>
      <c r="Z54" s="43" t="n"/>
      <c r="AB54" s="102" t="n"/>
      <c r="AC54" s="102" t="n"/>
    </row>
    <row r="55" ht="15.6" customHeight="1" s="671">
      <c r="R55" s="688" t="inlineStr">
        <is>
          <t>HKD</t>
        </is>
      </c>
      <c r="S55" s="688" t="n"/>
      <c r="T55" s="688" t="inlineStr">
        <is>
          <t>HKD</t>
        </is>
      </c>
    </row>
    <row r="56" ht="0.75" customHeight="1" s="671">
      <c r="R56" s="688" t="n"/>
      <c r="S56" s="688" t="n"/>
      <c r="T56" s="688" t="n"/>
    </row>
    <row r="57" ht="21" customHeight="1" s="671">
      <c r="A57" s="53" t="inlineStr">
        <is>
          <t>NOMURA SINGAPORE</t>
        </is>
      </c>
      <c r="B57" s="52" t="n"/>
      <c r="C57" s="412" t="n"/>
      <c r="D57" s="412" t="n"/>
      <c r="E57" s="713" t="n"/>
      <c r="F57" s="713" t="n"/>
      <c r="G57" s="713" t="n"/>
      <c r="H57" s="261" t="n"/>
      <c r="I57" s="262" t="n"/>
      <c r="J57" s="263" t="n"/>
      <c r="K57" s="49" t="n"/>
      <c r="L57" s="49" t="n"/>
      <c r="M57" s="49" t="n"/>
      <c r="N57" s="645" t="n"/>
      <c r="O57" s="645" t="n"/>
      <c r="P57" s="645" t="n"/>
      <c r="Q57" s="645" t="n"/>
      <c r="R57" s="645" t="n"/>
    </row>
    <row r="58" ht="10.5" customHeight="1" s="671">
      <c r="A58" s="51" t="n"/>
      <c r="B58" s="50" t="n"/>
      <c r="C58" s="414" t="n"/>
      <c r="D58" s="414" t="n"/>
      <c r="E58" s="714" t="n"/>
      <c r="F58" s="714" t="n"/>
      <c r="G58" s="714" t="n"/>
      <c r="H58" s="264" t="n"/>
      <c r="I58" s="265" t="n"/>
      <c r="J58" s="266" t="n"/>
      <c r="K58" s="49" t="n"/>
      <c r="L58" s="49" t="n"/>
      <c r="M58" s="49" t="n"/>
      <c r="N58" s="645" t="n"/>
      <c r="O58" s="645" t="n"/>
      <c r="P58" s="645" t="n"/>
      <c r="Q58" s="645" t="n"/>
      <c r="R58" s="645" t="n"/>
    </row>
    <row r="59" ht="12.75" customHeight="1" s="671">
      <c r="B59" s="640" t="inlineStr">
        <is>
          <t>ACCUMULATOR</t>
        </is>
      </c>
      <c r="C59" s="631" t="inlineStr">
        <is>
          <t>CODE</t>
        </is>
      </c>
      <c r="D59" s="631" t="n"/>
      <c r="E59" s="624" t="inlineStr">
        <is>
          <t>SHARES / DAY</t>
        </is>
      </c>
      <c r="F59" s="625" t="n"/>
      <c r="G59" s="626" t="n"/>
      <c r="H59" s="633" t="inlineStr">
        <is>
          <t>SPOT PRICE</t>
        </is>
      </c>
      <c r="I59" s="633" t="inlineStr">
        <is>
          <t>STRIKE PRICE</t>
        </is>
      </c>
      <c r="J59" s="633" t="inlineStr">
        <is>
          <t>K/O PRICE</t>
        </is>
      </c>
      <c r="K59" s="637" t="inlineStr">
        <is>
          <t>LIFE TERM OF CONTRACT</t>
        </is>
      </c>
      <c r="L59" s="638" t="n"/>
      <c r="M59" s="639" t="n"/>
      <c r="N59" s="622" t="inlineStr">
        <is>
          <t>START DATE</t>
        </is>
      </c>
      <c r="O59" s="622" t="inlineStr">
        <is>
          <t>END DATE</t>
        </is>
      </c>
      <c r="P59" s="682" t="n"/>
      <c r="Q59" s="632" t="inlineStr">
        <is>
          <t>Estimated Total Shares Remaining</t>
        </is>
      </c>
      <c r="R59" s="683" t="inlineStr">
        <is>
          <t>Estimated Amount</t>
        </is>
      </c>
      <c r="S59" s="682" t="n"/>
      <c r="T59" s="683" t="inlineStr">
        <is>
          <t>Estimated Amount per month</t>
        </is>
      </c>
    </row>
    <row r="60" ht="20.45" customHeight="1" s="671">
      <c r="B60" s="623" t="n"/>
      <c r="C60" s="623" t="n"/>
      <c r="D60" s="390" t="inlineStr">
        <is>
          <t>NSG</t>
        </is>
      </c>
      <c r="E60" s="627" t="n"/>
      <c r="F60" s="628" t="n"/>
      <c r="G60" s="629" t="n"/>
      <c r="H60" s="623" t="n"/>
      <c r="I60" s="623" t="n"/>
      <c r="J60" s="623" t="n"/>
      <c r="K60" s="637" t="inlineStr">
        <is>
          <t>RCVD DAYS</t>
        </is>
      </c>
      <c r="L60" s="637" t="inlineStr">
        <is>
          <t>REM DAYS</t>
        </is>
      </c>
      <c r="M60" s="637" t="inlineStr">
        <is>
          <t>Total DAYS</t>
        </is>
      </c>
      <c r="N60" s="623" t="n"/>
      <c r="O60" s="623" t="n"/>
      <c r="P60" s="682" t="n"/>
      <c r="Q60" s="623" t="n"/>
      <c r="R60" s="623" t="n"/>
      <c r="S60" s="682" t="n"/>
      <c r="T60" s="623" t="n"/>
    </row>
    <row r="61">
      <c r="A61" s="695">
        <f>IF(B61&lt;&gt;"",INDIRECT(ADDRESS(ROW()-1,COLUMN()))+1,0)</f>
        <v/>
      </c>
      <c r="B61" s="715" t="inlineStr">
        <is>
          <t>Alibaba</t>
        </is>
      </c>
      <c r="C61" s="697" t="inlineStr">
        <is>
          <t>9988</t>
        </is>
      </c>
      <c r="D61" s="716" t="inlineStr">
        <is>
          <t>Alibaba - 4</t>
        </is>
      </c>
      <c r="E61" s="700" t="n">
        <v>300</v>
      </c>
      <c r="F61" s="717" t="inlineStr">
        <is>
          <t>/</t>
        </is>
      </c>
      <c r="G61" s="718" t="n">
        <v>600</v>
      </c>
      <c r="H61" s="702" t="inlineStr">
        <is>
          <t>173.1985</t>
        </is>
      </c>
      <c r="I61" s="703" t="inlineStr">
        <is>
          <t>145.3309</t>
        </is>
      </c>
      <c r="J61" s="702" t="inlineStr">
        <is>
          <t>181.8584</t>
        </is>
      </c>
      <c r="K61" s="704" t="n">
        <v>182</v>
      </c>
      <c r="L61" s="705">
        <f>M61-K61</f>
        <v/>
      </c>
      <c r="M61" s="705" t="n">
        <v>246</v>
      </c>
      <c r="N61" s="719" t="inlineStr">
        <is>
          <t>31-Oct-2025</t>
        </is>
      </c>
      <c r="O61" s="719" t="inlineStr">
        <is>
          <t>30-Oct-2026</t>
        </is>
      </c>
      <c r="P61" s="720" t="n"/>
      <c r="Q61" s="708">
        <f>E61*L61*X61</f>
        <v/>
      </c>
      <c r="R61" s="709">
        <f>E61*I61*L61*X61</f>
        <v/>
      </c>
      <c r="S61" s="707" t="n"/>
      <c r="T61" s="709">
        <f>E61*I61*20*X61</f>
        <v/>
      </c>
      <c r="U61" s="0" t="n">
        <v>425.2</v>
      </c>
      <c r="V61" s="282" t="n">
        <v>0</v>
      </c>
      <c r="W61" s="282" t="n">
        <v>0</v>
      </c>
      <c r="X61" s="0" t="n">
        <v>2</v>
      </c>
      <c r="Y61" s="154">
        <f>X61*V61*E61*I61</f>
        <v/>
      </c>
      <c r="Z61" s="154">
        <f>X61*W61*E61*I61</f>
        <v/>
      </c>
      <c r="AB61" s="155">
        <f>MONTH(O61)</f>
        <v/>
      </c>
      <c r="AC61" s="155">
        <f>YEAR(O61)</f>
        <v/>
      </c>
      <c r="AD61" s="642">
        <f>AB61&amp;"-"&amp;AC61&amp;"-"&amp;C61</f>
        <v/>
      </c>
      <c r="AE61" s="642">
        <f>C61</f>
        <v/>
      </c>
      <c r="AF61" s="685">
        <f>MATCH(AE61,ALLM!C$2:C$13,)</f>
        <v/>
      </c>
    </row>
    <row r="62">
      <c r="A62" s="695">
        <f>IF(B62&lt;&gt;"",INDIRECT(ADDRESS(ROW()-1,COLUMN()))+1,0)</f>
        <v/>
      </c>
      <c r="B62" s="715" t="inlineStr">
        <is>
          <t>Tencent</t>
        </is>
      </c>
      <c r="C62" s="697" t="inlineStr">
        <is>
          <t>0700</t>
        </is>
      </c>
      <c r="D62" s="716" t="inlineStr">
        <is>
          <t>Tencent - 3</t>
        </is>
      </c>
      <c r="E62" s="700" t="n">
        <v>150</v>
      </c>
      <c r="F62" s="717" t="inlineStr">
        <is>
          <t>/</t>
        </is>
      </c>
      <c r="G62" s="718" t="n">
        <v>300</v>
      </c>
      <c r="H62" s="702" t="inlineStr">
        <is>
          <t>626.0000</t>
        </is>
      </c>
      <c r="I62" s="703" t="inlineStr">
        <is>
          <t>574.5428</t>
        </is>
      </c>
      <c r="J62" s="702" t="inlineStr">
        <is>
          <t>657.3000</t>
        </is>
      </c>
      <c r="K62" s="704" t="n">
        <v>120</v>
      </c>
      <c r="L62" s="705">
        <f>M62-K62</f>
        <v/>
      </c>
      <c r="M62" s="705" t="n">
        <v>247</v>
      </c>
      <c r="N62" s="719" t="inlineStr">
        <is>
          <t>6-Jan-2026</t>
        </is>
      </c>
      <c r="O62" s="719" t="inlineStr">
        <is>
          <t>5-Jan-2027</t>
        </is>
      </c>
      <c r="P62" s="720" t="n"/>
      <c r="Q62" s="708">
        <f>E62*L62*X62</f>
        <v/>
      </c>
      <c r="R62" s="709">
        <f>E62*I62*L62*X62</f>
        <v/>
      </c>
      <c r="S62" s="707" t="n"/>
      <c r="T62" s="709">
        <f>E62*I62*20*X62</f>
        <v/>
      </c>
      <c r="U62" s="0" t="n">
        <v>425.2</v>
      </c>
      <c r="V62" s="282" t="n">
        <v>0</v>
      </c>
      <c r="W62" s="282" t="n">
        <v>22</v>
      </c>
      <c r="X62" s="0" t="n">
        <v>2</v>
      </c>
      <c r="Y62" s="154">
        <f>X62*V62*E62*I62</f>
        <v/>
      </c>
      <c r="Z62" s="154">
        <f>X62*W62*E62*I62</f>
        <v/>
      </c>
      <c r="AB62" s="155">
        <f>MONTH(O62)</f>
        <v/>
      </c>
      <c r="AC62" s="155">
        <f>YEAR(O62)</f>
        <v/>
      </c>
      <c r="AD62" s="642">
        <f>AB62&amp;"-"&amp;AC62&amp;"-"&amp;C62</f>
        <v/>
      </c>
      <c r="AE62" s="642">
        <f>C62</f>
        <v/>
      </c>
      <c r="AF62" s="685">
        <f>MATCH(AE62,ALLM!C$2:C$13,)</f>
        <v/>
      </c>
    </row>
    <row r="63">
      <c r="A63" s="695">
        <f>IF(B63&lt;&gt;"",INDIRECT(ADDRESS(ROW()-1,COLUMN()))+1,0)</f>
        <v/>
      </c>
      <c r="B63" s="715" t="inlineStr">
        <is>
          <t>China Molybdenum</t>
        </is>
      </c>
      <c r="C63" s="697" t="inlineStr">
        <is>
          <t>3993</t>
        </is>
      </c>
      <c r="D63" s="716" t="inlineStr">
        <is>
          <t>China Molybdenum - 10</t>
        </is>
      </c>
      <c r="E63" s="700" t="n">
        <v>1700</v>
      </c>
      <c r="F63" s="717" t="inlineStr">
        <is>
          <t>/</t>
        </is>
      </c>
      <c r="G63" s="718" t="n">
        <v>3400</v>
      </c>
      <c r="H63" s="702" t="inlineStr">
        <is>
          <t>24.7000</t>
        </is>
      </c>
      <c r="I63" s="703" t="inlineStr">
        <is>
          <t>21.0246</t>
        </is>
      </c>
      <c r="J63" s="702" t="inlineStr">
        <is>
          <t>25.9350</t>
        </is>
      </c>
      <c r="K63" s="704" t="n">
        <v>101</v>
      </c>
      <c r="L63" s="705">
        <f>M63-K63</f>
        <v/>
      </c>
      <c r="M63" s="705" t="n">
        <v>248</v>
      </c>
      <c r="N63" s="719" t="inlineStr">
        <is>
          <t>26-Feb-2026</t>
        </is>
      </c>
      <c r="O63" s="719" t="inlineStr">
        <is>
          <t>25-Feb-2027</t>
        </is>
      </c>
      <c r="P63" s="720" t="n"/>
      <c r="Q63" s="708">
        <f>E63*L63*X63</f>
        <v/>
      </c>
      <c r="R63" s="709">
        <f>E63*I63*L63*X63</f>
        <v/>
      </c>
      <c r="S63" s="707" t="n"/>
      <c r="T63" s="709">
        <f>E63*I63*20*X63</f>
        <v/>
      </c>
      <c r="U63" s="0" t="n">
        <v>425.2</v>
      </c>
      <c r="V63" s="282" t="n">
        <v>0</v>
      </c>
      <c r="W63" s="282" t="n">
        <v>21</v>
      </c>
      <c r="X63" s="0" t="n">
        <v>2</v>
      </c>
      <c r="Y63" s="154">
        <f>X63*V63*E63*I63</f>
        <v/>
      </c>
      <c r="Z63" s="154">
        <f>X63*W63*E63*I63</f>
        <v/>
      </c>
      <c r="AB63" s="155">
        <f>MONTH(O63)</f>
        <v/>
      </c>
      <c r="AC63" s="155">
        <f>YEAR(O63)</f>
        <v/>
      </c>
      <c r="AD63" s="642">
        <f>AB63&amp;"-"&amp;AC63&amp;"-"&amp;C63</f>
        <v/>
      </c>
      <c r="AE63" s="642">
        <f>C63</f>
        <v/>
      </c>
      <c r="AF63" s="685">
        <f>MATCH(AE63,ALLM!C$2:C$13,)</f>
        <v/>
      </c>
    </row>
    <row r="64">
      <c r="A64" s="695">
        <f>IF(B64&lt;&gt;"",INDIRECT(ADDRESS(ROW()-1,COLUMN()))+1,0)</f>
        <v/>
      </c>
      <c r="B64" s="715" t="inlineStr">
        <is>
          <t>China Molybdenum</t>
        </is>
      </c>
      <c r="C64" s="697" t="inlineStr">
        <is>
          <t>3993</t>
        </is>
      </c>
      <c r="D64" s="716" t="inlineStr">
        <is>
          <t>China Molybdenum - 11</t>
        </is>
      </c>
      <c r="E64" s="700" t="n">
        <v>3500</v>
      </c>
      <c r="F64" s="717" t="inlineStr">
        <is>
          <t>/</t>
        </is>
      </c>
      <c r="G64" s="718" t="n">
        <v>7000</v>
      </c>
      <c r="H64" s="702" t="inlineStr">
        <is>
          <t>21.5645</t>
        </is>
      </c>
      <c r="I64" s="703" t="inlineStr">
        <is>
          <t>17.5794</t>
        </is>
      </c>
      <c r="J64" s="702" t="inlineStr">
        <is>
          <t>23.7209</t>
        </is>
      </c>
      <c r="K64" s="704" t="n">
        <v>79</v>
      </c>
      <c r="L64" s="705">
        <f>M64-K64</f>
        <v/>
      </c>
      <c r="M64" s="705" t="n">
        <v>187</v>
      </c>
      <c r="N64" s="719" t="inlineStr">
        <is>
          <t>9-Mar-2026</t>
        </is>
      </c>
      <c r="O64" s="719" t="inlineStr">
        <is>
          <t>7-Dec-2026</t>
        </is>
      </c>
      <c r="P64" s="720" t="n"/>
      <c r="Q64" s="708">
        <f>E64*L64*X64</f>
        <v/>
      </c>
      <c r="R64" s="709">
        <f>E64*I64*L64*X64</f>
        <v/>
      </c>
      <c r="S64" s="707" t="n"/>
      <c r="T64" s="709">
        <f>E64*I64*20*X64</f>
        <v/>
      </c>
      <c r="U64" s="0" t="n">
        <v>425.2</v>
      </c>
      <c r="V64" s="282" t="n">
        <v>0</v>
      </c>
      <c r="W64" s="282" t="n">
        <v>23</v>
      </c>
      <c r="X64" s="0" t="n">
        <v>2</v>
      </c>
      <c r="Y64" s="154">
        <f>X64*V64*E64*I64</f>
        <v/>
      </c>
      <c r="Z64" s="154">
        <f>X64*W64*E64*I64</f>
        <v/>
      </c>
      <c r="AB64" s="155">
        <f>MONTH(O64)</f>
        <v/>
      </c>
      <c r="AC64" s="155">
        <f>YEAR(O64)</f>
        <v/>
      </c>
      <c r="AD64" s="642">
        <f>AB64&amp;"-"&amp;AC64&amp;"-"&amp;C64</f>
        <v/>
      </c>
      <c r="AE64" s="642">
        <f>C64</f>
        <v/>
      </c>
      <c r="AF64" s="685">
        <f>MATCH(AE64,ALLM!C$2:C$13,)</f>
        <v/>
      </c>
    </row>
    <row r="65">
      <c r="A65" s="695">
        <f>IF(B65&lt;&gt;"",INDIRECT(ADDRESS(ROW()-1,COLUMN()))+1,0)</f>
        <v/>
      </c>
      <c r="B65" s="715" t="inlineStr">
        <is>
          <t>China Molybdenum</t>
        </is>
      </c>
      <c r="C65" s="697" t="inlineStr">
        <is>
          <t>3993</t>
        </is>
      </c>
      <c r="D65" s="716" t="inlineStr">
        <is>
          <t>China Molybdenum - 13</t>
        </is>
      </c>
      <c r="E65" s="700" t="n">
        <v>2000</v>
      </c>
      <c r="F65" s="717" t="inlineStr">
        <is>
          <t>/</t>
        </is>
      </c>
      <c r="G65" s="718" t="n">
        <v>4000</v>
      </c>
      <c r="H65" s="702" t="inlineStr">
        <is>
          <t>19.9303</t>
        </is>
      </c>
      <c r="I65" s="703" t="inlineStr">
        <is>
          <t>16.6538</t>
        </is>
      </c>
      <c r="J65" s="702" t="inlineStr">
        <is>
          <t>20.5282</t>
        </is>
      </c>
      <c r="K65" s="704" t="n">
        <v>42</v>
      </c>
      <c r="L65" s="705">
        <f>M65-K65</f>
        <v/>
      </c>
      <c r="M65" s="705" t="n">
        <v>249</v>
      </c>
      <c r="N65" s="719" t="inlineStr">
        <is>
          <t>12-May-2026</t>
        </is>
      </c>
      <c r="O65" s="719" t="inlineStr">
        <is>
          <t>11-May-2027</t>
        </is>
      </c>
      <c r="P65" s="720" t="n"/>
      <c r="Q65" s="708">
        <f>E65*L65*X65</f>
        <v/>
      </c>
      <c r="R65" s="709">
        <f>E65*I65*L65*X65</f>
        <v/>
      </c>
      <c r="S65" s="707" t="n"/>
      <c r="T65" s="709">
        <f>E65*I65*20*X65</f>
        <v/>
      </c>
      <c r="U65" s="0" t="n">
        <v>425.2</v>
      </c>
      <c r="V65" s="282" t="n">
        <v>0</v>
      </c>
      <c r="W65" s="282" t="n">
        <v>21</v>
      </c>
      <c r="X65" s="0" t="n">
        <v>2</v>
      </c>
      <c r="Y65" s="154">
        <f>X65*V65*E65*I65</f>
        <v/>
      </c>
      <c r="Z65" s="154">
        <f>X65*W65*E65*I65</f>
        <v/>
      </c>
      <c r="AB65" s="155">
        <f>MONTH(O65)</f>
        <v/>
      </c>
      <c r="AC65" s="155">
        <f>YEAR(O65)</f>
        <v/>
      </c>
      <c r="AD65" s="642">
        <f>AB65&amp;"-"&amp;AC65&amp;"-"&amp;C65</f>
        <v/>
      </c>
      <c r="AE65" s="642">
        <f>C65</f>
        <v/>
      </c>
      <c r="AF65" s="685">
        <f>MATCH(AE65,ALLM!C$2:C$13,)</f>
        <v/>
      </c>
    </row>
    <row r="66">
      <c r="A66" s="158" t="n"/>
    </row>
    <row r="67" ht="18" customFormat="1" customHeight="1" s="353">
      <c r="A67" s="1" t="n"/>
      <c r="H67" s="255" t="n"/>
      <c r="I67" s="260" t="n"/>
      <c r="J67" s="255" t="n"/>
      <c r="K67" s="1" t="n"/>
      <c r="L67" s="54" t="n"/>
      <c r="M67" s="45" t="n"/>
      <c r="N67" s="394" t="n"/>
      <c r="O67" s="371" t="inlineStr">
        <is>
          <t>Nomura Singapore Total</t>
        </is>
      </c>
      <c r="P67" s="394" t="n"/>
      <c r="Q67" s="44">
        <f>SUM(Q60:Q66)</f>
        <v/>
      </c>
      <c r="R67" s="712">
        <f>SUM(R60:R66)</f>
        <v/>
      </c>
      <c r="S67" s="381" t="n"/>
      <c r="T67" s="712">
        <f>SUM(T60:T66)</f>
        <v/>
      </c>
      <c r="V67" s="687" t="n"/>
      <c r="W67" s="687" t="n"/>
      <c r="X67" s="102" t="n"/>
      <c r="Y67" s="43" t="n"/>
      <c r="Z67" s="43" t="n"/>
      <c r="AB67" s="102" t="n"/>
      <c r="AC67" s="102" t="n"/>
    </row>
    <row r="68" ht="12.75" customHeight="1" s="671">
      <c r="M68" s="39" t="n"/>
      <c r="O68" s="418" t="n"/>
      <c r="R68" s="688" t="inlineStr">
        <is>
          <t>HKD</t>
        </is>
      </c>
      <c r="S68" s="688" t="n"/>
      <c r="T68" s="688" t="inlineStr">
        <is>
          <t>HKD</t>
        </is>
      </c>
    </row>
    <row r="69" ht="21" customHeight="1" s="671">
      <c r="A69" s="80" t="inlineStr">
        <is>
          <t>SUN HUNG KAI Account No. 1</t>
        </is>
      </c>
      <c r="B69" s="52" t="n"/>
      <c r="C69" s="412" t="n"/>
      <c r="D69" s="412" t="n"/>
      <c r="E69" s="713" t="n"/>
      <c r="F69" s="713" t="n"/>
      <c r="G69" s="713" t="n"/>
      <c r="H69" s="261" t="n"/>
      <c r="I69" s="262" t="n"/>
      <c r="J69" s="263" t="n"/>
      <c r="K69" s="49" t="n"/>
      <c r="L69" s="49" t="n"/>
      <c r="M69" s="49" t="n"/>
      <c r="N69" s="645" t="n"/>
      <c r="O69" s="645" t="n"/>
      <c r="P69" s="645" t="n"/>
      <c r="Q69" s="645" t="n"/>
      <c r="R69" s="645" t="n"/>
    </row>
    <row r="70" ht="5.25" customHeight="1" s="671">
      <c r="A70" s="51" t="n"/>
      <c r="B70" s="50" t="n"/>
      <c r="C70" s="414" t="n"/>
      <c r="D70" s="414" t="n"/>
      <c r="E70" s="714" t="n"/>
      <c r="F70" s="714" t="n"/>
      <c r="G70" s="714" t="n"/>
      <c r="H70" s="264" t="n"/>
      <c r="I70" s="265" t="n"/>
      <c r="J70" s="266" t="n"/>
      <c r="K70" s="49" t="n"/>
      <c r="L70" s="49" t="n"/>
      <c r="M70" s="49" t="n"/>
      <c r="N70" s="645" t="n"/>
      <c r="O70" s="645" t="n"/>
      <c r="P70" s="645" t="n"/>
      <c r="Q70" s="645" t="n"/>
      <c r="R70" s="645" t="n"/>
    </row>
    <row r="71" ht="12.75" customHeight="1" s="671">
      <c r="B71" s="640" t="inlineStr">
        <is>
          <t>ACCUMULATOR</t>
        </is>
      </c>
      <c r="C71" s="631" t="inlineStr">
        <is>
          <t>CODE</t>
        </is>
      </c>
      <c r="D71" s="631" t="n"/>
      <c r="E71" s="624" t="inlineStr">
        <is>
          <t>SHARES / DAY</t>
        </is>
      </c>
      <c r="F71" s="625" t="n"/>
      <c r="G71" s="626" t="n"/>
      <c r="H71" s="633" t="inlineStr">
        <is>
          <t>SPOT PRICE</t>
        </is>
      </c>
      <c r="I71" s="633" t="inlineStr">
        <is>
          <t>STRIKE PRICE</t>
        </is>
      </c>
      <c r="J71" s="633" t="inlineStr">
        <is>
          <t>K/O PRICE</t>
        </is>
      </c>
      <c r="K71" s="637" t="inlineStr">
        <is>
          <t>LIFE TERM OF CONTRACT</t>
        </is>
      </c>
      <c r="L71" s="638" t="n"/>
      <c r="M71" s="639" t="n"/>
      <c r="N71" s="622" t="inlineStr">
        <is>
          <t>START DATE</t>
        </is>
      </c>
      <c r="O71" s="622" t="inlineStr">
        <is>
          <t>END DATE</t>
        </is>
      </c>
      <c r="P71" s="682" t="n"/>
      <c r="Q71" s="632" t="inlineStr">
        <is>
          <t>Estimated Total Shares Remaining</t>
        </is>
      </c>
      <c r="R71" s="683" t="inlineStr">
        <is>
          <t>Estimated Amount</t>
        </is>
      </c>
      <c r="S71" s="682" t="n"/>
      <c r="T71" s="683" t="inlineStr">
        <is>
          <t>Estimated Amount per month</t>
        </is>
      </c>
    </row>
    <row r="72" ht="22.5" customHeight="1" s="671">
      <c r="B72" s="623" t="n"/>
      <c r="C72" s="623" t="n"/>
      <c r="D72" s="390" t="inlineStr">
        <is>
          <t>SHK</t>
        </is>
      </c>
      <c r="E72" s="627" t="n"/>
      <c r="F72" s="628" t="n"/>
      <c r="G72" s="629" t="n"/>
      <c r="H72" s="623" t="n"/>
      <c r="I72" s="623" t="n"/>
      <c r="J72" s="623" t="n"/>
      <c r="K72" s="637" t="inlineStr">
        <is>
          <t>RCVD DAYS</t>
        </is>
      </c>
      <c r="L72" s="637" t="inlineStr">
        <is>
          <t>REM DAYS</t>
        </is>
      </c>
      <c r="M72" s="637" t="inlineStr">
        <is>
          <t>Total DAYS</t>
        </is>
      </c>
      <c r="N72" s="623" t="n"/>
      <c r="O72" s="623" t="n"/>
      <c r="P72" s="682" t="n"/>
      <c r="Q72" s="623" t="n"/>
      <c r="R72" s="623" t="n"/>
      <c r="S72" s="682" t="n"/>
      <c r="T72" s="623" t="n"/>
    </row>
    <row r="73">
      <c r="A73" s="695">
        <f>IF(B73&lt;&gt;"",INDIRECT(ADDRESS(ROW()-1,COLUMN()))+1,0)</f>
        <v/>
      </c>
      <c r="B73" s="696" t="inlineStr">
        <is>
          <t>HK Exchange</t>
        </is>
      </c>
      <c r="C73" s="697" t="inlineStr">
        <is>
          <t>0388</t>
        </is>
      </c>
      <c r="D73" s="716" t="inlineStr">
        <is>
          <t>HK EXCHANGE - 28</t>
        </is>
      </c>
      <c r="E73" s="721" t="n">
        <v>145</v>
      </c>
      <c r="F73" s="717" t="inlineStr">
        <is>
          <t>/</t>
        </is>
      </c>
      <c r="G73" s="700" t="n">
        <v>290</v>
      </c>
      <c r="H73" s="702" t="inlineStr">
        <is>
          <t>449.1384</t>
        </is>
      </c>
      <c r="I73" s="703" t="inlineStr">
        <is>
          <t>401.3052</t>
        </is>
      </c>
      <c r="J73" s="702" t="inlineStr">
        <is>
          <t>471.5953</t>
        </is>
      </c>
      <c r="K73" s="704" t="n">
        <v>245</v>
      </c>
      <c r="L73" s="705">
        <f>M73-K73</f>
        <v/>
      </c>
      <c r="M73" s="705" t="n">
        <v>309</v>
      </c>
      <c r="N73" s="722" t="inlineStr">
        <is>
          <t>25-Jul-2025</t>
        </is>
      </c>
      <c r="O73" s="722" t="inlineStr">
        <is>
          <t>26-Oct-2026</t>
        </is>
      </c>
      <c r="P73" s="720" t="n"/>
      <c r="Q73" s="708">
        <f>E73*L73*X73</f>
        <v/>
      </c>
      <c r="R73" s="709">
        <f>E73*I73*L73*X73</f>
        <v/>
      </c>
      <c r="S73" s="707" t="n"/>
      <c r="T73" s="709">
        <f>E73*I73*20*X73</f>
        <v/>
      </c>
      <c r="U73" s="0" t="n">
        <v>3.96</v>
      </c>
      <c r="V73" s="282" t="n">
        <v>0</v>
      </c>
      <c r="W73" s="282" t="n">
        <v>21</v>
      </c>
      <c r="X73" s="0" t="n">
        <v>1</v>
      </c>
      <c r="Y73" s="154">
        <f>X73*V73*E73*I73</f>
        <v/>
      </c>
      <c r="Z73" s="154">
        <f>X73*W73*E73*I73</f>
        <v/>
      </c>
      <c r="AB73" s="155">
        <f>MONTH(O73)</f>
        <v/>
      </c>
      <c r="AC73" s="155">
        <f>YEAR(O73)</f>
        <v/>
      </c>
      <c r="AD73" s="642">
        <f>AB73&amp;"-"&amp;AC73&amp;"-"&amp;C73</f>
        <v/>
      </c>
      <c r="AE73" s="642">
        <f>C73</f>
        <v/>
      </c>
      <c r="AF73" s="685">
        <f>MATCH(AE73,ALLM!C$2:C$13,)</f>
        <v/>
      </c>
    </row>
    <row r="74">
      <c r="A74" s="695">
        <f>IF(B74&lt;&gt;"",INDIRECT(ADDRESS(ROW()-1,COLUMN()))+1,0)</f>
        <v/>
      </c>
      <c r="B74" s="696" t="inlineStr">
        <is>
          <t>HK Exchange</t>
        </is>
      </c>
      <c r="C74" s="697" t="inlineStr">
        <is>
          <t>0388</t>
        </is>
      </c>
      <c r="D74" s="716" t="inlineStr">
        <is>
          <t>HK EXCHANGE - 31</t>
        </is>
      </c>
      <c r="E74" s="721" t="n">
        <v>200</v>
      </c>
      <c r="F74" s="717" t="inlineStr">
        <is>
          <t>/</t>
        </is>
      </c>
      <c r="G74" s="700" t="n">
        <v>400</v>
      </c>
      <c r="H74" s="702" t="inlineStr">
        <is>
          <t>430.0000</t>
        </is>
      </c>
      <c r="I74" s="703" t="inlineStr">
        <is>
          <t>378.7440</t>
        </is>
      </c>
      <c r="J74" s="702" t="inlineStr">
        <is>
          <t>473.0000</t>
        </is>
      </c>
      <c r="K74" s="704" t="n">
        <v>224</v>
      </c>
      <c r="L74" s="705">
        <f>M74-K74</f>
        <v/>
      </c>
      <c r="M74" s="705" t="n">
        <v>245</v>
      </c>
      <c r="N74" s="722" t="inlineStr">
        <is>
          <t>12-Aug-2025</t>
        </is>
      </c>
      <c r="O74" s="722" t="inlineStr">
        <is>
          <t>11-Aug-2026</t>
        </is>
      </c>
      <c r="P74" s="720" t="n"/>
      <c r="Q74" s="708">
        <f>E74*L74*X74</f>
        <v/>
      </c>
      <c r="R74" s="709">
        <f>E74*I74*L74*X74</f>
        <v/>
      </c>
      <c r="S74" s="707" t="n"/>
      <c r="T74" s="709">
        <f>E74*I74*20*X74</f>
        <v/>
      </c>
      <c r="U74" s="0" t="n">
        <v>3.96</v>
      </c>
      <c r="V74" s="282" t="n">
        <v>0</v>
      </c>
      <c r="W74" s="282" t="n">
        <v>21</v>
      </c>
      <c r="X74" s="0" t="n">
        <v>1</v>
      </c>
      <c r="Y74" s="154">
        <f>X74*V74*E74*I74</f>
        <v/>
      </c>
      <c r="Z74" s="154">
        <f>X74*W74*E74*I74</f>
        <v/>
      </c>
      <c r="AB74" s="155">
        <f>MONTH(O74)</f>
        <v/>
      </c>
      <c r="AC74" s="155">
        <f>YEAR(O74)</f>
        <v/>
      </c>
      <c r="AD74" s="642">
        <f>AB74&amp;"-"&amp;AC74&amp;"-"&amp;C74</f>
        <v/>
      </c>
      <c r="AE74" s="642">
        <f>C74</f>
        <v/>
      </c>
      <c r="AF74" s="685">
        <f>MATCH(AE74,ALLM!C$2:C$13,)</f>
        <v/>
      </c>
    </row>
    <row r="75">
      <c r="A75" s="695">
        <f>IF(B75&lt;&gt;"",INDIRECT(ADDRESS(ROW()-1,COLUMN()))+1,0)</f>
        <v/>
      </c>
      <c r="B75" s="696" t="inlineStr">
        <is>
          <t>HK Exchange</t>
        </is>
      </c>
      <c r="C75" s="697" t="inlineStr">
        <is>
          <t>0388</t>
        </is>
      </c>
      <c r="D75" s="716" t="inlineStr">
        <is>
          <t>HK EXCHANGE - 32</t>
        </is>
      </c>
      <c r="E75" s="700" t="n">
        <v>250</v>
      </c>
      <c r="F75" s="717" t="inlineStr">
        <is>
          <t>/</t>
        </is>
      </c>
      <c r="G75" s="721" t="n">
        <v>500</v>
      </c>
      <c r="H75" s="702" t="inlineStr">
        <is>
          <t>462.3722</t>
        </is>
      </c>
      <c r="I75" s="703" t="inlineStr">
        <is>
          <t>407.8123</t>
        </is>
      </c>
      <c r="J75" s="702" t="inlineStr">
        <is>
          <t>485.4908</t>
        </is>
      </c>
      <c r="K75" s="704" t="n">
        <v>224</v>
      </c>
      <c r="L75" s="705">
        <f>M75-K75</f>
        <v/>
      </c>
      <c r="M75" s="705" t="n">
        <v>245</v>
      </c>
      <c r="N75" s="722" t="inlineStr">
        <is>
          <t>26-Aug-2025</t>
        </is>
      </c>
      <c r="O75" s="722" t="inlineStr">
        <is>
          <t>25-Aug-2026</t>
        </is>
      </c>
      <c r="P75" s="720" t="n"/>
      <c r="Q75" s="708">
        <f>E75*L75*X75</f>
        <v/>
      </c>
      <c r="R75" s="709">
        <f>E75*I75*L75*X75</f>
        <v/>
      </c>
      <c r="S75" s="707" t="n"/>
      <c r="T75" s="709">
        <f>E75*I75*20*X75</f>
        <v/>
      </c>
      <c r="U75" s="0" t="n">
        <v>3.96</v>
      </c>
      <c r="V75" s="282" t="n">
        <v>0</v>
      </c>
      <c r="W75" s="282" t="n">
        <v>21</v>
      </c>
      <c r="X75" s="0" t="n">
        <v>2</v>
      </c>
      <c r="Y75" s="154">
        <f>X75*V75*E75*I75</f>
        <v/>
      </c>
      <c r="Z75" s="154">
        <f>X75*W75*E75*I75</f>
        <v/>
      </c>
      <c r="AB75" s="155">
        <f>MONTH(O75)</f>
        <v/>
      </c>
      <c r="AC75" s="155">
        <f>YEAR(O75)</f>
        <v/>
      </c>
      <c r="AD75" s="642">
        <f>AB75&amp;"-"&amp;AC75&amp;"-"&amp;C75</f>
        <v/>
      </c>
      <c r="AE75" s="642">
        <f>C75</f>
        <v/>
      </c>
      <c r="AF75" s="685">
        <f>MATCH(AE75,ALLM!C$2:C$13,)</f>
        <v/>
      </c>
    </row>
    <row r="76">
      <c r="A76" s="695">
        <f>IF(B76&lt;&gt;"",INDIRECT(ADDRESS(ROW()-1,COLUMN()))+1,0)</f>
        <v/>
      </c>
      <c r="B76" s="696" t="inlineStr">
        <is>
          <t>Shanghai Fosun Pharma</t>
        </is>
      </c>
      <c r="C76" s="697" t="inlineStr">
        <is>
          <t>2196</t>
        </is>
      </c>
      <c r="D76" s="716" t="inlineStr">
        <is>
          <t>Shanghai Fosun - 3</t>
        </is>
      </c>
      <c r="E76" s="700" t="n">
        <v>350</v>
      </c>
      <c r="F76" s="717" t="inlineStr">
        <is>
          <t>/</t>
        </is>
      </c>
      <c r="G76" s="721" t="n">
        <v>700</v>
      </c>
      <c r="H76" s="702" t="inlineStr">
        <is>
          <t>25.0158</t>
        </is>
      </c>
      <c r="I76" s="703" t="inlineStr">
        <is>
          <t>22.4167</t>
        </is>
      </c>
      <c r="J76" s="702" t="inlineStr">
        <is>
          <t>26.2666</t>
        </is>
      </c>
      <c r="K76" s="704" t="n">
        <v>181</v>
      </c>
      <c r="L76" s="705">
        <f>M76-K76</f>
        <v/>
      </c>
      <c r="M76" s="705" t="n">
        <v>246</v>
      </c>
      <c r="N76" s="722" t="inlineStr">
        <is>
          <t>13-Oct-2025</t>
        </is>
      </c>
      <c r="O76" s="722" t="inlineStr">
        <is>
          <t>12-Oct-2026</t>
        </is>
      </c>
      <c r="P76" s="720" t="n"/>
      <c r="Q76" s="708">
        <f>E76*L76*X76</f>
        <v/>
      </c>
      <c r="R76" s="709">
        <f>E76*I76*L76*X76</f>
        <v/>
      </c>
      <c r="S76" s="707" t="n"/>
      <c r="T76" s="709">
        <f>E76*I76*20*X76</f>
        <v/>
      </c>
      <c r="U76" s="0" t="n">
        <v>3.96</v>
      </c>
      <c r="V76" s="282" t="n">
        <v>0</v>
      </c>
      <c r="W76" s="282" t="n">
        <v>21</v>
      </c>
      <c r="X76" s="0" t="n">
        <v>2</v>
      </c>
      <c r="Y76" s="154">
        <f>X76*V76*E76*I76</f>
        <v/>
      </c>
      <c r="Z76" s="154">
        <f>X76*W76*E76*I76</f>
        <v/>
      </c>
      <c r="AB76" s="155">
        <f>MONTH(O76)</f>
        <v/>
      </c>
      <c r="AC76" s="155">
        <f>YEAR(O76)</f>
        <v/>
      </c>
      <c r="AD76" s="642">
        <f>AB76&amp;"-"&amp;AC76&amp;"-"&amp;C76</f>
        <v/>
      </c>
      <c r="AE76" s="642">
        <f>C76</f>
        <v/>
      </c>
      <c r="AF76" s="685">
        <f>MATCH(AE76,ALLM!C$2:C$13,)</f>
        <v/>
      </c>
    </row>
    <row r="77">
      <c r="A77" s="695">
        <f>IF(B77&lt;&gt;"",INDIRECT(ADDRESS(ROW()-1,COLUMN()))+1,0)</f>
        <v/>
      </c>
      <c r="B77" s="696" t="inlineStr">
        <is>
          <t>Alibaba</t>
        </is>
      </c>
      <c r="C77" s="697" t="inlineStr">
        <is>
          <t>9988</t>
        </is>
      </c>
      <c r="D77" s="716" t="inlineStr">
        <is>
          <t>Alibaba - 28</t>
        </is>
      </c>
      <c r="E77" s="700" t="n">
        <v>300</v>
      </c>
      <c r="F77" s="717" t="inlineStr">
        <is>
          <t>/</t>
        </is>
      </c>
      <c r="G77" s="721" t="n">
        <v>600</v>
      </c>
      <c r="H77" s="702" t="inlineStr">
        <is>
          <t>172.4412</t>
        </is>
      </c>
      <c r="I77" s="703" t="inlineStr">
        <is>
          <t>149.5927</t>
        </is>
      </c>
      <c r="J77" s="702" t="inlineStr">
        <is>
          <t>181.0633</t>
        </is>
      </c>
      <c r="K77" s="704" t="n">
        <v>181</v>
      </c>
      <c r="L77" s="705">
        <f>M77-K77</f>
        <v/>
      </c>
      <c r="M77" s="705" t="n">
        <v>245</v>
      </c>
      <c r="N77" s="722" t="inlineStr">
        <is>
          <t>30-Oct-2025</t>
        </is>
      </c>
      <c r="O77" s="722" t="inlineStr">
        <is>
          <t>28-Oct-2026</t>
        </is>
      </c>
      <c r="P77" s="720" t="n"/>
      <c r="Q77" s="708">
        <f>E77*L77*X77</f>
        <v/>
      </c>
      <c r="R77" s="709">
        <f>E77*I77*L77*X77</f>
        <v/>
      </c>
      <c r="S77" s="707" t="n"/>
      <c r="T77" s="709">
        <f>E77*I77*20*X77</f>
        <v/>
      </c>
      <c r="U77" s="0" t="n">
        <v>3.96</v>
      </c>
      <c r="V77" s="282" t="n">
        <v>0</v>
      </c>
      <c r="W77" s="282" t="n">
        <v>23</v>
      </c>
      <c r="X77" s="0" t="n">
        <v>2</v>
      </c>
      <c r="Y77" s="154">
        <f>X77*V77*E77*I77</f>
        <v/>
      </c>
      <c r="Z77" s="154">
        <f>X77*W77*E77*I77</f>
        <v/>
      </c>
      <c r="AB77" s="155">
        <f>MONTH(O77)</f>
        <v/>
      </c>
      <c r="AC77" s="155">
        <f>YEAR(O77)</f>
        <v/>
      </c>
      <c r="AD77" s="642">
        <f>AB77&amp;"-"&amp;AC77&amp;"-"&amp;C77</f>
        <v/>
      </c>
      <c r="AE77" s="642">
        <f>C77</f>
        <v/>
      </c>
      <c r="AF77" s="685">
        <f>MATCH(AE77,ALLM!C$2:C$13,)</f>
        <v/>
      </c>
    </row>
    <row r="78">
      <c r="A78" s="695">
        <f>IF(B78&lt;&gt;"",INDIRECT(ADDRESS(ROW()-1,COLUMN()))+1,0)</f>
        <v/>
      </c>
      <c r="B78" s="696" t="inlineStr">
        <is>
          <t>Tencent</t>
        </is>
      </c>
      <c r="C78" s="697" t="inlineStr">
        <is>
          <t>0700</t>
        </is>
      </c>
      <c r="D78" s="716" t="inlineStr">
        <is>
          <t>Tencent - 37</t>
        </is>
      </c>
      <c r="E78" s="700" t="n">
        <v>150</v>
      </c>
      <c r="F78" s="717" t="inlineStr">
        <is>
          <t>/</t>
        </is>
      </c>
      <c r="G78" s="721" t="n">
        <v>300</v>
      </c>
      <c r="H78" s="702" t="inlineStr">
        <is>
          <t>626.0000</t>
        </is>
      </c>
      <c r="I78" s="703" t="inlineStr">
        <is>
          <t>573.4160</t>
        </is>
      </c>
      <c r="J78" s="702" t="inlineStr">
        <is>
          <t>657.3000</t>
        </is>
      </c>
      <c r="K78" s="704" t="n">
        <v>120</v>
      </c>
      <c r="L78" s="705">
        <f>M78-K78</f>
        <v/>
      </c>
      <c r="M78" s="705" t="n">
        <v>247</v>
      </c>
      <c r="N78" s="722" t="inlineStr">
        <is>
          <t>6-Jan-2026</t>
        </is>
      </c>
      <c r="O78" s="722" t="inlineStr">
        <is>
          <t>5-Jan-2027</t>
        </is>
      </c>
      <c r="P78" s="720" t="n"/>
      <c r="Q78" s="708">
        <f>E78*L78*X78</f>
        <v/>
      </c>
      <c r="R78" s="709">
        <f>E78*I78*L78*X78</f>
        <v/>
      </c>
      <c r="S78" s="707" t="n"/>
      <c r="T78" s="709">
        <f>E78*I78*20*X78</f>
        <v/>
      </c>
      <c r="U78" s="0" t="n">
        <v>3.96</v>
      </c>
      <c r="V78" s="282" t="n">
        <v>0</v>
      </c>
      <c r="W78" s="282" t="n">
        <v>22</v>
      </c>
      <c r="X78" s="0" t="n">
        <v>2</v>
      </c>
      <c r="Y78" s="154">
        <f>X78*V78*E78*I78</f>
        <v/>
      </c>
      <c r="Z78" s="154">
        <f>X78*W78*E78*I78</f>
        <v/>
      </c>
      <c r="AB78" s="155">
        <f>MONTH(O78)</f>
        <v/>
      </c>
      <c r="AC78" s="155">
        <f>YEAR(O78)</f>
        <v/>
      </c>
      <c r="AD78" s="642">
        <f>AB78&amp;"-"&amp;AC78&amp;"-"&amp;C78</f>
        <v/>
      </c>
      <c r="AE78" s="642">
        <f>C78</f>
        <v/>
      </c>
      <c r="AF78" s="685">
        <f>MATCH(AE78,ALLM!C$2:C$13,)</f>
        <v/>
      </c>
    </row>
    <row r="79">
      <c r="A79" s="695">
        <f>IF(B79&lt;&gt;"",INDIRECT(ADDRESS(ROW()-1,COLUMN()))+1,0)</f>
        <v/>
      </c>
      <c r="B79" s="696" t="inlineStr">
        <is>
          <t>Tencent</t>
        </is>
      </c>
      <c r="C79" s="697" t="inlineStr">
        <is>
          <t>0700</t>
        </is>
      </c>
      <c r="D79" s="716" t="inlineStr">
        <is>
          <t>Tencent - 38</t>
        </is>
      </c>
      <c r="E79" s="700" t="n">
        <v>100</v>
      </c>
      <c r="F79" s="717" t="inlineStr">
        <is>
          <t>/</t>
        </is>
      </c>
      <c r="G79" s="721" t="n">
        <v>200</v>
      </c>
      <c r="H79" s="702" t="inlineStr">
        <is>
          <t>621.0000</t>
        </is>
      </c>
      <c r="I79" s="703" t="inlineStr">
        <is>
          <t>556.4160</t>
        </is>
      </c>
      <c r="J79" s="702" t="inlineStr">
        <is>
          <t>652.0500</t>
        </is>
      </c>
      <c r="K79" s="704" t="n">
        <v>120</v>
      </c>
      <c r="L79" s="705">
        <f>M79-K79</f>
        <v/>
      </c>
      <c r="M79" s="705" t="n">
        <v>247</v>
      </c>
      <c r="N79" s="722" t="inlineStr">
        <is>
          <t>13-Jan-2026</t>
        </is>
      </c>
      <c r="O79" s="722" t="inlineStr">
        <is>
          <t>12-Jan-2027</t>
        </is>
      </c>
      <c r="P79" s="720" t="n"/>
      <c r="Q79" s="708">
        <f>E79*L79*X79</f>
        <v/>
      </c>
      <c r="R79" s="709">
        <f>E79*I79*L79*X79</f>
        <v/>
      </c>
      <c r="S79" s="707" t="n"/>
      <c r="T79" s="709">
        <f>E79*I79*20*X79</f>
        <v/>
      </c>
      <c r="U79" s="0" t="n">
        <v>3.96</v>
      </c>
      <c r="V79" s="282" t="n">
        <v>0</v>
      </c>
      <c r="W79" s="282" t="n">
        <v>22</v>
      </c>
      <c r="X79" s="0" t="n">
        <v>2</v>
      </c>
      <c r="Y79" s="154">
        <f>X79*V79*E79*I79</f>
        <v/>
      </c>
      <c r="Z79" s="154">
        <f>X79*W79*E79*I79</f>
        <v/>
      </c>
      <c r="AB79" s="155">
        <f>MONTH(O79)</f>
        <v/>
      </c>
      <c r="AC79" s="155">
        <f>YEAR(O79)</f>
        <v/>
      </c>
      <c r="AD79" s="642">
        <f>AB79&amp;"-"&amp;AC79&amp;"-"&amp;C79</f>
        <v/>
      </c>
      <c r="AE79" s="642">
        <f>C79</f>
        <v/>
      </c>
      <c r="AF79" s="685">
        <f>MATCH(AE79,ALLM!C$2:C$13,)</f>
        <v/>
      </c>
    </row>
    <row r="80">
      <c r="A80" s="695">
        <f>IF(B80&lt;&gt;"",INDIRECT(ADDRESS(ROW()-1,COLUMN()))+1,0)</f>
        <v/>
      </c>
      <c r="B80" s="696" t="inlineStr">
        <is>
          <t>HK Exchange</t>
        </is>
      </c>
      <c r="C80" s="697" t="inlineStr">
        <is>
          <t>0388</t>
        </is>
      </c>
      <c r="D80" s="716" t="inlineStr">
        <is>
          <t>HK EXCHANGE - 33</t>
        </is>
      </c>
      <c r="E80" s="721" t="n">
        <v>100</v>
      </c>
      <c r="F80" s="717" t="inlineStr">
        <is>
          <t>/</t>
        </is>
      </c>
      <c r="G80" s="700" t="n">
        <v>200</v>
      </c>
      <c r="H80" s="702" t="inlineStr">
        <is>
          <t>424.8884</t>
        </is>
      </c>
      <c r="I80" s="703" t="inlineStr">
        <is>
          <t>384.7364</t>
        </is>
      </c>
      <c r="J80" s="702" t="inlineStr">
        <is>
          <t>446.1328</t>
        </is>
      </c>
      <c r="K80" s="704" t="n">
        <v>98</v>
      </c>
      <c r="L80" s="705">
        <f>M80-K80</f>
        <v/>
      </c>
      <c r="M80" s="705" t="n">
        <v>183</v>
      </c>
      <c r="N80" s="722" t="inlineStr">
        <is>
          <t>3-Feb-2026</t>
        </is>
      </c>
      <c r="O80" s="722" t="inlineStr">
        <is>
          <t>2-Nov-2026</t>
        </is>
      </c>
      <c r="P80" s="720" t="n"/>
      <c r="Q80" s="708">
        <f>E80*L80*X80</f>
        <v/>
      </c>
      <c r="R80" s="709">
        <f>E80*I80*L80*X80</f>
        <v/>
      </c>
      <c r="S80" s="707" t="n"/>
      <c r="T80" s="709">
        <f>E80*I80*20*X80</f>
        <v/>
      </c>
      <c r="U80" s="0" t="n">
        <v>3.96</v>
      </c>
      <c r="V80" s="282" t="n">
        <v>0</v>
      </c>
      <c r="W80" s="282" t="n">
        <v>22</v>
      </c>
      <c r="X80" s="0" t="n">
        <v>1</v>
      </c>
      <c r="Y80" s="154">
        <f>X80*V80*E80*I80</f>
        <v/>
      </c>
      <c r="Z80" s="154">
        <f>X80*W80*E80*I80</f>
        <v/>
      </c>
      <c r="AB80" s="155">
        <f>MONTH(O80)</f>
        <v/>
      </c>
      <c r="AC80" s="155">
        <f>YEAR(O80)</f>
        <v/>
      </c>
      <c r="AD80" s="642">
        <f>AB80&amp;"-"&amp;AC80&amp;"-"&amp;C80</f>
        <v/>
      </c>
      <c r="AE80" s="642">
        <f>C80</f>
        <v/>
      </c>
      <c r="AF80" s="685">
        <f>MATCH(AE80,ALLM!C$2:C$13,)</f>
        <v/>
      </c>
    </row>
    <row r="81">
      <c r="A81" s="695">
        <f>IF(B81&lt;&gt;"",INDIRECT(ADDRESS(ROW()-1,COLUMN()))+1,0)</f>
        <v/>
      </c>
      <c r="B81" s="696" t="inlineStr">
        <is>
          <t>Kuaishou Tech</t>
        </is>
      </c>
      <c r="C81" s="697" t="inlineStr">
        <is>
          <t>1024</t>
        </is>
      </c>
      <c r="D81" s="716" t="inlineStr">
        <is>
          <t>Kuaishou Tech - 21</t>
        </is>
      </c>
      <c r="E81" s="700" t="n">
        <v>600</v>
      </c>
      <c r="F81" s="717" t="inlineStr">
        <is>
          <t>/</t>
        </is>
      </c>
      <c r="G81" s="721" t="n">
        <v>1200</v>
      </c>
      <c r="H81" s="702" t="inlineStr">
        <is>
          <t>77.0000</t>
        </is>
      </c>
      <c r="I81" s="703" t="inlineStr">
        <is>
          <t>65.4885</t>
        </is>
      </c>
      <c r="J81" s="702" t="inlineStr">
        <is>
          <t>80.8500</t>
        </is>
      </c>
      <c r="K81" s="704" t="n">
        <v>98</v>
      </c>
      <c r="L81" s="705">
        <f>M81-K81</f>
        <v/>
      </c>
      <c r="M81" s="705" t="n">
        <v>183</v>
      </c>
      <c r="N81" s="722" t="inlineStr">
        <is>
          <t>3-Feb-2026</t>
        </is>
      </c>
      <c r="O81" s="722" t="inlineStr">
        <is>
          <t>2-Nov-2026</t>
        </is>
      </c>
      <c r="P81" s="720" t="n"/>
      <c r="Q81" s="708">
        <f>E81*L81*X81</f>
        <v/>
      </c>
      <c r="R81" s="709">
        <f>E81*I81*L81*X81</f>
        <v/>
      </c>
      <c r="S81" s="707" t="n"/>
      <c r="T81" s="709">
        <f>E81*I81*20*X81</f>
        <v/>
      </c>
      <c r="U81" s="0" t="n">
        <v>3.96</v>
      </c>
      <c r="V81" s="282" t="n">
        <v>0</v>
      </c>
      <c r="W81" s="282" t="n">
        <v>22</v>
      </c>
      <c r="X81" s="0" t="n">
        <v>2</v>
      </c>
      <c r="Y81" s="154">
        <f>X81*V81*E81*I81</f>
        <v/>
      </c>
      <c r="Z81" s="154">
        <f>X81*W81*E81*I81</f>
        <v/>
      </c>
      <c r="AB81" s="155">
        <f>MONTH(O81)</f>
        <v/>
      </c>
      <c r="AC81" s="155">
        <f>YEAR(O81)</f>
        <v/>
      </c>
      <c r="AD81" s="642">
        <f>AB81&amp;"-"&amp;AC81&amp;"-"&amp;C81</f>
        <v/>
      </c>
      <c r="AE81" s="642">
        <f>C81</f>
        <v/>
      </c>
      <c r="AF81" s="685">
        <f>MATCH(AE81,ALLM!C$2:C$13,)</f>
        <v/>
      </c>
    </row>
    <row r="82">
      <c r="A82" s="695">
        <f>IF(B82&lt;&gt;"",INDIRECT(ADDRESS(ROW()-1,COLUMN()))+1,0)</f>
        <v/>
      </c>
      <c r="B82" s="696" t="inlineStr">
        <is>
          <t>China Molybdenum</t>
        </is>
      </c>
      <c r="C82" s="697" t="inlineStr">
        <is>
          <t>3993</t>
        </is>
      </c>
      <c r="D82" s="716" t="inlineStr">
        <is>
          <t>China Molybdenum - 86</t>
        </is>
      </c>
      <c r="E82" s="700" t="n">
        <v>3000</v>
      </c>
      <c r="F82" s="717" t="inlineStr">
        <is>
          <t>/</t>
        </is>
      </c>
      <c r="G82" s="721" t="n">
        <v>6000</v>
      </c>
      <c r="H82" s="702" t="inlineStr">
        <is>
          <t>24.6808</t>
        </is>
      </c>
      <c r="I82" s="703" t="inlineStr">
        <is>
          <t>21.2255</t>
        </is>
      </c>
      <c r="J82" s="702" t="inlineStr">
        <is>
          <t>25.9148</t>
        </is>
      </c>
      <c r="K82" s="704" t="n">
        <v>101</v>
      </c>
      <c r="L82" s="705">
        <f>M82-K82</f>
        <v/>
      </c>
      <c r="M82" s="705" t="n">
        <v>248</v>
      </c>
      <c r="N82" s="722" t="inlineStr">
        <is>
          <t>26-Feb-2026</t>
        </is>
      </c>
      <c r="O82" s="722" t="inlineStr">
        <is>
          <t>25-Feb-2027</t>
        </is>
      </c>
      <c r="P82" s="720" t="n"/>
      <c r="Q82" s="708">
        <f>E82*L82*X82</f>
        <v/>
      </c>
      <c r="R82" s="709">
        <f>E82*I82*L82*X82</f>
        <v/>
      </c>
      <c r="S82" s="707" t="n"/>
      <c r="T82" s="709">
        <f>E82*I82*20*X82</f>
        <v/>
      </c>
      <c r="U82" s="0" t="n">
        <v>3.96</v>
      </c>
      <c r="V82" s="282" t="n">
        <v>0</v>
      </c>
      <c r="W82" s="282" t="n">
        <v>21</v>
      </c>
      <c r="X82" s="0" t="n">
        <v>2</v>
      </c>
      <c r="Y82" s="154">
        <f>X82*V82*E82*I82</f>
        <v/>
      </c>
      <c r="Z82" s="154">
        <f>X82*W82*E82*I82</f>
        <v/>
      </c>
      <c r="AB82" s="155">
        <f>MONTH(O82)</f>
        <v/>
      </c>
      <c r="AC82" s="155">
        <f>YEAR(O82)</f>
        <v/>
      </c>
      <c r="AD82" s="642">
        <f>AB82&amp;"-"&amp;AC82&amp;"-"&amp;C82</f>
        <v/>
      </c>
      <c r="AE82" s="642">
        <f>C82</f>
        <v/>
      </c>
      <c r="AF82" s="685">
        <f>MATCH(AE82,ALLM!C$2:C$13,)</f>
        <v/>
      </c>
    </row>
    <row r="83">
      <c r="A83" s="695">
        <f>IF(B83&lt;&gt;"",INDIRECT(ADDRESS(ROW()-1,COLUMN()))+1,0)</f>
        <v/>
      </c>
      <c r="B83" s="696" t="inlineStr">
        <is>
          <t>Geely Motor</t>
        </is>
      </c>
      <c r="C83" s="697" t="inlineStr">
        <is>
          <t>0175</t>
        </is>
      </c>
      <c r="D83" s="716" t="inlineStr">
        <is>
          <t>Geely Motor - 24</t>
        </is>
      </c>
      <c r="E83" s="700" t="n">
        <v>2000</v>
      </c>
      <c r="F83" s="717" t="inlineStr">
        <is>
          <t>/</t>
        </is>
      </c>
      <c r="G83" s="721" t="n">
        <v>4000</v>
      </c>
      <c r="H83" s="702" t="inlineStr">
        <is>
          <t>25.0106</t>
        </is>
      </c>
      <c r="I83" s="703" t="inlineStr">
        <is>
          <t>20.5612</t>
        </is>
      </c>
      <c r="J83" s="702" t="inlineStr">
        <is>
          <t>26.2611</t>
        </is>
      </c>
      <c r="K83" s="704" t="n">
        <v>61</v>
      </c>
      <c r="L83" s="705">
        <f>M83-K83</f>
        <v/>
      </c>
      <c r="M83" s="705" t="n">
        <v>249</v>
      </c>
      <c r="N83" s="722" t="inlineStr">
        <is>
          <t>14-Apr-2026</t>
        </is>
      </c>
      <c r="O83" s="722" t="inlineStr">
        <is>
          <t>13-Apr-2027</t>
        </is>
      </c>
      <c r="P83" s="720" t="n"/>
      <c r="Q83" s="708">
        <f>E83*L83*X83</f>
        <v/>
      </c>
      <c r="R83" s="709">
        <f>E83*I83*L83*X83</f>
        <v/>
      </c>
      <c r="S83" s="707" t="n"/>
      <c r="T83" s="709">
        <f>E83*I83*20*X83</f>
        <v/>
      </c>
      <c r="U83" s="0" t="n">
        <v>3.96</v>
      </c>
      <c r="V83" s="282" t="n">
        <v>0</v>
      </c>
      <c r="W83" s="282" t="n">
        <v>23</v>
      </c>
      <c r="X83" s="0" t="n">
        <v>2</v>
      </c>
      <c r="Y83" s="154">
        <f>X83*V83*E83*I83</f>
        <v/>
      </c>
      <c r="Z83" s="154">
        <f>X83*W83*E83*I83</f>
        <v/>
      </c>
      <c r="AB83" s="155">
        <f>MONTH(O83)</f>
        <v/>
      </c>
      <c r="AC83" s="155">
        <f>YEAR(O83)</f>
        <v/>
      </c>
      <c r="AD83" s="642">
        <f>AB83&amp;"-"&amp;AC83&amp;"-"&amp;C83</f>
        <v/>
      </c>
      <c r="AE83" s="642">
        <f>C83</f>
        <v/>
      </c>
      <c r="AF83" s="685">
        <f>MATCH(AE83,ALLM!C$2:C$13,)</f>
        <v/>
      </c>
    </row>
    <row r="84">
      <c r="A84" s="695">
        <f>IF(B84&lt;&gt;"",INDIRECT(ADDRESS(ROW()-1,COLUMN()))+1,0)</f>
        <v/>
      </c>
      <c r="B84" s="696" t="inlineStr">
        <is>
          <t>Shanghai Fosun Pharma</t>
        </is>
      </c>
      <c r="C84" s="697" t="inlineStr">
        <is>
          <t>2196</t>
        </is>
      </c>
      <c r="D84" s="716" t="inlineStr">
        <is>
          <t>Shanghai Fosun - 4</t>
        </is>
      </c>
      <c r="E84" s="700" t="n">
        <v>550</v>
      </c>
      <c r="F84" s="717" t="inlineStr">
        <is>
          <t>/</t>
        </is>
      </c>
      <c r="G84" s="721" t="n">
        <v>1100</v>
      </c>
      <c r="H84" s="702" t="inlineStr">
        <is>
          <t>20.0291</t>
        </is>
      </c>
      <c r="I84" s="703" t="inlineStr">
        <is>
          <t>17.2611</t>
        </is>
      </c>
      <c r="J84" s="702" t="inlineStr">
        <is>
          <t>22.0320</t>
        </is>
      </c>
      <c r="K84" s="704" t="n">
        <v>61</v>
      </c>
      <c r="L84" s="705">
        <f>M84-K84</f>
        <v/>
      </c>
      <c r="M84" s="705" t="n">
        <v>188</v>
      </c>
      <c r="N84" s="722" t="inlineStr">
        <is>
          <t>20-Apr-2026</t>
        </is>
      </c>
      <c r="O84" s="722" t="inlineStr">
        <is>
          <t>18-Jan-2027</t>
        </is>
      </c>
      <c r="P84" s="720" t="n"/>
      <c r="Q84" s="708">
        <f>E84*L84*X84</f>
        <v/>
      </c>
      <c r="R84" s="709">
        <f>E84*I84*L84*X84</f>
        <v/>
      </c>
      <c r="S84" s="707" t="n"/>
      <c r="T84" s="709">
        <f>E84*I84*20*X84</f>
        <v/>
      </c>
      <c r="U84" s="0" t="n">
        <v>3.96</v>
      </c>
      <c r="V84" s="282" t="n">
        <v>0</v>
      </c>
      <c r="W84" s="282" t="n">
        <v>21</v>
      </c>
      <c r="X84" s="0" t="n">
        <v>2</v>
      </c>
      <c r="Y84" s="154">
        <f>X84*V84*E84*I84</f>
        <v/>
      </c>
      <c r="Z84" s="154">
        <f>X84*W84*E84*I84</f>
        <v/>
      </c>
      <c r="AB84" s="155">
        <f>MONTH(O84)</f>
        <v/>
      </c>
      <c r="AC84" s="155">
        <f>YEAR(O84)</f>
        <v/>
      </c>
      <c r="AD84" s="642">
        <f>AB84&amp;"-"&amp;AC84&amp;"-"&amp;C84</f>
        <v/>
      </c>
      <c r="AE84" s="642">
        <f>C84</f>
        <v/>
      </c>
      <c r="AF84" s="685">
        <f>MATCH(AE84,ALLM!C$2:C$13,)</f>
        <v/>
      </c>
    </row>
    <row r="85">
      <c r="A85" s="695">
        <f>IF(B85&lt;&gt;"",INDIRECT(ADDRESS(ROW()-1,COLUMN()))+1,0)</f>
        <v/>
      </c>
      <c r="B85" s="696" t="inlineStr">
        <is>
          <t>Geely Motor</t>
        </is>
      </c>
      <c r="C85" s="697" t="inlineStr">
        <is>
          <t>0175</t>
        </is>
      </c>
      <c r="D85" s="716" t="inlineStr">
        <is>
          <t>Geely Motor - 25</t>
        </is>
      </c>
      <c r="E85" s="721" t="n">
        <v>3000</v>
      </c>
      <c r="F85" s="717" t="inlineStr">
        <is>
          <t>/</t>
        </is>
      </c>
      <c r="G85" s="700" t="n">
        <v>6000</v>
      </c>
      <c r="H85" s="702" t="inlineStr">
        <is>
          <t>23.9315</t>
        </is>
      </c>
      <c r="I85" s="703" t="inlineStr">
        <is>
          <t>18.5732</t>
        </is>
      </c>
      <c r="J85" s="702" t="inlineStr">
        <is>
          <t>26.3247</t>
        </is>
      </c>
      <c r="K85" s="704" t="n">
        <v>61</v>
      </c>
      <c r="L85" s="705">
        <f>M85-K85</f>
        <v/>
      </c>
      <c r="M85" s="705" t="n">
        <v>250</v>
      </c>
      <c r="N85" s="722" t="inlineStr">
        <is>
          <t>22-Apr-2026</t>
        </is>
      </c>
      <c r="O85" s="722" t="inlineStr">
        <is>
          <t>21-Apr-2027</t>
        </is>
      </c>
      <c r="P85" s="720" t="n"/>
      <c r="Q85" s="708">
        <f>E85*L85*X85</f>
        <v/>
      </c>
      <c r="R85" s="709">
        <f>E85*I85*L85*X85</f>
        <v/>
      </c>
      <c r="S85" s="707" t="n"/>
      <c r="T85" s="709">
        <f>E85*I85*20*X85</f>
        <v/>
      </c>
      <c r="U85" s="0" t="n">
        <v>3.96</v>
      </c>
      <c r="V85" s="282" t="n">
        <v>0</v>
      </c>
      <c r="W85" s="282" t="n">
        <v>23</v>
      </c>
      <c r="X85" s="0" t="n">
        <v>1</v>
      </c>
      <c r="Y85" s="154">
        <f>X85*V85*E85*I85</f>
        <v/>
      </c>
      <c r="Z85" s="154">
        <f>X85*W85*E85*I85</f>
        <v/>
      </c>
      <c r="AB85" s="155">
        <f>MONTH(O85)</f>
        <v/>
      </c>
      <c r="AC85" s="155">
        <f>YEAR(O85)</f>
        <v/>
      </c>
      <c r="AD85" s="642">
        <f>AB85&amp;"-"&amp;AC85&amp;"-"&amp;C85</f>
        <v/>
      </c>
      <c r="AE85" s="642">
        <f>C85</f>
        <v/>
      </c>
      <c r="AF85" s="685">
        <f>MATCH(AE85,ALLM!C$2:C$13,)</f>
        <v/>
      </c>
    </row>
    <row r="86">
      <c r="A86" s="695">
        <f>IF(B86&lt;&gt;"",INDIRECT(ADDRESS(ROW()-1,COLUMN()))+1,0)</f>
        <v/>
      </c>
      <c r="B86" s="696" t="inlineStr">
        <is>
          <t>China Molybdenum</t>
        </is>
      </c>
      <c r="C86" s="697" t="inlineStr">
        <is>
          <t>3993</t>
        </is>
      </c>
      <c r="D86" s="716" t="inlineStr">
        <is>
          <t>China Molybdenum - 88</t>
        </is>
      </c>
      <c r="E86" s="721" t="n">
        <v>3500</v>
      </c>
      <c r="F86" s="717" t="inlineStr">
        <is>
          <t>/</t>
        </is>
      </c>
      <c r="G86" s="700" t="n">
        <v>7000</v>
      </c>
      <c r="H86" s="702" t="inlineStr">
        <is>
          <t>19.8309</t>
        </is>
      </c>
      <c r="I86" s="703" t="inlineStr">
        <is>
          <t>16.2732</t>
        </is>
      </c>
      <c r="J86" s="702" t="inlineStr">
        <is>
          <t>20.8224</t>
        </is>
      </c>
      <c r="K86" s="704" t="n">
        <v>42</v>
      </c>
      <c r="L86" s="705">
        <f>M86-K86</f>
        <v/>
      </c>
      <c r="M86" s="705" t="n">
        <v>251</v>
      </c>
      <c r="N86" s="722" t="inlineStr">
        <is>
          <t>12-May-2026</t>
        </is>
      </c>
      <c r="O86" s="722" t="inlineStr">
        <is>
          <t>11-May-2027</t>
        </is>
      </c>
      <c r="P86" s="720" t="n"/>
      <c r="Q86" s="708">
        <f>E86*L86*X86</f>
        <v/>
      </c>
      <c r="R86" s="709">
        <f>E86*I86*L86*X86</f>
        <v/>
      </c>
      <c r="S86" s="707" t="n"/>
      <c r="T86" s="709">
        <f>E86*I86*20*X86</f>
        <v/>
      </c>
      <c r="U86" s="0" t="n">
        <v>3.96</v>
      </c>
      <c r="V86" s="282" t="n">
        <v>0</v>
      </c>
      <c r="W86" s="282" t="n">
        <v>21</v>
      </c>
      <c r="X86" s="0" t="n">
        <v>1</v>
      </c>
      <c r="Y86" s="154">
        <f>X86*V86*E86*I86</f>
        <v/>
      </c>
      <c r="Z86" s="154">
        <f>X86*W86*E86*I86</f>
        <v/>
      </c>
      <c r="AB86" s="155">
        <f>MONTH(O86)</f>
        <v/>
      </c>
      <c r="AC86" s="155">
        <f>YEAR(O86)</f>
        <v/>
      </c>
      <c r="AD86" s="642">
        <f>AB86&amp;"-"&amp;AC86&amp;"-"&amp;C86</f>
        <v/>
      </c>
      <c r="AE86" s="642">
        <f>C86</f>
        <v/>
      </c>
      <c r="AF86" s="685">
        <f>MATCH(AE86,ALLM!C$2:C$13,)</f>
        <v/>
      </c>
    </row>
    <row r="87">
      <c r="A87" s="695">
        <f>IF(B87&lt;&gt;"",INDIRECT(ADDRESS(ROW()-1,COLUMN()))+1,0)</f>
        <v/>
      </c>
      <c r="B87" s="696" t="inlineStr">
        <is>
          <t>Tencent</t>
        </is>
      </c>
      <c r="C87" s="697" t="inlineStr">
        <is>
          <t>0700</t>
        </is>
      </c>
      <c r="D87" s="716" t="inlineStr">
        <is>
          <t>Tencent - 39</t>
        </is>
      </c>
      <c r="E87" s="721" t="n">
        <v>150</v>
      </c>
      <c r="F87" s="717" t="inlineStr">
        <is>
          <t>/</t>
        </is>
      </c>
      <c r="G87" s="700" t="n">
        <v>300</v>
      </c>
      <c r="H87" s="702" t="inlineStr">
        <is>
          <t>458.2990</t>
        </is>
      </c>
      <c r="I87" s="703" t="inlineStr">
        <is>
          <t>412.9274</t>
        </is>
      </c>
      <c r="J87" s="702" t="inlineStr">
        <is>
          <t>504.1289</t>
        </is>
      </c>
      <c r="K87" s="704" t="n">
        <v>40</v>
      </c>
      <c r="L87" s="705">
        <f>M87-K87</f>
        <v/>
      </c>
      <c r="M87" s="705" t="n">
        <v>189</v>
      </c>
      <c r="N87" s="722" t="inlineStr">
        <is>
          <t>21-May-2026</t>
        </is>
      </c>
      <c r="O87" s="722" t="inlineStr">
        <is>
          <t>22-Feb-2027</t>
        </is>
      </c>
      <c r="P87" s="720" t="n"/>
      <c r="Q87" s="708">
        <f>E87*L87*X87</f>
        <v/>
      </c>
      <c r="R87" s="709">
        <f>E87*I87*L87*X87</f>
        <v/>
      </c>
      <c r="S87" s="707" t="n"/>
      <c r="T87" s="709">
        <f>E87*I87*20*X87</f>
        <v/>
      </c>
      <c r="U87" s="0" t="n">
        <v>3.96</v>
      </c>
      <c r="V87" s="282" t="n">
        <v>0</v>
      </c>
      <c r="W87" s="282" t="n">
        <v>23</v>
      </c>
      <c r="X87" s="0" t="n">
        <v>1</v>
      </c>
      <c r="Y87" s="154">
        <f>X87*V87*E87*I87</f>
        <v/>
      </c>
      <c r="Z87" s="154">
        <f>X87*W87*E87*I87</f>
        <v/>
      </c>
      <c r="AB87" s="155">
        <f>MONTH(O87)</f>
        <v/>
      </c>
      <c r="AC87" s="155">
        <f>YEAR(O87)</f>
        <v/>
      </c>
      <c r="AD87" s="642">
        <f>AB87&amp;"-"&amp;AC87&amp;"-"&amp;C87</f>
        <v/>
      </c>
      <c r="AE87" s="642">
        <f>C87</f>
        <v/>
      </c>
      <c r="AF87" s="685">
        <f>MATCH(AE87,ALLM!C$2:C$13,)</f>
        <v/>
      </c>
    </row>
    <row r="88">
      <c r="A88" s="158" t="n"/>
    </row>
    <row r="89" ht="18" customFormat="1" customHeight="1" s="353">
      <c r="A89" s="1" t="n"/>
      <c r="H89" s="255" t="n"/>
      <c r="I89" s="260" t="n"/>
      <c r="J89" s="255" t="n"/>
      <c r="K89" s="1" t="n"/>
      <c r="L89" s="54" t="n"/>
      <c r="M89" s="45" t="n"/>
      <c r="N89" s="394" t="n"/>
      <c r="O89" s="371" t="inlineStr">
        <is>
          <t>Sun Hung Kai Account no. 1 Total</t>
        </is>
      </c>
      <c r="P89" s="394" t="n"/>
      <c r="Q89" s="44">
        <f>SUM(Q72:Q88)</f>
        <v/>
      </c>
      <c r="R89" s="712">
        <f>SUM(R72:R88)</f>
        <v/>
      </c>
      <c r="S89" s="381" t="n"/>
      <c r="T89" s="712">
        <f>SUM(T72:T88)</f>
        <v/>
      </c>
      <c r="V89" s="687" t="n"/>
      <c r="W89" s="687" t="n"/>
      <c r="X89" s="102" t="n"/>
      <c r="Y89" s="43" t="n"/>
      <c r="Z89" s="43" t="n"/>
      <c r="AB89" s="102" t="n"/>
      <c r="AC89" s="102" t="n"/>
    </row>
    <row r="90" ht="13.5" customHeight="1" s="671">
      <c r="M90" s="39" t="n"/>
      <c r="O90" s="418" t="n"/>
      <c r="R90" s="688" t="inlineStr">
        <is>
          <t>HKD</t>
        </is>
      </c>
      <c r="S90" s="688" t="n"/>
      <c r="T90" s="688" t="inlineStr">
        <is>
          <t>HKD</t>
        </is>
      </c>
    </row>
    <row r="91" ht="21" customHeight="1" s="671">
      <c r="A91" s="80" t="inlineStr">
        <is>
          <t>SUN HUNG KAI Account No. 2</t>
        </is>
      </c>
      <c r="B91" s="52" t="n"/>
      <c r="C91" s="412" t="n"/>
      <c r="D91" s="412" t="n"/>
      <c r="E91" s="713" t="n"/>
      <c r="F91" s="713" t="n"/>
      <c r="G91" s="713" t="n"/>
      <c r="H91" s="261" t="n"/>
      <c r="I91" s="262" t="n"/>
      <c r="J91" s="263" t="n"/>
      <c r="K91" s="49" t="n"/>
      <c r="L91" s="49" t="n"/>
      <c r="M91" s="49" t="n"/>
      <c r="N91" s="645" t="n"/>
      <c r="O91" s="645" t="n"/>
      <c r="P91" s="645" t="n"/>
      <c r="Q91" s="645" t="n"/>
      <c r="R91" s="645" t="n"/>
    </row>
    <row r="92" ht="5.25" customHeight="1" s="671">
      <c r="A92" s="51" t="n"/>
      <c r="B92" s="50" t="n"/>
      <c r="C92" s="414" t="n"/>
      <c r="D92" s="414" t="n"/>
      <c r="E92" s="714" t="n"/>
      <c r="F92" s="714" t="n"/>
      <c r="G92" s="714" t="n"/>
      <c r="H92" s="264" t="n"/>
      <c r="I92" s="265" t="n"/>
      <c r="J92" s="266" t="n"/>
      <c r="K92" s="49" t="n"/>
      <c r="L92" s="49" t="n"/>
      <c r="M92" s="49" t="n"/>
      <c r="N92" s="645" t="n"/>
      <c r="O92" s="645" t="n"/>
      <c r="P92" s="645" t="n"/>
      <c r="Q92" s="645" t="n"/>
      <c r="R92" s="645" t="n"/>
    </row>
    <row r="93" ht="12.75" customHeight="1" s="671">
      <c r="B93" s="640" t="inlineStr">
        <is>
          <t>ACCUMULATOR</t>
        </is>
      </c>
      <c r="C93" s="631" t="inlineStr">
        <is>
          <t>CODE</t>
        </is>
      </c>
      <c r="D93" s="631" t="n"/>
      <c r="E93" s="624" t="inlineStr">
        <is>
          <t>SHARES / DAY</t>
        </is>
      </c>
      <c r="F93" s="625" t="n"/>
      <c r="G93" s="626" t="n"/>
      <c r="H93" s="633" t="inlineStr">
        <is>
          <t>SPOT PRICE</t>
        </is>
      </c>
      <c r="I93" s="633" t="inlineStr">
        <is>
          <t>STRIKE PRICE</t>
        </is>
      </c>
      <c r="J93" s="633" t="inlineStr">
        <is>
          <t>K/O PRICE</t>
        </is>
      </c>
      <c r="K93" s="637" t="inlineStr">
        <is>
          <t>LIFE TERM OF CONTRACT</t>
        </is>
      </c>
      <c r="L93" s="638" t="n"/>
      <c r="M93" s="639" t="n"/>
      <c r="N93" s="622" t="inlineStr">
        <is>
          <t>START DATE</t>
        </is>
      </c>
      <c r="O93" s="622" t="inlineStr">
        <is>
          <t>END DATE</t>
        </is>
      </c>
      <c r="P93" s="682" t="n"/>
      <c r="Q93" s="632" t="inlineStr">
        <is>
          <t>Estimated Total Shares Remaining</t>
        </is>
      </c>
      <c r="R93" s="683" t="inlineStr">
        <is>
          <t>Estimated Amount</t>
        </is>
      </c>
      <c r="S93" s="682" t="n"/>
      <c r="T93" s="683" t="inlineStr">
        <is>
          <t>Estimated Amount per month</t>
        </is>
      </c>
    </row>
    <row r="94" ht="22.5" customHeight="1" s="671">
      <c r="B94" s="623" t="n"/>
      <c r="C94" s="623" t="n"/>
      <c r="D94" s="390" t="inlineStr">
        <is>
          <t>SHK2</t>
        </is>
      </c>
      <c r="E94" s="627" t="n"/>
      <c r="F94" s="628" t="n"/>
      <c r="G94" s="629" t="n"/>
      <c r="H94" s="623" t="n"/>
      <c r="I94" s="623" t="n"/>
      <c r="J94" s="623" t="n"/>
      <c r="K94" s="637" t="inlineStr">
        <is>
          <t>RCVD DAYS</t>
        </is>
      </c>
      <c r="L94" s="637" t="inlineStr">
        <is>
          <t>REM DAYS</t>
        </is>
      </c>
      <c r="M94" s="637" t="inlineStr">
        <is>
          <t>Total DAYS</t>
        </is>
      </c>
      <c r="N94" s="623" t="n"/>
      <c r="O94" s="623" t="n"/>
      <c r="P94" s="682" t="n"/>
      <c r="Q94" s="623" t="n"/>
      <c r="R94" s="623" t="n"/>
      <c r="S94" s="682" t="n"/>
      <c r="T94" s="623" t="n"/>
    </row>
    <row r="95">
      <c r="A95" s="695">
        <f>IF(B95&lt;&gt;"",INDIRECT(ADDRESS(ROW()-1,COLUMN()))+1,0)</f>
        <v/>
      </c>
      <c r="B95" s="696" t="inlineStr">
        <is>
          <t>HK Exchange</t>
        </is>
      </c>
      <c r="C95" s="697" t="inlineStr">
        <is>
          <t>0388</t>
        </is>
      </c>
      <c r="D95" s="716" t="inlineStr">
        <is>
          <t>HK Exchange - 9</t>
        </is>
      </c>
      <c r="E95" s="700" t="n">
        <v>200</v>
      </c>
      <c r="F95" s="717" t="inlineStr">
        <is>
          <t>/</t>
        </is>
      </c>
      <c r="G95" s="721" t="n">
        <v>400</v>
      </c>
      <c r="H95" s="702" t="inlineStr">
        <is>
          <t>463.9858</t>
        </is>
      </c>
      <c r="I95" s="703" t="inlineStr">
        <is>
          <t>409.2355</t>
        </is>
      </c>
      <c r="J95" s="702" t="inlineStr">
        <is>
          <t>487.1851</t>
        </is>
      </c>
      <c r="K95" s="704" t="n">
        <v>224</v>
      </c>
      <c r="L95" s="705">
        <f>M95-K95</f>
        <v/>
      </c>
      <c r="M95" s="705" t="n">
        <v>245</v>
      </c>
      <c r="N95" s="722" t="inlineStr">
        <is>
          <t>26-Aug-2025</t>
        </is>
      </c>
      <c r="O95" s="722" t="inlineStr">
        <is>
          <t>25-Aug-2026</t>
        </is>
      </c>
      <c r="P95" s="720" t="n"/>
      <c r="Q95" s="708">
        <f>E95*L95*X95</f>
        <v/>
      </c>
      <c r="R95" s="709">
        <f>E95*I95*L95*X95</f>
        <v/>
      </c>
      <c r="S95" s="707" t="n"/>
      <c r="T95" s="709">
        <f>E95*I95*20*X95</f>
        <v/>
      </c>
      <c r="U95" s="0" t="n">
        <v>3.96</v>
      </c>
      <c r="V95" s="282" t="n">
        <v>0</v>
      </c>
      <c r="W95" s="282" t="n">
        <v>21</v>
      </c>
      <c r="X95" s="0" t="n">
        <v>2</v>
      </c>
      <c r="Y95" s="154">
        <f>X95*V95*E95*I95</f>
        <v/>
      </c>
      <c r="Z95" s="154">
        <f>X95*W95*E95*I95</f>
        <v/>
      </c>
      <c r="AB95" s="155">
        <f>MONTH(O95)</f>
        <v/>
      </c>
      <c r="AC95" s="155">
        <f>YEAR(O95)</f>
        <v/>
      </c>
      <c r="AD95" s="642">
        <f>AB95&amp;"-"&amp;AC95&amp;"-"&amp;C95</f>
        <v/>
      </c>
      <c r="AE95" s="642">
        <f>C95</f>
        <v/>
      </c>
      <c r="AF95" s="685">
        <f>MATCH(AE95,ALLM!C$2:C$13,)</f>
        <v/>
      </c>
    </row>
    <row r="96">
      <c r="A96" s="695">
        <f>IF(B96&lt;&gt;"",INDIRECT(ADDRESS(ROW()-1,COLUMN()))+1,0)</f>
        <v/>
      </c>
      <c r="B96" s="696" t="inlineStr">
        <is>
          <t>Shanghai Fosun Pharma</t>
        </is>
      </c>
      <c r="C96" s="697" t="inlineStr">
        <is>
          <t>2196</t>
        </is>
      </c>
      <c r="D96" s="716" t="inlineStr">
        <is>
          <t>Shanghai Fosun Pharma - 5</t>
        </is>
      </c>
      <c r="E96" s="700" t="n">
        <v>800</v>
      </c>
      <c r="F96" s="717" t="inlineStr">
        <is>
          <t>/</t>
        </is>
      </c>
      <c r="G96" s="721" t="n">
        <v>1600</v>
      </c>
      <c r="H96" s="702" t="inlineStr">
        <is>
          <t>27.7387</t>
        </is>
      </c>
      <c r="I96" s="703" t="inlineStr">
        <is>
          <t>24.6042</t>
        </is>
      </c>
      <c r="J96" s="702" t="inlineStr">
        <is>
          <t>29.1256</t>
        </is>
      </c>
      <c r="K96" s="704" t="n">
        <v>201</v>
      </c>
      <c r="L96" s="705">
        <f>M96-K96</f>
        <v/>
      </c>
      <c r="M96" s="705" t="n">
        <v>245</v>
      </c>
      <c r="N96" s="722" t="inlineStr">
        <is>
          <t>18-Sep-2025</t>
        </is>
      </c>
      <c r="O96" s="722" t="inlineStr">
        <is>
          <t>17-Sep-2026</t>
        </is>
      </c>
      <c r="P96" s="720" t="n"/>
      <c r="Q96" s="708">
        <f>E96*L96*X96</f>
        <v/>
      </c>
      <c r="R96" s="709">
        <f>E96*I96*L96*X96</f>
        <v/>
      </c>
      <c r="S96" s="707" t="n"/>
      <c r="T96" s="709">
        <f>E96*I96*20*X96</f>
        <v/>
      </c>
      <c r="U96" s="0" t="n">
        <v>3.96</v>
      </c>
      <c r="V96" s="282" t="n">
        <v>0</v>
      </c>
      <c r="W96" s="282" t="n">
        <v>21</v>
      </c>
      <c r="X96" s="0" t="n">
        <v>2</v>
      </c>
      <c r="Y96" s="154">
        <f>X96*V96*E96*I96</f>
        <v/>
      </c>
      <c r="Z96" s="154">
        <f>X96*W96*E96*I96</f>
        <v/>
      </c>
      <c r="AB96" s="155">
        <f>MONTH(O96)</f>
        <v/>
      </c>
      <c r="AC96" s="155">
        <f>YEAR(O96)</f>
        <v/>
      </c>
      <c r="AD96" s="642">
        <f>AB96&amp;"-"&amp;AC96&amp;"-"&amp;C96</f>
        <v/>
      </c>
      <c r="AE96" s="642">
        <f>C96</f>
        <v/>
      </c>
      <c r="AF96" s="685">
        <f>MATCH(AE96,ALLM!C$2:C$13,)</f>
        <v/>
      </c>
    </row>
    <row r="97">
      <c r="A97" s="695">
        <f>IF(B97&lt;&gt;"",INDIRECT(ADDRESS(ROW()-1,COLUMN()))+1,0)</f>
        <v/>
      </c>
      <c r="B97" s="696" t="inlineStr">
        <is>
          <t>Alibaba</t>
        </is>
      </c>
      <c r="C97" s="697" t="inlineStr">
        <is>
          <t>9988</t>
        </is>
      </c>
      <c r="D97" s="716" t="inlineStr">
        <is>
          <t>Alibaba - 18</t>
        </is>
      </c>
      <c r="E97" s="700" t="n">
        <v>250</v>
      </c>
      <c r="F97" s="717" t="inlineStr">
        <is>
          <t>/</t>
        </is>
      </c>
      <c r="G97" s="721" t="n">
        <v>500</v>
      </c>
      <c r="H97" s="702" t="inlineStr">
        <is>
          <t>184.3000</t>
        </is>
      </c>
      <c r="I97" s="703" t="inlineStr">
        <is>
          <t>148.0482</t>
        </is>
      </c>
      <c r="J97" s="702" t="inlineStr">
        <is>
          <t>193.5150</t>
        </is>
      </c>
      <c r="K97" s="704" t="n">
        <v>180</v>
      </c>
      <c r="L97" s="705">
        <f>M97-K97</f>
        <v/>
      </c>
      <c r="M97" s="705" t="n">
        <v>245</v>
      </c>
      <c r="N97" s="722" t="inlineStr">
        <is>
          <t>6-Oct-2025</t>
        </is>
      </c>
      <c r="O97" s="722" t="inlineStr">
        <is>
          <t>5-Oct-2026</t>
        </is>
      </c>
      <c r="P97" s="720" t="n"/>
      <c r="Q97" s="708">
        <f>E97*L97*X97</f>
        <v/>
      </c>
      <c r="R97" s="709">
        <f>E97*I97*L97*X97</f>
        <v/>
      </c>
      <c r="S97" s="707" t="n"/>
      <c r="T97" s="709">
        <f>E97*I97*20*X97</f>
        <v/>
      </c>
      <c r="U97" s="0" t="n">
        <v>3.96</v>
      </c>
      <c r="V97" s="282" t="n">
        <v>0</v>
      </c>
      <c r="W97" s="282" t="n">
        <v>21</v>
      </c>
      <c r="X97" s="0" t="n">
        <v>2</v>
      </c>
      <c r="Y97" s="154">
        <f>X97*V97*E97*I97</f>
        <v/>
      </c>
      <c r="Z97" s="154">
        <f>X97*W97*E97*I97</f>
        <v/>
      </c>
      <c r="AB97" s="155">
        <f>MONTH(O97)</f>
        <v/>
      </c>
      <c r="AC97" s="155">
        <f>YEAR(O97)</f>
        <v/>
      </c>
      <c r="AD97" s="642">
        <f>AB97&amp;"-"&amp;AC97&amp;"-"&amp;C97</f>
        <v/>
      </c>
      <c r="AE97" s="642">
        <f>C97</f>
        <v/>
      </c>
      <c r="AF97" s="685">
        <f>MATCH(AE97,ALLM!C$2:C$13,)</f>
        <v/>
      </c>
    </row>
    <row r="98">
      <c r="A98" s="695">
        <f>IF(B98&lt;&gt;"",INDIRECT(ADDRESS(ROW()-1,COLUMN()))+1,0)</f>
        <v/>
      </c>
      <c r="B98" s="696" t="inlineStr">
        <is>
          <t>Alibaba</t>
        </is>
      </c>
      <c r="C98" s="697" t="inlineStr">
        <is>
          <t>9988</t>
        </is>
      </c>
      <c r="D98" s="716" t="inlineStr">
        <is>
          <t>Alibaba - 19</t>
        </is>
      </c>
      <c r="E98" s="700" t="n">
        <v>250</v>
      </c>
      <c r="F98" s="717" t="inlineStr">
        <is>
          <t>/</t>
        </is>
      </c>
      <c r="G98" s="721" t="n">
        <v>500</v>
      </c>
      <c r="H98" s="702" t="inlineStr">
        <is>
          <t>180.4414</t>
        </is>
      </c>
      <c r="I98" s="703" t="inlineStr">
        <is>
          <t>151.4445</t>
        </is>
      </c>
      <c r="J98" s="702" t="inlineStr">
        <is>
          <t>189.4635</t>
        </is>
      </c>
      <c r="K98" s="704" t="n">
        <v>180</v>
      </c>
      <c r="L98" s="705">
        <f>M98-K98</f>
        <v/>
      </c>
      <c r="M98" s="705" t="n">
        <v>245</v>
      </c>
      <c r="N98" s="722" t="inlineStr">
        <is>
          <t>8-Oct-2025</t>
        </is>
      </c>
      <c r="O98" s="722" t="inlineStr">
        <is>
          <t>6-Oct-2026</t>
        </is>
      </c>
      <c r="P98" s="720" t="n"/>
      <c r="Q98" s="708">
        <f>E98*L98*X98</f>
        <v/>
      </c>
      <c r="R98" s="709">
        <f>E98*I98*L98*X98</f>
        <v/>
      </c>
      <c r="S98" s="707" t="n"/>
      <c r="T98" s="709">
        <f>E98*I98*20*X98</f>
        <v/>
      </c>
      <c r="U98" s="0" t="n">
        <v>3.96</v>
      </c>
      <c r="V98" s="282" t="n">
        <v>0</v>
      </c>
      <c r="W98" s="282" t="n">
        <v>23</v>
      </c>
      <c r="X98" s="0" t="n">
        <v>2</v>
      </c>
      <c r="Y98" s="154">
        <f>X98*V98*E98*I98</f>
        <v/>
      </c>
      <c r="Z98" s="154">
        <f>X98*W98*E98*I98</f>
        <v/>
      </c>
      <c r="AB98" s="155">
        <f>MONTH(O98)</f>
        <v/>
      </c>
      <c r="AC98" s="155">
        <f>YEAR(O98)</f>
        <v/>
      </c>
      <c r="AD98" s="642">
        <f>AB98&amp;"-"&amp;AC98&amp;"-"&amp;C98</f>
        <v/>
      </c>
      <c r="AE98" s="642">
        <f>C98</f>
        <v/>
      </c>
      <c r="AF98" s="685">
        <f>MATCH(AE98,ALLM!C$2:C$13,)</f>
        <v/>
      </c>
    </row>
    <row r="99">
      <c r="A99" s="695">
        <f>IF(B99&lt;&gt;"",INDIRECT(ADDRESS(ROW()-1,COLUMN()))+1,0)</f>
        <v/>
      </c>
      <c r="B99" s="696" t="inlineStr">
        <is>
          <t>Alibaba</t>
        </is>
      </c>
      <c r="C99" s="697" t="inlineStr">
        <is>
          <t>9988</t>
        </is>
      </c>
      <c r="D99" s="716" t="inlineStr">
        <is>
          <t>Alibaba - 23</t>
        </is>
      </c>
      <c r="E99" s="700" t="n">
        <v>250</v>
      </c>
      <c r="F99" s="717" t="inlineStr">
        <is>
          <t>/</t>
        </is>
      </c>
      <c r="G99" s="721" t="n">
        <v>500</v>
      </c>
      <c r="H99" s="702" t="inlineStr">
        <is>
          <t>177.5000</t>
        </is>
      </c>
      <c r="I99" s="703" t="inlineStr">
        <is>
          <t>154.5138</t>
        </is>
      </c>
      <c r="J99" s="702" t="inlineStr">
        <is>
          <t>186.3750</t>
        </is>
      </c>
      <c r="K99" s="704" t="n">
        <v>181</v>
      </c>
      <c r="L99" s="705">
        <f>M99-K99</f>
        <v/>
      </c>
      <c r="M99" s="705" t="n">
        <v>246</v>
      </c>
      <c r="N99" s="722" t="inlineStr">
        <is>
          <t>10-Oct-2025</t>
        </is>
      </c>
      <c r="O99" s="722" t="inlineStr">
        <is>
          <t>9-Oct-2026</t>
        </is>
      </c>
      <c r="P99" s="720" t="n"/>
      <c r="Q99" s="708">
        <f>E99*L99*X99</f>
        <v/>
      </c>
      <c r="R99" s="709">
        <f>E99*I99*L99*X99</f>
        <v/>
      </c>
      <c r="S99" s="707" t="n"/>
      <c r="T99" s="709">
        <f>E99*I99*20*X99</f>
        <v/>
      </c>
      <c r="U99" s="0" t="n">
        <v>3.96</v>
      </c>
      <c r="V99" s="282" t="n">
        <v>0</v>
      </c>
      <c r="W99" s="282" t="n">
        <v>22</v>
      </c>
      <c r="X99" s="0" t="n">
        <v>2</v>
      </c>
      <c r="Y99" s="154">
        <f>X99*V99*E99*I99</f>
        <v/>
      </c>
      <c r="Z99" s="154">
        <f>X99*W99*E99*I99</f>
        <v/>
      </c>
      <c r="AB99" s="155">
        <f>MONTH(O99)</f>
        <v/>
      </c>
      <c r="AC99" s="155">
        <f>YEAR(O99)</f>
        <v/>
      </c>
      <c r="AD99" s="642">
        <f>AB99&amp;"-"&amp;AC99&amp;"-"&amp;C99</f>
        <v/>
      </c>
      <c r="AE99" s="642">
        <f>C99</f>
        <v/>
      </c>
      <c r="AF99" s="685">
        <f>MATCH(AE99,ALLM!C$2:C$13,)</f>
        <v/>
      </c>
    </row>
    <row r="100">
      <c r="A100" s="695">
        <f>IF(B100&lt;&gt;"",INDIRECT(ADDRESS(ROW()-1,COLUMN()))+1,0)</f>
        <v/>
      </c>
      <c r="B100" s="696" t="inlineStr">
        <is>
          <t>Kuaishou Tech</t>
        </is>
      </c>
      <c r="C100" s="697" t="inlineStr">
        <is>
          <t>1024</t>
        </is>
      </c>
      <c r="D100" s="716" t="inlineStr">
        <is>
          <t>Kuaishou Tech - 4</t>
        </is>
      </c>
      <c r="E100" s="700" t="n">
        <v>2000</v>
      </c>
      <c r="F100" s="717" t="inlineStr">
        <is>
          <t>/</t>
        </is>
      </c>
      <c r="G100" s="721" t="n">
        <v>4000</v>
      </c>
      <c r="H100" s="702" t="inlineStr">
        <is>
          <t>84.8623</t>
        </is>
      </c>
      <c r="I100" s="703" t="inlineStr">
        <is>
          <t>69.8671</t>
        </is>
      </c>
      <c r="J100" s="702" t="inlineStr">
        <is>
          <t>89.1054</t>
        </is>
      </c>
      <c r="K100" s="704" t="n">
        <v>181</v>
      </c>
      <c r="L100" s="705">
        <f>M100-K100</f>
        <v/>
      </c>
      <c r="M100" s="705" t="n">
        <v>246</v>
      </c>
      <c r="N100" s="722" t="inlineStr">
        <is>
          <t>13-Oct-2025</t>
        </is>
      </c>
      <c r="O100" s="722" t="inlineStr">
        <is>
          <t>12-Oct-2026</t>
        </is>
      </c>
      <c r="P100" s="720" t="n"/>
      <c r="Q100" s="708">
        <f>E100*L100*X100</f>
        <v/>
      </c>
      <c r="R100" s="709">
        <f>E100*I100*L100*X100</f>
        <v/>
      </c>
      <c r="S100" s="707" t="n"/>
      <c r="T100" s="709">
        <f>E100*I100*20*X100</f>
        <v/>
      </c>
      <c r="U100" s="0" t="n">
        <v>3.96</v>
      </c>
      <c r="V100" s="282" t="n">
        <v>0</v>
      </c>
      <c r="W100" s="282" t="n">
        <v>21</v>
      </c>
      <c r="X100" s="0" t="n">
        <v>2</v>
      </c>
      <c r="Y100" s="154">
        <f>X100*V100*E100*I100</f>
        <v/>
      </c>
      <c r="Z100" s="154">
        <f>X100*W100*E100*I100</f>
        <v/>
      </c>
      <c r="AB100" s="155">
        <f>MONTH(O100)</f>
        <v/>
      </c>
      <c r="AC100" s="155">
        <f>YEAR(O100)</f>
        <v/>
      </c>
      <c r="AD100" s="642">
        <f>AB100&amp;"-"&amp;AC100&amp;"-"&amp;C100</f>
        <v/>
      </c>
      <c r="AE100" s="642">
        <f>C100</f>
        <v/>
      </c>
      <c r="AF100" s="685">
        <f>MATCH(AE100,ALLM!C$2:C$13,)</f>
        <v/>
      </c>
    </row>
    <row r="101">
      <c r="A101" s="695">
        <f>IF(B101&lt;&gt;"",INDIRECT(ADDRESS(ROW()-1,COLUMN()))+1,0)</f>
        <v/>
      </c>
      <c r="B101" s="696" t="inlineStr">
        <is>
          <t>Tencent</t>
        </is>
      </c>
      <c r="C101" s="697" t="inlineStr">
        <is>
          <t>0700</t>
        </is>
      </c>
      <c r="D101" s="716" t="inlineStr">
        <is>
          <t>Tencent - 26</t>
        </is>
      </c>
      <c r="E101" s="700" t="n">
        <v>150</v>
      </c>
      <c r="F101" s="717" t="inlineStr">
        <is>
          <t>/</t>
        </is>
      </c>
      <c r="G101" s="721" t="n">
        <v>300</v>
      </c>
      <c r="H101" s="702" t="inlineStr">
        <is>
          <t>625.5000</t>
        </is>
      </c>
      <c r="I101" s="703" t="inlineStr">
        <is>
          <t>582.0903</t>
        </is>
      </c>
      <c r="J101" s="702" t="inlineStr">
        <is>
          <t>644.2650</t>
        </is>
      </c>
      <c r="K101" s="704" t="n">
        <v>161</v>
      </c>
      <c r="L101" s="705">
        <f>M101-K101</f>
        <v/>
      </c>
      <c r="M101" s="705" t="n">
        <v>182</v>
      </c>
      <c r="N101" s="722" t="inlineStr">
        <is>
          <t>25-Nov-2025</t>
        </is>
      </c>
      <c r="O101" s="722" t="inlineStr">
        <is>
          <t>24-Aug-2026</t>
        </is>
      </c>
      <c r="P101" s="720" t="n"/>
      <c r="Q101" s="708">
        <f>E101*L101*X101</f>
        <v/>
      </c>
      <c r="R101" s="709">
        <f>E101*I101*L101*X101</f>
        <v/>
      </c>
      <c r="S101" s="707" t="n"/>
      <c r="T101" s="709">
        <f>E101*I101*20*X101</f>
        <v/>
      </c>
      <c r="U101" s="0" t="n">
        <v>3.96</v>
      </c>
      <c r="V101" s="282" t="n">
        <v>0</v>
      </c>
      <c r="W101" s="282" t="n">
        <v>21</v>
      </c>
      <c r="X101" s="0" t="n">
        <v>2</v>
      </c>
      <c r="Y101" s="154">
        <f>X101*V101*E101*I101</f>
        <v/>
      </c>
      <c r="Z101" s="154">
        <f>X101*W101*E101*I101</f>
        <v/>
      </c>
      <c r="AB101" s="155">
        <f>MONTH(O101)</f>
        <v/>
      </c>
      <c r="AC101" s="155">
        <f>YEAR(O101)</f>
        <v/>
      </c>
      <c r="AD101" s="642">
        <f>AB101&amp;"-"&amp;AC101&amp;"-"&amp;C101</f>
        <v/>
      </c>
      <c r="AE101" s="642">
        <f>C101</f>
        <v/>
      </c>
      <c r="AF101" s="685">
        <f>MATCH(AE101,ALLM!C$2:C$13,)</f>
        <v/>
      </c>
    </row>
    <row r="102">
      <c r="A102" s="695">
        <f>IF(B102&lt;&gt;"",INDIRECT(ADDRESS(ROW()-1,COLUMN()))+1,0)</f>
        <v/>
      </c>
      <c r="B102" s="696" t="inlineStr">
        <is>
          <t>Baidu Inc A</t>
        </is>
      </c>
      <c r="C102" s="697" t="inlineStr">
        <is>
          <t>9888</t>
        </is>
      </c>
      <c r="D102" s="716" t="inlineStr">
        <is>
          <t>Baidu Inc A - 1</t>
        </is>
      </c>
      <c r="E102" s="700" t="n">
        <v>150</v>
      </c>
      <c r="F102" s="717" t="inlineStr">
        <is>
          <t>/</t>
        </is>
      </c>
      <c r="G102" s="721" t="n">
        <v>300</v>
      </c>
      <c r="H102" s="702" t="inlineStr">
        <is>
          <t>155.5000</t>
        </is>
      </c>
      <c r="I102" s="703" t="inlineStr">
        <is>
          <t>122.3008</t>
        </is>
      </c>
      <c r="J102" s="702" t="inlineStr">
        <is>
          <t>163.2750</t>
        </is>
      </c>
      <c r="K102" s="704" t="n">
        <v>120</v>
      </c>
      <c r="L102" s="705">
        <f>M102-K102</f>
        <v/>
      </c>
      <c r="M102" s="705" t="n">
        <v>301</v>
      </c>
      <c r="N102" s="722" t="inlineStr">
        <is>
          <t>29-Jan-2026</t>
        </is>
      </c>
      <c r="O102" s="722" t="inlineStr">
        <is>
          <t>21-Apr-2027</t>
        </is>
      </c>
      <c r="P102" s="720" t="n"/>
      <c r="Q102" s="708">
        <f>E102*L102*X102</f>
        <v/>
      </c>
      <c r="R102" s="709">
        <f>E102*I102*L102*X102</f>
        <v/>
      </c>
      <c r="S102" s="707" t="n"/>
      <c r="T102" s="709">
        <f>E102*I102*20*X102</f>
        <v/>
      </c>
      <c r="U102" s="0" t="n">
        <v>3.96</v>
      </c>
      <c r="V102" s="282" t="n">
        <v>0</v>
      </c>
      <c r="W102" s="282" t="n">
        <v>20</v>
      </c>
      <c r="X102" s="0" t="n">
        <v>2</v>
      </c>
      <c r="Y102" s="154">
        <f>X102*V102*E102*I102</f>
        <v/>
      </c>
      <c r="Z102" s="154">
        <f>X102*W102*E102*I102</f>
        <v/>
      </c>
      <c r="AB102" s="155">
        <f>MONTH(O102)</f>
        <v/>
      </c>
      <c r="AC102" s="155">
        <f>YEAR(O102)</f>
        <v/>
      </c>
      <c r="AD102" s="642">
        <f>AB102&amp;"-"&amp;AC102&amp;"-"&amp;C102</f>
        <v/>
      </c>
      <c r="AE102" s="642">
        <f>C102</f>
        <v/>
      </c>
      <c r="AF102" s="685">
        <f>MATCH(AE102,ALLM!C$2:C$13,)</f>
        <v/>
      </c>
    </row>
    <row r="103">
      <c r="A103" s="695">
        <f>IF(B103&lt;&gt;"",INDIRECT(ADDRESS(ROW()-1,COLUMN()))+1,0)</f>
        <v/>
      </c>
      <c r="B103" s="696" t="inlineStr">
        <is>
          <t>China Molybdenum</t>
        </is>
      </c>
      <c r="C103" s="697" t="inlineStr">
        <is>
          <t>3993</t>
        </is>
      </c>
      <c r="D103" s="716" t="inlineStr">
        <is>
          <t>China Molybdenum - 29</t>
        </is>
      </c>
      <c r="E103" s="700" t="n">
        <v>3500</v>
      </c>
      <c r="F103" s="717" t="inlineStr">
        <is>
          <t>/</t>
        </is>
      </c>
      <c r="G103" s="721" t="n">
        <v>7000</v>
      </c>
      <c r="H103" s="702" t="inlineStr">
        <is>
          <t>23.6340</t>
        </is>
      </c>
      <c r="I103" s="703" t="inlineStr">
        <is>
          <t>18.8741</t>
        </is>
      </c>
      <c r="J103" s="702" t="inlineStr">
        <is>
          <t>25.9974</t>
        </is>
      </c>
      <c r="K103" s="704" t="n">
        <v>119</v>
      </c>
      <c r="L103" s="705">
        <f>M103-K103</f>
        <v/>
      </c>
      <c r="M103" s="705" t="n">
        <v>247</v>
      </c>
      <c r="N103" s="722" t="inlineStr">
        <is>
          <t>30-Jan-2026</t>
        </is>
      </c>
      <c r="O103" s="722" t="inlineStr">
        <is>
          <t>29-Jan-2027</t>
        </is>
      </c>
      <c r="P103" s="720" t="n"/>
      <c r="Q103" s="708">
        <f>E103*L103*X103</f>
        <v/>
      </c>
      <c r="R103" s="709">
        <f>E103*I103*L103*X103</f>
        <v/>
      </c>
      <c r="S103" s="707" t="n"/>
      <c r="T103" s="709">
        <f>E103*I103*20*X103</f>
        <v/>
      </c>
      <c r="U103" s="0" t="n">
        <v>3.96</v>
      </c>
      <c r="V103" s="282" t="n">
        <v>0</v>
      </c>
      <c r="W103" s="282" t="n">
        <v>0</v>
      </c>
      <c r="X103" s="0" t="n">
        <v>2</v>
      </c>
      <c r="Y103" s="154">
        <f>X103*V103*E103*I103</f>
        <v/>
      </c>
      <c r="Z103" s="154">
        <f>X103*W103*E103*I103</f>
        <v/>
      </c>
      <c r="AB103" s="155">
        <f>MONTH(O103)</f>
        <v/>
      </c>
      <c r="AC103" s="155">
        <f>YEAR(O103)</f>
        <v/>
      </c>
      <c r="AD103" s="642">
        <f>AB103&amp;"-"&amp;AC103&amp;"-"&amp;C103</f>
        <v/>
      </c>
      <c r="AE103" s="642">
        <f>C103</f>
        <v/>
      </c>
      <c r="AF103" s="685">
        <f>MATCH(AE103,ALLM!C$2:C$13,)</f>
        <v/>
      </c>
    </row>
    <row r="104">
      <c r="A104" s="695">
        <f>IF(B104&lt;&gt;"",INDIRECT(ADDRESS(ROW()-1,COLUMN()))+1,0)</f>
        <v/>
      </c>
      <c r="B104" s="696" t="inlineStr">
        <is>
          <t>Tencent</t>
        </is>
      </c>
      <c r="C104" s="697" t="inlineStr">
        <is>
          <t>0700</t>
        </is>
      </c>
      <c r="D104" s="716" t="inlineStr">
        <is>
          <t>Tencent - 27</t>
        </is>
      </c>
      <c r="E104" s="700" t="n">
        <v>150</v>
      </c>
      <c r="F104" s="717" t="inlineStr">
        <is>
          <t>/</t>
        </is>
      </c>
      <c r="G104" s="721" t="n">
        <v>300</v>
      </c>
      <c r="H104" s="702" t="inlineStr">
        <is>
          <t>599.5000</t>
        </is>
      </c>
      <c r="I104" s="703" t="inlineStr">
        <is>
          <t>546.7440</t>
        </is>
      </c>
      <c r="J104" s="702" t="inlineStr">
        <is>
          <t>629.4750</t>
        </is>
      </c>
      <c r="K104" s="704" t="n">
        <v>98</v>
      </c>
      <c r="L104" s="705">
        <f>M104-K104</f>
        <v/>
      </c>
      <c r="M104" s="705" t="n">
        <v>183</v>
      </c>
      <c r="N104" s="722" t="inlineStr">
        <is>
          <t>3-Feb-2026</t>
        </is>
      </c>
      <c r="O104" s="722" t="inlineStr">
        <is>
          <t>2-Nov-2026</t>
        </is>
      </c>
      <c r="P104" s="720" t="n"/>
      <c r="Q104" s="708">
        <f>E104*L104*X104</f>
        <v/>
      </c>
      <c r="R104" s="709">
        <f>E104*I104*L104*X104</f>
        <v/>
      </c>
      <c r="S104" s="707" t="n"/>
      <c r="T104" s="709">
        <f>E104*I104*20*X104</f>
        <v/>
      </c>
      <c r="U104" s="0" t="n">
        <v>3.96</v>
      </c>
      <c r="V104" s="282" t="n">
        <v>0</v>
      </c>
      <c r="W104" s="282" t="n">
        <v>22</v>
      </c>
      <c r="X104" s="0" t="n">
        <v>2</v>
      </c>
      <c r="Y104" s="154">
        <f>X104*V104*E104*I104</f>
        <v/>
      </c>
      <c r="Z104" s="154">
        <f>X104*W104*E104*I104</f>
        <v/>
      </c>
      <c r="AB104" s="155">
        <f>MONTH(O104)</f>
        <v/>
      </c>
      <c r="AC104" s="155">
        <f>YEAR(O104)</f>
        <v/>
      </c>
      <c r="AD104" s="642">
        <f>AB104&amp;"-"&amp;AC104&amp;"-"&amp;C104</f>
        <v/>
      </c>
      <c r="AE104" s="642">
        <f>C104</f>
        <v/>
      </c>
      <c r="AF104" s="685">
        <f>MATCH(AE104,ALLM!C$2:C$13,)</f>
        <v/>
      </c>
    </row>
    <row r="105">
      <c r="A105" s="695">
        <f>IF(B105&lt;&gt;"",INDIRECT(ADDRESS(ROW()-1,COLUMN()))+1,0)</f>
        <v/>
      </c>
      <c r="B105" s="696" t="inlineStr">
        <is>
          <t>Alibaba</t>
        </is>
      </c>
      <c r="C105" s="697" t="inlineStr">
        <is>
          <t>9988</t>
        </is>
      </c>
      <c r="D105" s="716" t="inlineStr">
        <is>
          <t>Alibaba - 24</t>
        </is>
      </c>
      <c r="E105" s="700" t="n">
        <v>200</v>
      </c>
      <c r="F105" s="717" t="inlineStr">
        <is>
          <t>/</t>
        </is>
      </c>
      <c r="G105" s="721" t="n">
        <v>400</v>
      </c>
      <c r="H105" s="702" t="inlineStr">
        <is>
          <t>133.3000</t>
        </is>
      </c>
      <c r="I105" s="703" t="inlineStr">
        <is>
          <t>114.0382</t>
        </is>
      </c>
      <c r="J105" s="702" t="inlineStr">
        <is>
          <t>153.2950</t>
        </is>
      </c>
      <c r="K105" s="704" t="n">
        <v>81</v>
      </c>
      <c r="L105" s="705">
        <f>M105-K105</f>
        <v/>
      </c>
      <c r="M105" s="705" t="n">
        <v>188</v>
      </c>
      <c r="N105" s="722" t="inlineStr">
        <is>
          <t>11-Mar-2026</t>
        </is>
      </c>
      <c r="O105" s="722" t="inlineStr">
        <is>
          <t>10-Dec-2026</t>
        </is>
      </c>
      <c r="P105" s="720" t="n"/>
      <c r="Q105" s="708">
        <f>E105*L105*X105</f>
        <v/>
      </c>
      <c r="R105" s="709">
        <f>E105*I105*L105*X105</f>
        <v/>
      </c>
      <c r="S105" s="707" t="n"/>
      <c r="T105" s="709">
        <f>E105*I105*20*X105</f>
        <v/>
      </c>
      <c r="U105" s="0" t="n">
        <v>3.96</v>
      </c>
      <c r="V105" s="282" t="n">
        <v>0</v>
      </c>
      <c r="W105" s="282" t="n">
        <v>21</v>
      </c>
      <c r="X105" s="0" t="n">
        <v>2</v>
      </c>
      <c r="Y105" s="154">
        <f>X105*V105*E105*I105</f>
        <v/>
      </c>
      <c r="Z105" s="154">
        <f>X105*W105*E105*I105</f>
        <v/>
      </c>
      <c r="AB105" s="155">
        <f>MONTH(O105)</f>
        <v/>
      </c>
      <c r="AC105" s="155">
        <f>YEAR(O105)</f>
        <v/>
      </c>
      <c r="AD105" s="642">
        <f>AB105&amp;"-"&amp;AC105&amp;"-"&amp;C105</f>
        <v/>
      </c>
      <c r="AE105" s="642">
        <f>C105</f>
        <v/>
      </c>
      <c r="AF105" s="685">
        <f>MATCH(AE105,ALLM!C$2:C$13,)</f>
        <v/>
      </c>
    </row>
    <row r="106">
      <c r="A106" s="695">
        <f>IF(B106&lt;&gt;"",INDIRECT(ADDRESS(ROW()-1,COLUMN()))+1,0)</f>
        <v/>
      </c>
      <c r="B106" s="696" t="inlineStr">
        <is>
          <t>Geely Motor</t>
        </is>
      </c>
      <c r="C106" s="697" t="inlineStr">
        <is>
          <t>0175</t>
        </is>
      </c>
      <c r="D106" s="716" t="inlineStr">
        <is>
          <t>Geely Motor - 11</t>
        </is>
      </c>
      <c r="E106" s="700" t="n">
        <v>2000</v>
      </c>
      <c r="F106" s="717" t="inlineStr">
        <is>
          <t>/</t>
        </is>
      </c>
      <c r="G106" s="721" t="n">
        <v>4000</v>
      </c>
      <c r="H106" s="702" t="inlineStr">
        <is>
          <t>25.0106</t>
        </is>
      </c>
      <c r="I106" s="703" t="inlineStr">
        <is>
          <t>20.5612</t>
        </is>
      </c>
      <c r="J106" s="702" t="inlineStr">
        <is>
          <t>26.2611</t>
        </is>
      </c>
      <c r="K106" s="704" t="n">
        <v>61</v>
      </c>
      <c r="L106" s="705">
        <f>M106-K106</f>
        <v/>
      </c>
      <c r="M106" s="705" t="n">
        <v>248</v>
      </c>
      <c r="N106" s="722" t="inlineStr">
        <is>
          <t>14-Apr-2026</t>
        </is>
      </c>
      <c r="O106" s="722" t="inlineStr">
        <is>
          <t>13-Apr-2027</t>
        </is>
      </c>
      <c r="P106" s="720" t="n"/>
      <c r="Q106" s="708">
        <f>E106*L106*X106</f>
        <v/>
      </c>
      <c r="R106" s="709">
        <f>E106*I106*L106*X106</f>
        <v/>
      </c>
      <c r="S106" s="707" t="n"/>
      <c r="T106" s="709">
        <f>E106*I106*20*X106</f>
        <v/>
      </c>
      <c r="U106" s="0" t="n">
        <v>3.96</v>
      </c>
      <c r="V106" s="282" t="n">
        <v>0</v>
      </c>
      <c r="W106" s="282" t="n">
        <v>23</v>
      </c>
      <c r="X106" s="0" t="n">
        <v>2</v>
      </c>
      <c r="Y106" s="154">
        <f>X106*V106*E106*I106</f>
        <v/>
      </c>
      <c r="Z106" s="154">
        <f>X106*W106*E106*I106</f>
        <v/>
      </c>
      <c r="AB106" s="155">
        <f>MONTH(O106)</f>
        <v/>
      </c>
      <c r="AC106" s="155">
        <f>YEAR(O106)</f>
        <v/>
      </c>
      <c r="AD106" s="642">
        <f>AB106&amp;"-"&amp;AC106&amp;"-"&amp;C106</f>
        <v/>
      </c>
      <c r="AE106" s="642">
        <f>C106</f>
        <v/>
      </c>
      <c r="AF106" s="685">
        <f>MATCH(AE106,ALLM!C$2:C$13,)</f>
        <v/>
      </c>
    </row>
    <row r="107">
      <c r="A107" s="695">
        <f>IF(B107&lt;&gt;"",INDIRECT(ADDRESS(ROW()-1,COLUMN()))+1,0)</f>
        <v/>
      </c>
      <c r="B107" s="696" t="inlineStr">
        <is>
          <t>Geely Motor</t>
        </is>
      </c>
      <c r="C107" s="697" t="inlineStr">
        <is>
          <t>0175</t>
        </is>
      </c>
      <c r="D107" s="716" t="inlineStr">
        <is>
          <t>Geely Motor - 12</t>
        </is>
      </c>
      <c r="E107" s="721" t="n">
        <v>3500</v>
      </c>
      <c r="F107" s="717" t="inlineStr">
        <is>
          <t>/</t>
        </is>
      </c>
      <c r="G107" s="700" t="n">
        <v>7000</v>
      </c>
      <c r="H107" s="702" t="inlineStr">
        <is>
          <t>24.2600</t>
        </is>
      </c>
      <c r="I107" s="703" t="inlineStr">
        <is>
          <t>18.3187</t>
        </is>
      </c>
      <c r="J107" s="702" t="inlineStr">
        <is>
          <t>25.4730</t>
        </is>
      </c>
      <c r="K107" s="704" t="n">
        <v>61</v>
      </c>
      <c r="L107" s="705">
        <f>M107-K107</f>
        <v/>
      </c>
      <c r="M107" s="705" t="n">
        <v>250</v>
      </c>
      <c r="N107" s="722" t="inlineStr">
        <is>
          <t>21-Apr-2026</t>
        </is>
      </c>
      <c r="O107" s="722" t="inlineStr">
        <is>
          <t>20-Apr-2027</t>
        </is>
      </c>
      <c r="P107" s="720" t="n"/>
      <c r="Q107" s="708">
        <f>E107*L107*X107</f>
        <v/>
      </c>
      <c r="R107" s="709">
        <f>E107*I107*L107*X107</f>
        <v/>
      </c>
      <c r="S107" s="707" t="n"/>
      <c r="T107" s="709">
        <f>E107*I107*20*X107</f>
        <v/>
      </c>
      <c r="U107" s="0" t="n">
        <v>3.96</v>
      </c>
      <c r="V107" s="282" t="n">
        <v>0</v>
      </c>
      <c r="W107" s="282" t="n">
        <v>23</v>
      </c>
      <c r="X107" s="0" t="n">
        <v>1</v>
      </c>
      <c r="Y107" s="154">
        <f>X107*V107*E107*I107</f>
        <v/>
      </c>
      <c r="Z107" s="154">
        <f>X107*W107*E107*I107</f>
        <v/>
      </c>
      <c r="AB107" s="155">
        <f>MONTH(O107)</f>
        <v/>
      </c>
      <c r="AC107" s="155">
        <f>YEAR(O107)</f>
        <v/>
      </c>
      <c r="AD107" s="642">
        <f>AB107&amp;"-"&amp;AC107&amp;"-"&amp;C107</f>
        <v/>
      </c>
      <c r="AE107" s="642">
        <f>C107</f>
        <v/>
      </c>
      <c r="AF107" s="685">
        <f>MATCH(AE107,ALLM!C$2:C$13,)</f>
        <v/>
      </c>
    </row>
    <row r="108">
      <c r="A108" s="695">
        <f>IF(B108&lt;&gt;"",INDIRECT(ADDRESS(ROW()-1,COLUMN()))+1,0)</f>
        <v/>
      </c>
      <c r="B108" s="696" t="inlineStr">
        <is>
          <t>Shanghai Fosun Pharma</t>
        </is>
      </c>
      <c r="C108" s="697" t="inlineStr">
        <is>
          <t>2196</t>
        </is>
      </c>
      <c r="D108" s="716" t="inlineStr">
        <is>
          <t>Shanghai Fosun Pharma - 6</t>
        </is>
      </c>
      <c r="E108" s="700" t="n">
        <v>600</v>
      </c>
      <c r="F108" s="717" t="inlineStr">
        <is>
          <t>/</t>
        </is>
      </c>
      <c r="G108" s="721" t="n">
        <v>1200</v>
      </c>
      <c r="H108" s="702" t="inlineStr">
        <is>
          <t>20.0956</t>
        </is>
      </c>
      <c r="I108" s="703" t="inlineStr">
        <is>
          <t>17.0350</t>
        </is>
      </c>
      <c r="J108" s="702" t="inlineStr">
        <is>
          <t>21.1004</t>
        </is>
      </c>
      <c r="K108" s="704" t="n">
        <v>61</v>
      </c>
      <c r="L108" s="705">
        <f>M108-K108</f>
        <v/>
      </c>
      <c r="M108" s="705" t="n">
        <v>189</v>
      </c>
      <c r="N108" s="722" t="inlineStr">
        <is>
          <t>21-Apr-2026</t>
        </is>
      </c>
      <c r="O108" s="722" t="inlineStr">
        <is>
          <t>20-Jan-2027</t>
        </is>
      </c>
      <c r="P108" s="720" t="n"/>
      <c r="Q108" s="708">
        <f>E108*L108*X108</f>
        <v/>
      </c>
      <c r="R108" s="709">
        <f>E108*I108*L108*X108</f>
        <v/>
      </c>
      <c r="S108" s="707" t="n"/>
      <c r="T108" s="709">
        <f>E108*I108*20*X108</f>
        <v/>
      </c>
      <c r="U108" s="0" t="n">
        <v>3.96</v>
      </c>
      <c r="V108" s="282" t="n">
        <v>0</v>
      </c>
      <c r="W108" s="282" t="n">
        <v>23</v>
      </c>
      <c r="X108" s="0" t="n">
        <v>2</v>
      </c>
      <c r="Y108" s="154">
        <f>X108*V108*E108*I108</f>
        <v/>
      </c>
      <c r="Z108" s="154">
        <f>X108*W108*E108*I108</f>
        <v/>
      </c>
      <c r="AB108" s="155">
        <f>MONTH(O108)</f>
        <v/>
      </c>
      <c r="AC108" s="155">
        <f>YEAR(O108)</f>
        <v/>
      </c>
      <c r="AD108" s="642">
        <f>AB108&amp;"-"&amp;AC108&amp;"-"&amp;C108</f>
        <v/>
      </c>
      <c r="AE108" s="642">
        <f>C108</f>
        <v/>
      </c>
      <c r="AF108" s="685">
        <f>MATCH(AE108,ALLM!C$2:C$13,)</f>
        <v/>
      </c>
    </row>
    <row r="109">
      <c r="A109" s="695">
        <f>IF(B109&lt;&gt;"",INDIRECT(ADDRESS(ROW()-1,COLUMN()))+1,0)</f>
        <v/>
      </c>
      <c r="B109" s="696" t="inlineStr">
        <is>
          <t>Geely Motor</t>
        </is>
      </c>
      <c r="C109" s="697" t="inlineStr">
        <is>
          <t>0175</t>
        </is>
      </c>
      <c r="D109" s="716" t="inlineStr">
        <is>
          <t>Geely Motor - 13</t>
        </is>
      </c>
      <c r="E109" s="721" t="n">
        <v>3000</v>
      </c>
      <c r="F109" s="717" t="inlineStr">
        <is>
          <t>/</t>
        </is>
      </c>
      <c r="G109" s="700" t="n">
        <v>6000</v>
      </c>
      <c r="H109" s="702" t="inlineStr">
        <is>
          <t>23.9315</t>
        </is>
      </c>
      <c r="I109" s="703" t="inlineStr">
        <is>
          <t>18.5732</t>
        </is>
      </c>
      <c r="J109" s="702" t="inlineStr">
        <is>
          <t>26.3247</t>
        </is>
      </c>
      <c r="K109" s="704" t="n">
        <v>61</v>
      </c>
      <c r="L109" s="705">
        <f>M109-K109</f>
        <v/>
      </c>
      <c r="M109" s="705" t="n">
        <v>250</v>
      </c>
      <c r="N109" s="722" t="inlineStr">
        <is>
          <t>22-Apr-2026</t>
        </is>
      </c>
      <c r="O109" s="722" t="inlineStr">
        <is>
          <t>21-Apr-2027</t>
        </is>
      </c>
      <c r="P109" s="720" t="n"/>
      <c r="Q109" s="708">
        <f>E109*L109*X109</f>
        <v/>
      </c>
      <c r="R109" s="709">
        <f>E109*I109*L109*X109</f>
        <v/>
      </c>
      <c r="S109" s="707" t="n"/>
      <c r="T109" s="709">
        <f>E109*I109*20*X109</f>
        <v/>
      </c>
      <c r="U109" s="0" t="n">
        <v>3.96</v>
      </c>
      <c r="V109" s="282" t="n">
        <v>0</v>
      </c>
      <c r="W109" s="282" t="n">
        <v>23</v>
      </c>
      <c r="X109" s="0" t="n">
        <v>1</v>
      </c>
      <c r="Y109" s="154">
        <f>X109*V109*E109*I109</f>
        <v/>
      </c>
      <c r="Z109" s="154">
        <f>X109*W109*E109*I109</f>
        <v/>
      </c>
      <c r="AB109" s="155">
        <f>MONTH(O109)</f>
        <v/>
      </c>
      <c r="AC109" s="155">
        <f>YEAR(O109)</f>
        <v/>
      </c>
      <c r="AD109" s="642">
        <f>AB109&amp;"-"&amp;AC109&amp;"-"&amp;C109</f>
        <v/>
      </c>
      <c r="AE109" s="642">
        <f>C109</f>
        <v/>
      </c>
      <c r="AF109" s="685">
        <f>MATCH(AE109,ALLM!C$2:C$13,)</f>
        <v/>
      </c>
    </row>
    <row r="110">
      <c r="A110" s="695">
        <f>IF(B110&lt;&gt;"",INDIRECT(ADDRESS(ROW()-1,COLUMN()))+1,0)</f>
        <v/>
      </c>
      <c r="B110" s="696" t="inlineStr">
        <is>
          <t>HK Exchange</t>
        </is>
      </c>
      <c r="C110" s="697" t="inlineStr">
        <is>
          <t>0388</t>
        </is>
      </c>
      <c r="D110" s="716" t="inlineStr">
        <is>
          <t>HK Exchange - 10</t>
        </is>
      </c>
      <c r="E110" s="721" t="n">
        <v>160</v>
      </c>
      <c r="F110" s="717" t="inlineStr">
        <is>
          <t>/</t>
        </is>
      </c>
      <c r="G110" s="700" t="n">
        <v>320</v>
      </c>
      <c r="H110" s="702" t="inlineStr">
        <is>
          <t>409.8000</t>
        </is>
      </c>
      <c r="I110" s="703" t="inlineStr">
        <is>
          <t>366.9759</t>
        </is>
      </c>
      <c r="J110" s="702" t="inlineStr">
        <is>
          <t>450.7800</t>
        </is>
      </c>
      <c r="K110" s="704" t="n">
        <v>61</v>
      </c>
      <c r="L110" s="705">
        <f>M110-K110</f>
        <v/>
      </c>
      <c r="M110" s="705" t="n">
        <v>250</v>
      </c>
      <c r="N110" s="722" t="inlineStr">
        <is>
          <t>27-Apr-2026</t>
        </is>
      </c>
      <c r="O110" s="722" t="inlineStr">
        <is>
          <t>26-Apr-2027</t>
        </is>
      </c>
      <c r="P110" s="720" t="n"/>
      <c r="Q110" s="708">
        <f>E110*L110*X110</f>
        <v/>
      </c>
      <c r="R110" s="709">
        <f>E110*I110*L110*X110</f>
        <v/>
      </c>
      <c r="S110" s="707" t="n"/>
      <c r="T110" s="709">
        <f>E110*I110*20*X110</f>
        <v/>
      </c>
      <c r="U110" s="0" t="n">
        <v>3.96</v>
      </c>
      <c r="V110" s="282" t="n">
        <v>0</v>
      </c>
      <c r="W110" s="282" t="n">
        <v>21</v>
      </c>
      <c r="X110" s="0" t="n">
        <v>1</v>
      </c>
      <c r="Y110" s="154">
        <f>X110*V110*E110*I110</f>
        <v/>
      </c>
      <c r="Z110" s="154">
        <f>X110*W110*E110*I110</f>
        <v/>
      </c>
      <c r="AB110" s="155">
        <f>MONTH(O110)</f>
        <v/>
      </c>
      <c r="AC110" s="155">
        <f>YEAR(O110)</f>
        <v/>
      </c>
      <c r="AD110" s="642">
        <f>AB110&amp;"-"&amp;AC110&amp;"-"&amp;C110</f>
        <v/>
      </c>
      <c r="AE110" s="642">
        <f>C110</f>
        <v/>
      </c>
      <c r="AF110" s="685">
        <f>MATCH(AE110,ALLM!C$2:C$13,)</f>
        <v/>
      </c>
    </row>
    <row r="111">
      <c r="A111" s="695">
        <f>IF(B111&lt;&gt;"",INDIRECT(ADDRESS(ROW()-1,COLUMN()))+1,0)</f>
        <v/>
      </c>
      <c r="B111" s="696" t="inlineStr">
        <is>
          <t>China Molybdenum</t>
        </is>
      </c>
      <c r="C111" s="697" t="inlineStr">
        <is>
          <t>3993</t>
        </is>
      </c>
      <c r="D111" s="716" t="inlineStr">
        <is>
          <t>China Molybdenum - 32</t>
        </is>
      </c>
      <c r="E111" s="721" t="n">
        <v>3000</v>
      </c>
      <c r="F111" s="717" t="inlineStr">
        <is>
          <t>/</t>
        </is>
      </c>
      <c r="G111" s="700" t="n">
        <v>6000</v>
      </c>
      <c r="H111" s="702" t="inlineStr">
        <is>
          <t>19.4365</t>
        </is>
      </c>
      <c r="I111" s="703" t="inlineStr">
        <is>
          <t>15.3218</t>
        </is>
      </c>
      <c r="J111" s="702" t="inlineStr">
        <is>
          <t>21.3802</t>
        </is>
      </c>
      <c r="K111" s="704" t="n">
        <v>41</v>
      </c>
      <c r="L111" s="705">
        <f>M111-K111</f>
        <v/>
      </c>
      <c r="M111" s="705" t="n">
        <v>249</v>
      </c>
      <c r="N111" s="722" t="inlineStr">
        <is>
          <t>28-May-2026</t>
        </is>
      </c>
      <c r="O111" s="722" t="inlineStr">
        <is>
          <t>27-May-2027</t>
        </is>
      </c>
      <c r="P111" s="720" t="n"/>
      <c r="Q111" s="708">
        <f>E111*L111*X111</f>
        <v/>
      </c>
      <c r="R111" s="709">
        <f>E111*I111*L111*X111</f>
        <v/>
      </c>
      <c r="S111" s="707" t="n"/>
      <c r="T111" s="709">
        <f>E111*I111*20*X111</f>
        <v/>
      </c>
      <c r="U111" s="0" t="n">
        <v>3.96</v>
      </c>
      <c r="V111" s="282" t="n">
        <v>0</v>
      </c>
      <c r="W111" s="282" t="n">
        <v>23</v>
      </c>
      <c r="X111" s="0" t="n">
        <v>1</v>
      </c>
      <c r="Y111" s="154">
        <f>X111*V111*E111*I111</f>
        <v/>
      </c>
      <c r="Z111" s="154">
        <f>X111*W111*E111*I111</f>
        <v/>
      </c>
      <c r="AB111" s="155">
        <f>MONTH(O111)</f>
        <v/>
      </c>
      <c r="AC111" s="155">
        <f>YEAR(O111)</f>
        <v/>
      </c>
      <c r="AD111" s="642">
        <f>AB111&amp;"-"&amp;AC111&amp;"-"&amp;C111</f>
        <v/>
      </c>
      <c r="AE111" s="642">
        <f>C111</f>
        <v/>
      </c>
      <c r="AF111" s="685">
        <f>MATCH(AE111,ALLM!C$2:C$13,)</f>
        <v/>
      </c>
    </row>
    <row r="112">
      <c r="A112" s="695">
        <f>IF(B112&lt;&gt;"",INDIRECT(ADDRESS(ROW()-1,COLUMN()))+1,0)</f>
        <v/>
      </c>
      <c r="B112" s="696" t="inlineStr">
        <is>
          <t>Semiconductor Mfg Intl Corp</t>
        </is>
      </c>
      <c r="C112" s="697" t="inlineStr">
        <is>
          <t>0981</t>
        </is>
      </c>
      <c r="D112" s="716" t="inlineStr">
        <is>
          <t>Semiconductor Mfg Intl Corp - 6</t>
        </is>
      </c>
      <c r="E112" s="721" t="n">
        <v>280</v>
      </c>
      <c r="F112" s="717" t="inlineStr">
        <is>
          <t>/</t>
        </is>
      </c>
      <c r="G112" s="700" t="n">
        <v>560</v>
      </c>
      <c r="H112" s="702" t="inlineStr">
        <is>
          <t>80.2500</t>
        </is>
      </c>
      <c r="I112" s="703" t="inlineStr">
        <is>
          <t>63.2370</t>
        </is>
      </c>
      <c r="J112" s="702" t="inlineStr">
        <is>
          <t>88.2750</t>
        </is>
      </c>
      <c r="K112" s="704" t="n">
        <v>0</v>
      </c>
      <c r="L112" s="705">
        <f>M112-K112</f>
        <v/>
      </c>
      <c r="M112" s="705" t="n">
        <v>188</v>
      </c>
      <c r="N112" s="722" t="inlineStr">
        <is>
          <t>6-Jul-2026</t>
        </is>
      </c>
      <c r="O112" s="722" t="inlineStr">
        <is>
          <t>6-Apr-2027</t>
        </is>
      </c>
      <c r="P112" s="720" t="n"/>
      <c r="Q112" s="708">
        <f>E112*L112*X112</f>
        <v/>
      </c>
      <c r="R112" s="709">
        <f>E112*I112*L112*X112</f>
        <v/>
      </c>
      <c r="S112" s="707" t="n"/>
      <c r="T112" s="709">
        <f>E112*I112*20*X112</f>
        <v/>
      </c>
      <c r="U112" s="0" t="n">
        <v>3.96</v>
      </c>
      <c r="V112" s="282" t="n">
        <v>0</v>
      </c>
      <c r="W112" s="282" t="n">
        <v>21</v>
      </c>
      <c r="X112" s="0" t="n">
        <v>1</v>
      </c>
      <c r="Y112" s="154">
        <f>X112*V112*E112*I112</f>
        <v/>
      </c>
      <c r="Z112" s="154">
        <f>X112*W112*E112*I112</f>
        <v/>
      </c>
      <c r="AB112" s="155">
        <f>MONTH(O112)</f>
        <v/>
      </c>
      <c r="AC112" s="155">
        <f>YEAR(O112)</f>
        <v/>
      </c>
      <c r="AD112" s="642">
        <f>AB112&amp;"-"&amp;AC112&amp;"-"&amp;C112</f>
        <v/>
      </c>
      <c r="AE112" s="642">
        <f>C112</f>
        <v/>
      </c>
      <c r="AF112" s="685">
        <f>MATCH(AE112,ALLM!C$2:C$13,)</f>
        <v/>
      </c>
    </row>
    <row r="113">
      <c r="A113" s="695">
        <f>IF(B113&lt;&gt;"",INDIRECT(ADDRESS(ROW()-1,COLUMN()))+1,0)</f>
        <v/>
      </c>
      <c r="B113" s="696" t="inlineStr">
        <is>
          <t>Semiconductor Mfg Intl Corp</t>
        </is>
      </c>
      <c r="C113" s="697" t="inlineStr">
        <is>
          <t>0981</t>
        </is>
      </c>
      <c r="D113" s="716" t="inlineStr">
        <is>
          <t>Semiconductor Mfg Intl Corp - 8</t>
        </is>
      </c>
      <c r="E113" s="721" t="n">
        <v>300</v>
      </c>
      <c r="F113" s="717" t="inlineStr">
        <is>
          <t>/</t>
        </is>
      </c>
      <c r="G113" s="700" t="n">
        <v>600</v>
      </c>
      <c r="H113" s="702" t="inlineStr">
        <is>
          <t>86.6500</t>
        </is>
      </c>
      <c r="I113" s="703" t="inlineStr">
        <is>
          <t>64.2423</t>
        </is>
      </c>
      <c r="J113" s="702" t="inlineStr">
        <is>
          <t>95.3150</t>
        </is>
      </c>
      <c r="K113" s="704" t="n">
        <v>0</v>
      </c>
      <c r="L113" s="705">
        <f>M113-K113</f>
        <v/>
      </c>
      <c r="M113" s="705" t="n">
        <v>187</v>
      </c>
      <c r="N113" s="722" t="inlineStr">
        <is>
          <t>13-Jul-2026</t>
        </is>
      </c>
      <c r="O113" s="722" t="inlineStr">
        <is>
          <t>12-Apr-2027</t>
        </is>
      </c>
      <c r="P113" s="720" t="n"/>
      <c r="Q113" s="708">
        <f>E113*L113*X113</f>
        <v/>
      </c>
      <c r="R113" s="709">
        <f>E113*I113*L113*X113</f>
        <v/>
      </c>
      <c r="S113" s="707" t="n"/>
      <c r="T113" s="709">
        <f>E113*I113*20*X113</f>
        <v/>
      </c>
      <c r="U113" s="0" t="n">
        <v>3.96</v>
      </c>
      <c r="V113" s="282" t="n">
        <v>0</v>
      </c>
      <c r="W113" s="282" t="n">
        <v>21</v>
      </c>
      <c r="X113" s="0" t="n">
        <v>1</v>
      </c>
      <c r="Y113" s="154">
        <f>X113*V113*E113*I113</f>
        <v/>
      </c>
      <c r="Z113" s="154">
        <f>X113*W113*E113*I113</f>
        <v/>
      </c>
      <c r="AB113" s="155">
        <f>MONTH(O113)</f>
        <v/>
      </c>
      <c r="AC113" s="155">
        <f>YEAR(O113)</f>
        <v/>
      </c>
      <c r="AD113" s="642">
        <f>AB113&amp;"-"&amp;AC113&amp;"-"&amp;C113</f>
        <v/>
      </c>
      <c r="AE113" s="642">
        <f>C113</f>
        <v/>
      </c>
      <c r="AF113" s="685">
        <f>MATCH(AE113,ALLM!C$2:C$13,)</f>
        <v/>
      </c>
    </row>
    <row r="114">
      <c r="A114" s="695">
        <f>IF(B114&lt;&gt;"",INDIRECT(ADDRESS(ROW()-1,COLUMN()))+1,0)</f>
        <v/>
      </c>
      <c r="B114" s="696" t="inlineStr">
        <is>
          <t>Golden Eagle</t>
        </is>
      </c>
      <c r="C114" s="697" t="inlineStr">
        <is>
          <t>3308</t>
        </is>
      </c>
      <c r="D114" s="716" t="inlineStr">
        <is>
          <t>Golden Eagle - 1</t>
        </is>
      </c>
      <c r="E114" s="721" t="n">
        <v>50</v>
      </c>
      <c r="F114" s="717" t="inlineStr">
        <is>
          <t>/</t>
        </is>
      </c>
      <c r="G114" s="700" t="n">
        <v>100</v>
      </c>
      <c r="H114" s="702" t="inlineStr">
        <is>
          <t>1,066.7200</t>
        </is>
      </c>
      <c r="I114" s="703" t="inlineStr">
        <is>
          <t>697.8482</t>
        </is>
      </c>
      <c r="J114" s="702" t="inlineStr">
        <is>
          <t>1,173.3920</t>
        </is>
      </c>
      <c r="K114" s="704" t="n">
        <v>0</v>
      </c>
      <c r="L114" s="705">
        <f>M114-K114</f>
        <v/>
      </c>
      <c r="M114" s="705" t="n">
        <v>249</v>
      </c>
      <c r="N114" s="722" t="inlineStr">
        <is>
          <t>3-Aug-2026</t>
        </is>
      </c>
      <c r="O114" s="722" t="inlineStr">
        <is>
          <t>2-Aug-2027</t>
        </is>
      </c>
      <c r="P114" s="720" t="n"/>
      <c r="Q114" s="708">
        <f>E114*L114*X114</f>
        <v/>
      </c>
      <c r="R114" s="709">
        <f>E114*I114*L114*X114</f>
        <v/>
      </c>
      <c r="S114" s="707" t="n"/>
      <c r="T114" s="709">
        <f>E114*I114*20*X114</f>
        <v/>
      </c>
      <c r="U114" s="0" t="n">
        <v>3.96</v>
      </c>
      <c r="V114" s="282" t="n">
        <v>0</v>
      </c>
      <c r="W114" s="282" t="n">
        <v>0</v>
      </c>
      <c r="X114" s="0" t="n">
        <v>1</v>
      </c>
      <c r="Y114" s="154">
        <f>X114*V114*E114*I114</f>
        <v/>
      </c>
      <c r="Z114" s="154">
        <f>X114*W114*E114*I114</f>
        <v/>
      </c>
      <c r="AB114" s="155">
        <f>MONTH(O114)</f>
        <v/>
      </c>
      <c r="AC114" s="155">
        <f>YEAR(O114)</f>
        <v/>
      </c>
      <c r="AD114" s="642">
        <f>AB114&amp;"-"&amp;AC114&amp;"-"&amp;C114</f>
        <v/>
      </c>
      <c r="AE114" s="642">
        <f>C114</f>
        <v/>
      </c>
      <c r="AF114" s="685">
        <f>MATCH(AE114,ALLM!C$2:C$13,)</f>
        <v/>
      </c>
    </row>
    <row r="115">
      <c r="A115" s="158" t="n"/>
    </row>
    <row r="116" ht="18" customFormat="1" customHeight="1" s="353">
      <c r="A116" s="1" t="n"/>
      <c r="H116" s="255" t="n"/>
      <c r="I116" s="260" t="n"/>
      <c r="J116" s="255" t="n"/>
      <c r="K116" s="1" t="n"/>
      <c r="L116" s="54" t="n"/>
      <c r="M116" s="45" t="n"/>
      <c r="N116" s="394" t="n"/>
      <c r="O116" s="371" t="inlineStr">
        <is>
          <t>Sun Hung Kai Account no. 2 Total</t>
        </is>
      </c>
      <c r="P116" s="394" t="n"/>
      <c r="Q116" s="44">
        <f>SUM(Q94:Q115)</f>
        <v/>
      </c>
      <c r="R116" s="712">
        <f>SUM(R94:R115)</f>
        <v/>
      </c>
      <c r="S116" s="381" t="n"/>
      <c r="T116" s="712">
        <f>SUM(T94:T115)</f>
        <v/>
      </c>
      <c r="V116" s="687" t="n"/>
      <c r="W116" s="687" t="n"/>
      <c r="X116" s="102" t="n"/>
      <c r="Y116" s="43" t="n"/>
      <c r="Z116" s="43" t="n"/>
      <c r="AB116" s="102" t="n"/>
      <c r="AC116" s="102" t="n"/>
    </row>
    <row r="117" ht="13.5" customHeight="1" s="671">
      <c r="M117" s="39" t="n"/>
      <c r="O117" s="418" t="n"/>
      <c r="R117" s="688" t="inlineStr">
        <is>
          <t>HKD</t>
        </is>
      </c>
      <c r="S117" s="688" t="n"/>
      <c r="T117" s="688" t="inlineStr">
        <is>
          <t>HKD</t>
        </is>
      </c>
    </row>
    <row r="118" hidden="1" ht="13.5" customHeight="1" s="671">
      <c r="A118" s="53" t="inlineStr">
        <is>
          <t>MORGAN STANLEY   (Titan Account 2)</t>
        </is>
      </c>
      <c r="B118" s="52" t="n"/>
      <c r="C118" s="412" t="n"/>
      <c r="D118" s="412" t="n"/>
      <c r="E118" s="713" t="n"/>
      <c r="F118" s="713" t="n"/>
      <c r="G118" s="713" t="n"/>
      <c r="H118" s="261" t="n"/>
      <c r="I118" s="262" t="n"/>
      <c r="J118" s="263" t="n"/>
      <c r="K118" s="49" t="n"/>
      <c r="L118" s="49" t="n"/>
      <c r="M118" s="49" t="n"/>
      <c r="N118" s="645" t="n"/>
      <c r="O118" s="645" t="n"/>
      <c r="P118" s="645" t="n"/>
      <c r="Q118" s="645" t="n"/>
      <c r="R118" s="645" t="n"/>
    </row>
    <row r="119" hidden="1" ht="8.25" customHeight="1" s="671">
      <c r="A119" s="51" t="n"/>
      <c r="B119" s="50" t="n"/>
      <c r="C119" s="414" t="n"/>
      <c r="D119" s="414" t="n"/>
      <c r="E119" s="714" t="n"/>
      <c r="F119" s="714" t="n"/>
      <c r="G119" s="714" t="n"/>
      <c r="H119" s="264" t="n"/>
      <c r="I119" s="265" t="n"/>
      <c r="J119" s="266" t="n"/>
      <c r="K119" s="49" t="n"/>
      <c r="L119" s="49" t="n"/>
      <c r="M119" s="49" t="n"/>
      <c r="N119" s="645" t="n"/>
      <c r="O119" s="645" t="n"/>
      <c r="P119" s="645" t="n"/>
      <c r="Q119" s="645" t="n"/>
      <c r="R119" s="645" t="n"/>
    </row>
    <row r="120" hidden="1" ht="15" customHeight="1" s="671">
      <c r="B120" s="640" t="inlineStr">
        <is>
          <t>ACCUMULATOR</t>
        </is>
      </c>
      <c r="C120" s="631" t="inlineStr">
        <is>
          <t>CODE</t>
        </is>
      </c>
      <c r="D120" s="631" t="n"/>
      <c r="E120" s="624" t="inlineStr">
        <is>
          <t>SHARES / DAY</t>
        </is>
      </c>
      <c r="F120" s="625" t="n"/>
      <c r="G120" s="626" t="n"/>
      <c r="H120" s="633" t="inlineStr">
        <is>
          <t>SPOT PRICE</t>
        </is>
      </c>
      <c r="I120" s="633" t="inlineStr">
        <is>
          <t>STRIKE PRICE</t>
        </is>
      </c>
      <c r="J120" s="633" t="inlineStr">
        <is>
          <t>K/O PRICE</t>
        </is>
      </c>
      <c r="K120" s="637" t="inlineStr">
        <is>
          <t>LIFE TERM OF CONTRACT</t>
        </is>
      </c>
      <c r="L120" s="638" t="n"/>
      <c r="M120" s="639" t="n"/>
      <c r="N120" s="622" t="inlineStr">
        <is>
          <t>START DATE</t>
        </is>
      </c>
      <c r="O120" s="622" t="inlineStr">
        <is>
          <t>END DATE</t>
        </is>
      </c>
      <c r="P120" s="682" t="n"/>
      <c r="Q120" s="632" t="inlineStr">
        <is>
          <t>Estimated Total Shares Remaining</t>
        </is>
      </c>
      <c r="R120" s="683" t="inlineStr">
        <is>
          <t>Estimated Amount</t>
        </is>
      </c>
      <c r="S120" s="682" t="n"/>
      <c r="T120" s="683" t="inlineStr">
        <is>
          <t>Estimated Amount per month</t>
        </is>
      </c>
    </row>
    <row r="121" hidden="1" ht="20.25" customHeight="1" s="671">
      <c r="B121" s="623" t="n"/>
      <c r="C121" s="623" t="n"/>
      <c r="D121" s="390" t="inlineStr">
        <is>
          <t>MST2</t>
        </is>
      </c>
      <c r="E121" s="627" t="n"/>
      <c r="F121" s="628" t="n"/>
      <c r="G121" s="629" t="n"/>
      <c r="H121" s="623" t="n"/>
      <c r="I121" s="623" t="n"/>
      <c r="J121" s="623" t="n"/>
      <c r="K121" s="637" t="inlineStr">
        <is>
          <t>RCVD DAYS</t>
        </is>
      </c>
      <c r="L121" s="637" t="inlineStr">
        <is>
          <t>REM DAYS</t>
        </is>
      </c>
      <c r="M121" s="637" t="inlineStr">
        <is>
          <t>Total DAYS</t>
        </is>
      </c>
      <c r="N121" s="623" t="n"/>
      <c r="O121" s="623" t="n"/>
      <c r="P121" s="682" t="n"/>
      <c r="Q121" s="623" t="n"/>
      <c r="R121" s="623" t="n"/>
      <c r="S121" s="682" t="n"/>
      <c r="T121" s="623" t="n"/>
    </row>
    <row r="122" hidden="1" s="671">
      <c r="A122" s="523">
        <f>IF(B122&lt;&gt;"",INDIRECT(ADDRESS(ROW()-1,COLUMN()))+1,0)</f>
        <v/>
      </c>
      <c r="B122" s="524" t="n"/>
      <c r="C122" s="525" t="n"/>
      <c r="D122" s="533" t="n"/>
      <c r="E122" s="534" t="n"/>
      <c r="F122" s="526" t="n"/>
      <c r="G122" s="527" t="n"/>
      <c r="H122" s="536" t="n"/>
      <c r="I122" s="537" t="n"/>
      <c r="J122" s="536" t="n"/>
      <c r="K122" s="538" t="n"/>
      <c r="L122" s="528" t="n"/>
      <c r="M122" s="528" t="n"/>
      <c r="N122" s="529" t="n"/>
      <c r="O122" s="529" t="n"/>
      <c r="P122" s="723" t="n"/>
      <c r="Q122" s="531">
        <f>E122*L122*X122</f>
        <v/>
      </c>
      <c r="R122" s="724">
        <f>E122*I122*L122*X122</f>
        <v/>
      </c>
      <c r="S122" s="530" t="n"/>
      <c r="T122" s="724">
        <f>E122*I122*20*X122</f>
        <v/>
      </c>
      <c r="U122" s="0" t="n">
        <v>3.72</v>
      </c>
      <c r="V122" s="282" t="n">
        <v>0</v>
      </c>
      <c r="W122" s="282" t="n">
        <v>21</v>
      </c>
      <c r="X122" s="0" t="n">
        <v>1</v>
      </c>
      <c r="Y122" s="154">
        <f>X122*V122*E122*I122</f>
        <v/>
      </c>
      <c r="Z122" s="154">
        <f>X122*W122*E122*I122</f>
        <v/>
      </c>
      <c r="AB122" s="155">
        <f>MONTH(O122)</f>
        <v/>
      </c>
      <c r="AC122" s="155">
        <f>YEAR(O122)</f>
        <v/>
      </c>
      <c r="AD122" s="642">
        <f>AB122&amp;"-"&amp;AC122&amp;"-"&amp;C122</f>
        <v/>
      </c>
      <c r="AE122" s="642">
        <f>C122</f>
        <v/>
      </c>
      <c r="AF122" s="685">
        <f>MATCH(AE122,ALLM!C$2:C$13,)</f>
        <v/>
      </c>
    </row>
    <row r="123" hidden="1" ht="10.5" customHeight="1" s="671">
      <c r="A123" s="158" t="n"/>
    </row>
    <row r="124" hidden="1" ht="15.6" customFormat="1" customHeight="1" s="353">
      <c r="A124" s="1" t="n"/>
      <c r="H124" s="255" t="n"/>
      <c r="I124" s="260" t="n"/>
      <c r="J124" s="255" t="n"/>
      <c r="K124" s="1" t="n"/>
      <c r="L124" s="54" t="n"/>
      <c r="M124" s="54" t="n"/>
      <c r="N124" s="394" t="n"/>
      <c r="O124" s="371" t="inlineStr">
        <is>
          <t>MORGAN STANLEY   (Titan Account 2) Total</t>
        </is>
      </c>
      <c r="P124" s="394" t="n"/>
      <c r="Q124" s="44">
        <f>SUM(Q121:Q123)</f>
        <v/>
      </c>
      <c r="R124" s="686">
        <f>SUM(R121:R123)</f>
        <v/>
      </c>
      <c r="S124" s="394" t="n"/>
      <c r="T124" s="686">
        <f>SUM(T121:T123)</f>
        <v/>
      </c>
      <c r="V124" s="687" t="n"/>
      <c r="W124" s="687" t="n"/>
      <c r="X124" s="102" t="n"/>
      <c r="Y124" s="43" t="n"/>
      <c r="Z124" s="43" t="n"/>
      <c r="AB124" s="102" t="n"/>
      <c r="AC124" s="102" t="n"/>
    </row>
    <row r="125" hidden="1" ht="12" customHeight="1" s="671">
      <c r="A125" s="59" t="n"/>
      <c r="B125" s="388" t="n"/>
      <c r="C125" s="388" t="n"/>
      <c r="D125" s="388" t="n"/>
      <c r="E125" s="388" t="n"/>
      <c r="F125" s="388" t="n"/>
      <c r="G125" s="388" t="n"/>
      <c r="H125" s="294" t="n"/>
      <c r="I125" s="295" t="n"/>
      <c r="J125" s="294" t="n"/>
      <c r="K125" s="59" t="n"/>
      <c r="L125" s="57" t="n"/>
      <c r="M125" s="57" t="n"/>
      <c r="Q125" s="425" t="inlineStr">
        <is>
          <t>Shares</t>
        </is>
      </c>
      <c r="R125" s="425" t="inlineStr">
        <is>
          <t>HKD</t>
        </is>
      </c>
      <c r="S125" s="425" t="n"/>
      <c r="T125" s="425" t="inlineStr">
        <is>
          <t>HKD</t>
        </is>
      </c>
      <c r="V125" s="57" t="n"/>
      <c r="W125" s="57" t="n"/>
    </row>
    <row r="126" ht="6" customFormat="1" customHeight="1" s="353">
      <c r="A126" s="1" t="n"/>
      <c r="H126" s="255" t="n"/>
      <c r="I126" s="260" t="n"/>
      <c r="J126" s="255" t="n"/>
      <c r="K126" s="1" t="n"/>
      <c r="L126" s="54" t="n"/>
      <c r="M126" s="54" t="n"/>
      <c r="N126" s="394" t="n"/>
      <c r="O126" s="371" t="n"/>
      <c r="P126" s="394" t="n"/>
      <c r="Q126" s="44" t="n"/>
      <c r="R126" s="686" t="n"/>
      <c r="S126" s="394" t="n"/>
      <c r="T126" s="686" t="n"/>
      <c r="V126" s="687" t="n"/>
      <c r="W126" s="687" t="n"/>
      <c r="X126" s="102" t="n"/>
      <c r="Y126" s="43" t="n"/>
      <c r="Z126" s="43" t="n"/>
      <c r="AB126" s="102" t="n"/>
      <c r="AC126" s="102" t="n"/>
    </row>
    <row r="127" hidden="1" ht="13.5" customHeight="1" s="671">
      <c r="A127" s="63" t="inlineStr">
        <is>
          <t>Bank of Singapore</t>
        </is>
      </c>
      <c r="B127" s="62" t="n"/>
      <c r="C127" s="386" t="n"/>
      <c r="D127" s="386" t="n"/>
      <c r="E127" s="681" t="n"/>
      <c r="F127" s="681" t="n"/>
      <c r="G127" s="681" t="n"/>
      <c r="H127" s="285" t="n"/>
      <c r="I127" s="285" t="n"/>
      <c r="J127" s="286" t="n"/>
      <c r="K127" s="61" t="n"/>
      <c r="L127" s="61" t="n"/>
      <c r="M127" s="61" t="n"/>
      <c r="N127" s="381" t="n"/>
      <c r="O127" s="381" t="n"/>
      <c r="P127" s="381" t="n"/>
      <c r="Q127" s="381" t="n"/>
      <c r="R127" s="381" t="n"/>
      <c r="V127" s="57" t="n"/>
      <c r="W127" s="57" t="n"/>
    </row>
    <row r="128" hidden="1" ht="10.5" customHeight="1" s="671">
      <c r="A128" s="57" t="n"/>
      <c r="B128" s="640" t="inlineStr">
        <is>
          <t>ACCUMULATOR</t>
        </is>
      </c>
      <c r="C128" s="631" t="inlineStr">
        <is>
          <t>CODE</t>
        </is>
      </c>
      <c r="D128" s="631" t="n"/>
      <c r="E128" s="624" t="inlineStr">
        <is>
          <t>SHARES / DAY</t>
        </is>
      </c>
      <c r="F128" s="625" t="n"/>
      <c r="G128" s="626" t="n"/>
      <c r="H128" s="633" t="inlineStr">
        <is>
          <t>SPOT PRICE</t>
        </is>
      </c>
      <c r="I128" s="633" t="inlineStr">
        <is>
          <t>STRIKE PRICE</t>
        </is>
      </c>
      <c r="J128" s="633" t="inlineStr">
        <is>
          <t>K/O PRICE</t>
        </is>
      </c>
      <c r="K128" s="637" t="inlineStr">
        <is>
          <t>LIFE TERM OF CONTRACT</t>
        </is>
      </c>
      <c r="L128" s="638" t="n"/>
      <c r="M128" s="639" t="n"/>
      <c r="N128" s="622" t="inlineStr">
        <is>
          <t>START DATE</t>
        </is>
      </c>
      <c r="O128" s="622" t="inlineStr">
        <is>
          <t>END DATE</t>
        </is>
      </c>
      <c r="P128" s="682" t="n"/>
      <c r="Q128" s="632" t="inlineStr">
        <is>
          <t>Estimated  Shares to sell</t>
        </is>
      </c>
      <c r="R128" s="683" t="inlineStr">
        <is>
          <t>Estimated Amount</t>
        </is>
      </c>
      <c r="S128" s="682" t="n"/>
      <c r="T128" s="683" t="inlineStr">
        <is>
          <t>Estimated Amount per month</t>
        </is>
      </c>
      <c r="V128" s="57" t="n"/>
      <c r="W128" s="57" t="n"/>
    </row>
    <row r="129" hidden="1" ht="20.45" customHeight="1" s="671">
      <c r="A129" s="57" t="n"/>
      <c r="B129" s="623" t="n"/>
      <c r="C129" s="623" t="n"/>
      <c r="D129" s="390" t="inlineStr">
        <is>
          <t>BOS</t>
        </is>
      </c>
      <c r="E129" s="627" t="n"/>
      <c r="F129" s="628" t="n"/>
      <c r="G129" s="629" t="n"/>
      <c r="H129" s="623" t="n"/>
      <c r="I129" s="623" t="n"/>
      <c r="J129" s="623" t="n"/>
      <c r="K129" s="637" t="inlineStr">
        <is>
          <t>RCVD DAYS</t>
        </is>
      </c>
      <c r="L129" s="637" t="inlineStr">
        <is>
          <t>REM DAYS</t>
        </is>
      </c>
      <c r="M129" s="637" t="inlineStr">
        <is>
          <t>Total DAYS</t>
        </is>
      </c>
      <c r="N129" s="623" t="n"/>
      <c r="O129" s="623" t="n"/>
      <c r="P129" s="682" t="n"/>
      <c r="Q129" s="623" t="n"/>
      <c r="R129" s="623" t="n"/>
      <c r="S129" s="682" t="n"/>
      <c r="T129" s="623" t="n"/>
      <c r="V129" s="57" t="n"/>
      <c r="W129" s="57" t="n"/>
    </row>
    <row r="130" hidden="1" s="671">
      <c r="A130" s="236">
        <f>IF(B130&lt;&gt;"",INDIRECT(ADDRESS(ROW()-1,COLUMN()))+1,0)</f>
        <v/>
      </c>
      <c r="B130" s="419" t="n"/>
      <c r="C130" s="240" t="n"/>
      <c r="D130" s="241" t="n"/>
      <c r="E130" s="242" t="n"/>
      <c r="F130" s="239" t="n"/>
      <c r="G130" s="237" t="n"/>
      <c r="H130" s="287" t="n"/>
      <c r="I130" s="288" t="n"/>
      <c r="J130" s="287" t="n"/>
      <c r="K130" s="243" t="n"/>
      <c r="L130" s="244" t="n"/>
      <c r="M130" s="244" t="n"/>
      <c r="N130" s="289" t="n"/>
      <c r="O130" s="289" t="n"/>
      <c r="P130" s="725" t="n"/>
      <c r="Q130" s="238">
        <f>E130*L130*X130</f>
        <v/>
      </c>
      <c r="R130" s="726">
        <f>E130*I130*L130*X130</f>
        <v/>
      </c>
      <c r="S130" s="725" t="n"/>
      <c r="T130" s="726">
        <f>E130*I130*20*X130</f>
        <v/>
      </c>
      <c r="U130" s="0" t="n">
        <v>236.2</v>
      </c>
      <c r="V130" s="282" t="n">
        <v>21</v>
      </c>
      <c r="W130" s="282" t="n">
        <v>21</v>
      </c>
      <c r="X130" s="0" t="n">
        <v>1</v>
      </c>
      <c r="Y130" s="154">
        <f>X130*V130*E130*I130</f>
        <v/>
      </c>
      <c r="Z130" s="154">
        <f>X130*W130*E130*I130</f>
        <v/>
      </c>
      <c r="AB130" s="155">
        <f>MONTH(O130)</f>
        <v/>
      </c>
      <c r="AC130" s="155">
        <f>YEAR(O130)</f>
        <v/>
      </c>
      <c r="AD130" s="642">
        <f>AB130&amp;"-"&amp;AC130&amp;"-"&amp;C130</f>
        <v/>
      </c>
      <c r="AE130" s="642">
        <f>C130</f>
        <v/>
      </c>
      <c r="AF130" s="685">
        <f>MATCH(AE130,ALLM!C$2:C$13,)</f>
        <v/>
      </c>
    </row>
    <row r="131" hidden="1" ht="9.75" customHeight="1" s="671">
      <c r="A131" s="215" t="n"/>
      <c r="E131" s="214" t="n"/>
      <c r="F131" s="214" t="n"/>
      <c r="H131" s="290" t="n"/>
      <c r="I131" s="291" t="n"/>
      <c r="J131" s="290" t="n"/>
      <c r="K131" s="216" t="n"/>
      <c r="L131" s="216" t="n"/>
      <c r="M131" s="216" t="n"/>
      <c r="N131" s="214" t="n"/>
      <c r="O131" s="214" t="n"/>
      <c r="P131" s="214" t="n"/>
      <c r="Q131" s="214" t="n"/>
      <c r="R131" s="214" t="n"/>
      <c r="S131" s="214" t="n"/>
      <c r="T131" s="214" t="n"/>
      <c r="V131" s="282" t="n"/>
      <c r="W131" s="282" t="n"/>
      <c r="X131" s="0" t="n"/>
    </row>
    <row r="132" hidden="1" s="671">
      <c r="A132" s="57" t="n"/>
      <c r="H132" s="292" t="n"/>
      <c r="I132" s="293" t="n"/>
      <c r="J132" s="292" t="n"/>
      <c r="K132" s="57" t="n"/>
      <c r="L132" s="60" t="n"/>
      <c r="M132" s="57" t="n"/>
      <c r="N132" s="422" t="n"/>
      <c r="O132" s="423" t="inlineStr">
        <is>
          <t>BANK OF SINGAPORE Total</t>
        </is>
      </c>
      <c r="P132" s="422" t="n"/>
      <c r="Q132" s="727">
        <f>SUM(Q129:Q131)</f>
        <v/>
      </c>
      <c r="R132" s="727">
        <f>SUM(R129:R131)</f>
        <v/>
      </c>
      <c r="S132" s="422" t="n"/>
      <c r="T132" s="727">
        <f>SUM(T129:T131)</f>
        <v/>
      </c>
      <c r="V132" s="57" t="n"/>
      <c r="W132" s="57" t="n"/>
    </row>
    <row r="133" hidden="1" ht="7.5" customHeight="1" s="671">
      <c r="A133" s="57" t="n"/>
      <c r="B133" s="385" t="n"/>
      <c r="C133" s="385" t="n"/>
      <c r="D133" s="385" t="n"/>
      <c r="E133" s="385" t="n"/>
      <c r="F133" s="385" t="n"/>
      <c r="G133" s="381" t="n"/>
      <c r="H133" s="292" t="n"/>
      <c r="I133" s="293" t="n"/>
      <c r="J133" s="292" t="n"/>
      <c r="K133" s="58" t="n"/>
      <c r="L133" s="58" t="n"/>
      <c r="M133" s="57" t="n"/>
      <c r="V133" s="57" t="n"/>
      <c r="W133" s="57" t="n"/>
    </row>
    <row r="134" hidden="1" ht="12" customHeight="1" s="671">
      <c r="M134" s="39" t="n"/>
      <c r="O134" s="418" t="n"/>
      <c r="Q134" s="426" t="inlineStr">
        <is>
          <t>Shares</t>
        </is>
      </c>
      <c r="R134" s="426" t="inlineStr">
        <is>
          <t>HKD</t>
        </is>
      </c>
      <c r="T134" s="426" t="inlineStr">
        <is>
          <t>HKD</t>
        </is>
      </c>
    </row>
    <row r="135" hidden="1" ht="12" customHeight="1" s="671">
      <c r="M135" s="39" t="n"/>
      <c r="O135" s="418" t="n"/>
      <c r="Q135" s="426" t="n"/>
      <c r="R135" s="426" t="n"/>
      <c r="T135" s="426" t="n"/>
    </row>
    <row r="136" hidden="1" ht="15" customFormat="1" customHeight="1" s="427">
      <c r="A136" s="42" t="n"/>
      <c r="H136" s="269" t="n"/>
      <c r="I136" s="270" t="n"/>
      <c r="J136" s="269" t="n"/>
      <c r="K136" s="38" t="n"/>
      <c r="L136" s="38" t="n"/>
      <c r="M136" s="41" t="n"/>
      <c r="N136" s="428" t="n"/>
      <c r="O136" s="429" t="inlineStr">
        <is>
          <t>Grand Total   (Personal)</t>
        </is>
      </c>
      <c r="P136" s="728">
        <f>SUM(R9,R54,R67,)</f>
        <v/>
      </c>
      <c r="Q136" s="36">
        <f>SUM(Q9,Q18,Q54,Q67,Q36,Q124,Q132,Q116,Q26,Q89)</f>
        <v/>
      </c>
      <c r="R136" s="728">
        <f>SUM(R9,R18,R54,R67,R36,R124,R132,R116,R26,R89)</f>
        <v/>
      </c>
      <c r="S136" s="728">
        <f>SUM(U9,U54,U67,)</f>
        <v/>
      </c>
      <c r="T136" s="728">
        <f>SUM(T9,T18,T54,T67,T36,T124,T132,T116,T26,T89)</f>
        <v/>
      </c>
      <c r="V136" s="729" t="n"/>
      <c r="W136" s="729" t="n"/>
      <c r="X136" s="103" t="n"/>
      <c r="Y136" s="40" t="n"/>
      <c r="Z136" s="40" t="n"/>
      <c r="AB136" s="103" t="n"/>
      <c r="AC136" s="103" t="n"/>
    </row>
    <row r="137" hidden="1" ht="6" customHeight="1" s="671"/>
    <row r="138" hidden="1" ht="15.6" customHeight="1" s="671">
      <c r="O138" s="353" t="n"/>
      <c r="P138" s="432" t="n"/>
      <c r="Q138" s="353" t="n"/>
      <c r="R138" s="686">
        <f>R136/7.75</f>
        <v/>
      </c>
      <c r="S138" s="394" t="n"/>
      <c r="T138" s="686">
        <f>T136/7.75</f>
        <v/>
      </c>
    </row>
    <row r="139" hidden="1" ht="9" customHeight="1" s="671">
      <c r="R139" s="423" t="inlineStr">
        <is>
          <t>USD</t>
        </is>
      </c>
      <c r="T139" s="423" t="inlineStr">
        <is>
          <t>USD</t>
        </is>
      </c>
    </row>
    <row r="140" hidden="1" s="671">
      <c r="R140" s="423" t="n"/>
    </row>
    <row r="141" hidden="1" ht="15.6" customHeight="1" s="671">
      <c r="A141" s="56" t="inlineStr">
        <is>
          <t>DEUTSCHE BANK   (Perfect Legend w/ Lucio)</t>
        </is>
      </c>
      <c r="P141" s="694" t="n"/>
      <c r="Q141" s="694" t="n"/>
      <c r="R141" s="694" t="n"/>
      <c r="S141" s="694" t="n"/>
    </row>
    <row r="142" hidden="1" ht="9" customHeight="1" s="671"/>
    <row r="143" hidden="1" ht="15" customHeight="1" s="671">
      <c r="B143" s="640" t="inlineStr">
        <is>
          <t>ACCUMULATOR</t>
        </is>
      </c>
      <c r="C143" s="631" t="inlineStr">
        <is>
          <t>CODE</t>
        </is>
      </c>
      <c r="D143" s="631" t="n"/>
      <c r="E143" s="624" t="inlineStr">
        <is>
          <t>SHARES / DAY</t>
        </is>
      </c>
      <c r="F143" s="625" t="n"/>
      <c r="G143" s="626" t="n"/>
      <c r="H143" s="633" t="inlineStr">
        <is>
          <t>SPOT PRICE</t>
        </is>
      </c>
      <c r="I143" s="633" t="inlineStr">
        <is>
          <t>STRIKE PRICE</t>
        </is>
      </c>
      <c r="J143" s="633" t="inlineStr">
        <is>
          <t>K/O PRICE</t>
        </is>
      </c>
      <c r="K143" s="637" t="inlineStr">
        <is>
          <t>LIFE TERM OF CONTRACT</t>
        </is>
      </c>
      <c r="L143" s="638" t="n"/>
      <c r="M143" s="639" t="n"/>
      <c r="N143" s="622" t="inlineStr">
        <is>
          <t>START DATE</t>
        </is>
      </c>
      <c r="O143" s="622" t="inlineStr">
        <is>
          <t>END DATE</t>
        </is>
      </c>
      <c r="P143" s="682" t="n"/>
      <c r="Q143" s="632" t="inlineStr">
        <is>
          <t>Estimated Total Shares Remaining</t>
        </is>
      </c>
      <c r="R143" s="683" t="inlineStr">
        <is>
          <t>Estimated Amount</t>
        </is>
      </c>
      <c r="S143" s="682" t="n"/>
      <c r="T143" s="683" t="inlineStr">
        <is>
          <t>Estimated Amount per month</t>
        </is>
      </c>
    </row>
    <row r="144" hidden="1" ht="20.45" customHeight="1" s="671">
      <c r="A144" s="55" t="n"/>
      <c r="B144" s="623" t="n"/>
      <c r="C144" s="623" t="n"/>
      <c r="D144" s="390" t="inlineStr">
        <is>
          <t>DBPL</t>
        </is>
      </c>
      <c r="E144" s="627" t="n"/>
      <c r="F144" s="628" t="n"/>
      <c r="G144" s="629" t="n"/>
      <c r="H144" s="623" t="n"/>
      <c r="I144" s="623" t="n"/>
      <c r="J144" s="623" t="n"/>
      <c r="K144" s="637" t="inlineStr">
        <is>
          <t>RCVD DAYS</t>
        </is>
      </c>
      <c r="L144" s="637" t="inlineStr">
        <is>
          <t>REM DAYS</t>
        </is>
      </c>
      <c r="M144" s="637" t="inlineStr">
        <is>
          <t>Total DAYS</t>
        </is>
      </c>
      <c r="N144" s="623" t="n"/>
      <c r="O144" s="623" t="n"/>
      <c r="P144" s="682" t="n"/>
      <c r="Q144" s="623" t="n"/>
      <c r="R144" s="623" t="n"/>
      <c r="S144" s="682" t="n"/>
      <c r="T144" s="623" t="n"/>
    </row>
    <row r="145" hidden="1" s="671">
      <c r="A145" s="226">
        <f>IF(B145&lt;&gt;"",INDIRECT(ADDRESS(ROW()-1,COLUMN()))+1,0)</f>
        <v/>
      </c>
      <c r="B145" s="433" t="n"/>
      <c r="C145" s="227" t="n"/>
      <c r="D145" s="228" t="n"/>
      <c r="E145" s="233" t="n"/>
      <c r="F145" s="229" t="n"/>
      <c r="G145" s="234" t="n"/>
      <c r="H145" s="271" t="n"/>
      <c r="I145" s="272" t="n"/>
      <c r="J145" s="271" t="n"/>
      <c r="K145" s="235" t="n"/>
      <c r="L145" s="230" t="n"/>
      <c r="M145" s="230" t="n"/>
      <c r="N145" s="296" t="n"/>
      <c r="O145" s="296" t="n"/>
      <c r="P145" s="231" t="n"/>
      <c r="Q145" s="232">
        <f>E145*L145*X145</f>
        <v/>
      </c>
      <c r="R145" s="730">
        <f>E145*I145*L145*X145</f>
        <v/>
      </c>
      <c r="S145" s="231" t="n"/>
      <c r="T145" s="730">
        <f>E145*I145*20*X145</f>
        <v/>
      </c>
      <c r="U145" s="0" t="n">
        <v>384.4</v>
      </c>
      <c r="V145" s="282" t="n">
        <v>10</v>
      </c>
      <c r="W145" s="282" t="n">
        <v>10</v>
      </c>
      <c r="X145" s="0" t="n">
        <v>1</v>
      </c>
      <c r="Y145" s="154">
        <f>X145*V145*E145*I145</f>
        <v/>
      </c>
      <c r="Z145" s="154">
        <f>X145*W145*E145*I145</f>
        <v/>
      </c>
      <c r="AB145" s="155">
        <f>MONTH(O145)</f>
        <v/>
      </c>
      <c r="AC145" s="155">
        <f>YEAR(O145)</f>
        <v/>
      </c>
      <c r="AD145" s="642">
        <f>AB145&amp;"-"&amp;AC145&amp;"-"&amp;C145</f>
        <v/>
      </c>
      <c r="AE145" s="642">
        <f>C145</f>
        <v/>
      </c>
      <c r="AF145" s="685">
        <f>MATCH(AE145,ALLM!C$2:C$13,)</f>
        <v/>
      </c>
    </row>
    <row r="146" hidden="1" s="671">
      <c r="A146" s="158" t="n"/>
    </row>
    <row r="147" hidden="1" ht="15.6" customFormat="1" customHeight="1" s="353">
      <c r="A147" s="1" t="n"/>
      <c r="H147" s="255" t="n"/>
      <c r="I147" s="260" t="n"/>
      <c r="J147" s="255" t="n"/>
      <c r="K147" s="1" t="n"/>
      <c r="L147" s="54" t="n"/>
      <c r="M147" s="1" t="n"/>
      <c r="N147" s="394" t="n"/>
      <c r="O147" s="371" t="inlineStr">
        <is>
          <t>Deutsche (Perfect Legend) Total</t>
        </is>
      </c>
      <c r="P147" s="394" t="n"/>
      <c r="Q147" s="44">
        <f>SUM(Q144:Q146)</f>
        <v/>
      </c>
      <c r="R147" s="686">
        <f>SUM(R144:R146)</f>
        <v/>
      </c>
      <c r="S147" s="394" t="n"/>
      <c r="T147" s="686">
        <f>SUM(T144:T146)</f>
        <v/>
      </c>
      <c r="V147" s="687" t="n"/>
      <c r="W147" s="687" t="n"/>
      <c r="X147" s="102" t="n"/>
      <c r="Y147" s="43" t="n"/>
      <c r="Z147" s="43" t="n"/>
      <c r="AB147" s="102" t="n"/>
      <c r="AC147" s="102" t="n"/>
    </row>
    <row r="148" hidden="1" ht="15.6" customHeight="1" s="671">
      <c r="R148" s="688" t="inlineStr">
        <is>
          <t>HKD</t>
        </is>
      </c>
      <c r="S148" s="688" t="n"/>
      <c r="T148" s="688" t="inlineStr">
        <is>
          <t>HKD</t>
        </is>
      </c>
    </row>
    <row r="149" ht="16.5" customHeight="1" s="671">
      <c r="A149" s="53" t="inlineStr">
        <is>
          <t>MORGAN STANLEY   (Titan w/ Lucio) ACCOUNT 1</t>
        </is>
      </c>
      <c r="B149" s="52" t="n"/>
      <c r="C149" s="412" t="n"/>
      <c r="D149" s="412" t="n"/>
      <c r="E149" s="713" t="n"/>
      <c r="F149" s="713" t="n"/>
      <c r="G149" s="713" t="n"/>
      <c r="H149" s="261" t="n"/>
      <c r="I149" s="262" t="n"/>
      <c r="J149" s="263" t="n"/>
      <c r="K149" s="49" t="n"/>
      <c r="L149" s="49" t="n"/>
      <c r="M149" s="49" t="n"/>
      <c r="N149" s="645" t="n"/>
      <c r="O149" s="645" t="n"/>
      <c r="P149" s="645" t="n"/>
      <c r="Q149" s="645" t="n"/>
      <c r="R149" s="645" t="n"/>
    </row>
    <row r="150" ht="9.75" customHeight="1" s="671">
      <c r="A150" s="51" t="n"/>
      <c r="B150" s="50" t="n"/>
      <c r="C150" s="414" t="n"/>
      <c r="D150" s="414" t="n"/>
      <c r="E150" s="714" t="n"/>
      <c r="F150" s="714" t="n"/>
      <c r="G150" s="714" t="n"/>
      <c r="H150" s="264" t="n"/>
      <c r="I150" s="265" t="n"/>
      <c r="J150" s="266" t="n"/>
      <c r="K150" s="49" t="n"/>
      <c r="L150" s="49" t="n"/>
      <c r="M150" s="49" t="n"/>
      <c r="N150" s="645" t="n"/>
      <c r="O150" s="645" t="n"/>
      <c r="P150" s="645" t="n"/>
      <c r="Q150" s="645" t="n"/>
      <c r="R150" s="645" t="n"/>
    </row>
    <row r="151" ht="15" customHeight="1" s="671">
      <c r="B151" s="640" t="inlineStr">
        <is>
          <t>ACCUMULATOR</t>
        </is>
      </c>
      <c r="C151" s="631" t="inlineStr">
        <is>
          <t>CODE</t>
        </is>
      </c>
      <c r="D151" s="631" t="n"/>
      <c r="E151" s="624" t="inlineStr">
        <is>
          <t>SHARES / DAY</t>
        </is>
      </c>
      <c r="F151" s="625" t="n"/>
      <c r="G151" s="626" t="n"/>
      <c r="H151" s="633" t="inlineStr">
        <is>
          <t>SPOT PRICE</t>
        </is>
      </c>
      <c r="I151" s="633" t="inlineStr">
        <is>
          <t>STRIKE PRICE</t>
        </is>
      </c>
      <c r="J151" s="633" t="inlineStr">
        <is>
          <t>K/O PRICE</t>
        </is>
      </c>
      <c r="K151" s="637" t="inlineStr">
        <is>
          <t>LIFE TERM OF CONTRACT</t>
        </is>
      </c>
      <c r="L151" s="638" t="n"/>
      <c r="M151" s="639" t="n"/>
      <c r="N151" s="622" t="inlineStr">
        <is>
          <t>START DATE</t>
        </is>
      </c>
      <c r="O151" s="622" t="inlineStr">
        <is>
          <t>END DATE</t>
        </is>
      </c>
      <c r="P151" s="682" t="n"/>
      <c r="Q151" s="632" t="inlineStr">
        <is>
          <t>Estimated Total Shares Remaining</t>
        </is>
      </c>
      <c r="R151" s="683" t="inlineStr">
        <is>
          <t>Estimated Amount</t>
        </is>
      </c>
      <c r="S151" s="682" t="n"/>
      <c r="T151" s="683" t="inlineStr">
        <is>
          <t>Estimated Amount per month</t>
        </is>
      </c>
    </row>
    <row r="152" ht="20.45" customHeight="1" s="671">
      <c r="A152" s="55" t="n"/>
      <c r="B152" s="623" t="n"/>
      <c r="C152" s="623" t="n"/>
      <c r="D152" s="390" t="inlineStr">
        <is>
          <t>MST1</t>
        </is>
      </c>
      <c r="E152" s="627" t="n"/>
      <c r="F152" s="628" t="n"/>
      <c r="G152" s="629" t="n"/>
      <c r="H152" s="623" t="n"/>
      <c r="I152" s="623" t="n"/>
      <c r="J152" s="623" t="n"/>
      <c r="K152" s="637" t="inlineStr">
        <is>
          <t>RCVD DAYS</t>
        </is>
      </c>
      <c r="L152" s="637" t="inlineStr">
        <is>
          <t>REM DAYS</t>
        </is>
      </c>
      <c r="M152" s="637" t="inlineStr">
        <is>
          <t>Total DAYS</t>
        </is>
      </c>
      <c r="N152" s="623" t="n"/>
      <c r="O152" s="623" t="n"/>
      <c r="P152" s="682" t="n"/>
      <c r="Q152" s="623" t="n"/>
      <c r="R152" s="623" t="n"/>
      <c r="S152" s="682" t="n"/>
      <c r="T152" s="623" t="n"/>
    </row>
    <row r="153">
      <c r="A153" s="695">
        <f>IF(B153&lt;&gt;"",INDIRECT(ADDRESS(ROW()-1,COLUMN()))+1,0)</f>
        <v/>
      </c>
      <c r="B153" s="696" t="inlineStr">
        <is>
          <t>Shanghai Fosun Pharma</t>
        </is>
      </c>
      <c r="C153" s="697" t="inlineStr">
        <is>
          <t>2196</t>
        </is>
      </c>
      <c r="D153" s="698" t="inlineStr">
        <is>
          <t>Shanghai Fosun Pharma - 1</t>
        </is>
      </c>
      <c r="E153" s="699" t="n">
        <v>1000</v>
      </c>
      <c r="F153" s="700" t="inlineStr">
        <is>
          <t>/</t>
        </is>
      </c>
      <c r="G153" s="718" t="n">
        <v>2000</v>
      </c>
      <c r="H153" s="731" t="inlineStr">
        <is>
          <t>23.3410</t>
        </is>
      </c>
      <c r="I153" s="732" t="inlineStr">
        <is>
          <t>19.1046</t>
        </is>
      </c>
      <c r="J153" s="731" t="inlineStr">
        <is>
          <t>24.5081</t>
        </is>
      </c>
      <c r="K153" s="733" t="n">
        <v>181</v>
      </c>
      <c r="L153" s="705">
        <f>M153-K153</f>
        <v/>
      </c>
      <c r="M153" s="705" t="n">
        <v>245</v>
      </c>
      <c r="N153" s="706" t="inlineStr">
        <is>
          <t>24-Oct-2025</t>
        </is>
      </c>
      <c r="O153" s="706" t="inlineStr">
        <is>
          <t>23-Oct-2026</t>
        </is>
      </c>
      <c r="P153" s="720" t="n"/>
      <c r="Q153" s="708">
        <f>E153*L153*X153</f>
        <v/>
      </c>
      <c r="R153" s="709">
        <f>E153*I153*L153*X153</f>
        <v/>
      </c>
      <c r="S153" s="707" t="n"/>
      <c r="T153" s="709">
        <f>E153*I153*20*X153</f>
        <v/>
      </c>
      <c r="U153" s="0" t="n">
        <v>236.2</v>
      </c>
      <c r="V153" s="282" t="n">
        <v>0</v>
      </c>
      <c r="W153" s="282" t="n">
        <v>22</v>
      </c>
      <c r="X153" s="0" t="n">
        <v>2</v>
      </c>
      <c r="Y153" s="154">
        <f>X153*V153*E153*I153</f>
        <v/>
      </c>
      <c r="Z153" s="154">
        <f>X153*W153*E153*I153</f>
        <v/>
      </c>
      <c r="AB153" s="155">
        <f>MONTH(O153)</f>
        <v/>
      </c>
      <c r="AC153" s="155">
        <f>YEAR(O153)</f>
        <v/>
      </c>
      <c r="AD153" s="642">
        <f>AB153&amp;"-"&amp;AC153&amp;"-"&amp;C153</f>
        <v/>
      </c>
      <c r="AE153" s="642">
        <f>C153</f>
        <v/>
      </c>
      <c r="AF153" s="685">
        <f>MATCH(AE153,ALLM!C$2:C$13,)</f>
        <v/>
      </c>
    </row>
    <row r="154" ht="9" customHeight="1" s="671">
      <c r="A154" s="158" t="n"/>
    </row>
    <row r="155" ht="15.6" customFormat="1" customHeight="1" s="353">
      <c r="A155" s="158" t="n"/>
      <c r="H155" s="255" t="n"/>
      <c r="I155" s="260" t="n"/>
      <c r="J155" s="255" t="n"/>
      <c r="K155" s="1" t="n"/>
      <c r="L155" s="54" t="n"/>
      <c r="M155" s="54" t="n"/>
      <c r="N155" s="394" t="n"/>
      <c r="O155" s="371" t="inlineStr">
        <is>
          <t>MORGAN STANLEY   (Titan w/ Lucio) Total</t>
        </is>
      </c>
      <c r="P155" s="394" t="n"/>
      <c r="Q155" s="44">
        <f>SUM(Q152:Q154)</f>
        <v/>
      </c>
      <c r="R155" s="686">
        <f>SUM(R152:R154)</f>
        <v/>
      </c>
      <c r="S155" s="394" t="n"/>
      <c r="T155" s="686">
        <f>SUM(T152:T154)</f>
        <v/>
      </c>
      <c r="V155" s="687" t="n"/>
      <c r="W155" s="687" t="n"/>
      <c r="X155" s="102" t="n"/>
      <c r="Y155" s="43" t="n"/>
      <c r="Z155" s="43" t="n"/>
      <c r="AB155" s="102" t="n"/>
      <c r="AC155" s="102" t="n"/>
    </row>
    <row r="156" ht="5.25" customHeight="1" s="671"/>
    <row r="157" ht="17.25" customHeight="1" s="671">
      <c r="A157" s="53" t="inlineStr">
        <is>
          <t>MORGAN STANLEY   (Perfect Legend w/ Lucio)</t>
        </is>
      </c>
      <c r="B157" s="52" t="n"/>
      <c r="C157" s="412" t="n"/>
      <c r="D157" s="412" t="n"/>
      <c r="E157" s="713" t="n"/>
      <c r="F157" s="713" t="n"/>
      <c r="G157" s="713" t="n"/>
      <c r="H157" s="261" t="n"/>
      <c r="I157" s="262" t="n"/>
      <c r="J157" s="263" t="n"/>
      <c r="K157" s="49" t="n"/>
      <c r="L157" s="49" t="n"/>
      <c r="M157" s="49" t="n"/>
      <c r="N157" s="645" t="n"/>
      <c r="O157" s="645" t="n"/>
      <c r="P157" s="645" t="n"/>
      <c r="Q157" s="645" t="n"/>
      <c r="R157" s="645" t="n"/>
    </row>
    <row r="158" ht="12.75" customHeight="1" s="671">
      <c r="A158" s="51" t="n"/>
      <c r="B158" s="50" t="n"/>
      <c r="C158" s="414" t="n"/>
      <c r="D158" s="414" t="n"/>
      <c r="E158" s="714" t="n"/>
      <c r="F158" s="714" t="n"/>
      <c r="G158" s="714" t="n"/>
      <c r="H158" s="264" t="n"/>
      <c r="I158" s="265" t="n"/>
      <c r="J158" s="266" t="n"/>
      <c r="K158" s="49" t="n"/>
      <c r="L158" s="49" t="n"/>
      <c r="M158" s="49" t="n"/>
      <c r="N158" s="645" t="n"/>
      <c r="O158" s="645" t="n"/>
      <c r="P158" s="645" t="n"/>
      <c r="Q158" s="645" t="n"/>
      <c r="R158" s="645" t="n"/>
    </row>
    <row r="159" ht="15" customHeight="1" s="671">
      <c r="B159" s="640" t="inlineStr">
        <is>
          <t>ACCUMULATOR</t>
        </is>
      </c>
      <c r="C159" s="631" t="inlineStr">
        <is>
          <t>CODE</t>
        </is>
      </c>
      <c r="D159" s="631" t="n"/>
      <c r="E159" s="624" t="inlineStr">
        <is>
          <t>SHARES / DAY</t>
        </is>
      </c>
      <c r="F159" s="625" t="n"/>
      <c r="G159" s="626" t="n"/>
      <c r="H159" s="633" t="inlineStr">
        <is>
          <t>SPOT PRICE</t>
        </is>
      </c>
      <c r="I159" s="633" t="inlineStr">
        <is>
          <t>STRIKE PRICE</t>
        </is>
      </c>
      <c r="J159" s="633" t="inlineStr">
        <is>
          <t>K/O PRICE</t>
        </is>
      </c>
      <c r="K159" s="637" t="inlineStr">
        <is>
          <t>LIFE TERM OF CONTRACT</t>
        </is>
      </c>
      <c r="L159" s="638" t="n"/>
      <c r="M159" s="639" t="n"/>
      <c r="N159" s="622" t="inlineStr">
        <is>
          <t>START DATE</t>
        </is>
      </c>
      <c r="O159" s="622" t="inlineStr">
        <is>
          <t>END DATE</t>
        </is>
      </c>
      <c r="P159" s="682" t="n"/>
      <c r="Q159" s="632" t="inlineStr">
        <is>
          <t>Estimated Total Shares Remaining</t>
        </is>
      </c>
      <c r="R159" s="683" t="inlineStr">
        <is>
          <t>Estimated Amount</t>
        </is>
      </c>
      <c r="S159" s="682" t="n"/>
      <c r="T159" s="683" t="inlineStr">
        <is>
          <t>Estimated Amount per month</t>
        </is>
      </c>
    </row>
    <row r="160" ht="20.45" customHeight="1" s="671">
      <c r="B160" s="623" t="n"/>
      <c r="C160" s="623" t="n"/>
      <c r="D160" s="390" t="inlineStr">
        <is>
          <t>MSPL</t>
        </is>
      </c>
      <c r="E160" s="627" t="n"/>
      <c r="F160" s="628" t="n"/>
      <c r="G160" s="629" t="n"/>
      <c r="H160" s="623" t="n"/>
      <c r="I160" s="623" t="n"/>
      <c r="J160" s="623" t="n"/>
      <c r="K160" s="637" t="inlineStr">
        <is>
          <t>RCVD DAYS</t>
        </is>
      </c>
      <c r="L160" s="637" t="inlineStr">
        <is>
          <t>REM DAYS</t>
        </is>
      </c>
      <c r="M160" s="637" t="inlineStr">
        <is>
          <t>Total DAYS</t>
        </is>
      </c>
      <c r="N160" s="623" t="n"/>
      <c r="O160" s="623" t="n"/>
      <c r="P160" s="682" t="n"/>
      <c r="Q160" s="623" t="n"/>
      <c r="R160" s="623" t="n"/>
      <c r="S160" s="682" t="n"/>
      <c r="T160" s="623" t="n"/>
    </row>
    <row r="161">
      <c r="A161" s="695">
        <f>IF(B161&lt;&gt;"",INDIRECT(ADDRESS(ROW()-1,COLUMN()))+1,0)</f>
        <v/>
      </c>
      <c r="B161" s="696" t="inlineStr">
        <is>
          <t>HK Exchange</t>
        </is>
      </c>
      <c r="C161" s="697" t="inlineStr">
        <is>
          <t>0388</t>
        </is>
      </c>
      <c r="D161" s="698" t="inlineStr">
        <is>
          <t>HK Exchange - 15</t>
        </is>
      </c>
      <c r="E161" s="734" t="n">
        <v>140</v>
      </c>
      <c r="F161" s="717" t="inlineStr">
        <is>
          <t>/</t>
        </is>
      </c>
      <c r="G161" s="700" t="n">
        <v>280</v>
      </c>
      <c r="H161" s="731" t="inlineStr">
        <is>
          <t>430.3915</t>
        </is>
      </c>
      <c r="I161" s="732" t="inlineStr">
        <is>
          <t>380.2939</t>
        </is>
      </c>
      <c r="J161" s="731" t="inlineStr">
        <is>
          <t>473.4307</t>
        </is>
      </c>
      <c r="K161" s="733" t="n">
        <v>224</v>
      </c>
      <c r="L161" s="705">
        <f>M161-K161</f>
        <v/>
      </c>
      <c r="M161" s="705" t="n">
        <v>245</v>
      </c>
      <c r="N161" s="706" t="inlineStr">
        <is>
          <t>12-Aug-2025</t>
        </is>
      </c>
      <c r="O161" s="706" t="inlineStr">
        <is>
          <t>11-Aug-2026</t>
        </is>
      </c>
      <c r="P161" s="720" t="n"/>
      <c r="Q161" s="708">
        <f>E161*L161*X161</f>
        <v/>
      </c>
      <c r="R161" s="709">
        <f>E161*I161*L161*X161</f>
        <v/>
      </c>
      <c r="S161" s="707" t="n"/>
      <c r="T161" s="709">
        <f>E161*I161*20*X161</f>
        <v/>
      </c>
      <c r="U161" s="0" t="n">
        <v>413</v>
      </c>
      <c r="V161" s="282" t="n">
        <v>0</v>
      </c>
      <c r="W161" s="282" t="n">
        <v>21</v>
      </c>
      <c r="X161" s="0" t="n">
        <v>1</v>
      </c>
      <c r="Y161" s="154">
        <f>X161*V161*E161*I161</f>
        <v/>
      </c>
      <c r="Z161" s="154">
        <f>X161*W161*E161*I161</f>
        <v/>
      </c>
      <c r="AB161" s="155">
        <f>MONTH(O161)</f>
        <v/>
      </c>
      <c r="AC161" s="155">
        <f>YEAR(O161)</f>
        <v/>
      </c>
      <c r="AD161" s="642">
        <f>AB161&amp;"-"&amp;AC161&amp;"-"&amp;C161</f>
        <v/>
      </c>
      <c r="AE161" s="642">
        <f>C161</f>
        <v/>
      </c>
      <c r="AF161" s="685">
        <f>MATCH(AE161,ALLM!C$2:C$13,)</f>
        <v/>
      </c>
    </row>
    <row r="162">
      <c r="A162" s="695">
        <f>IF(B162&lt;&gt;"",INDIRECT(ADDRESS(ROW()-1,COLUMN()))+1,0)</f>
        <v/>
      </c>
      <c r="B162" s="696" t="inlineStr">
        <is>
          <t>Tencent</t>
        </is>
      </c>
      <c r="C162" s="697" t="inlineStr">
        <is>
          <t>0700</t>
        </is>
      </c>
      <c r="D162" s="698" t="inlineStr">
        <is>
          <t>Tencent - 12</t>
        </is>
      </c>
      <c r="E162" s="699" t="n">
        <v>130</v>
      </c>
      <c r="F162" s="717" t="inlineStr">
        <is>
          <t>/</t>
        </is>
      </c>
      <c r="G162" s="735" t="n">
        <v>260</v>
      </c>
      <c r="H162" s="731" t="inlineStr">
        <is>
          <t>635.5000</t>
        </is>
      </c>
      <c r="I162" s="732" t="inlineStr">
        <is>
          <t>556.6980</t>
        </is>
      </c>
      <c r="J162" s="731" t="inlineStr">
        <is>
          <t>667.2750</t>
        </is>
      </c>
      <c r="K162" s="733" t="n">
        <v>181</v>
      </c>
      <c r="L162" s="705">
        <f>M162-K162</f>
        <v/>
      </c>
      <c r="M162" s="705" t="n">
        <v>245</v>
      </c>
      <c r="N162" s="706" t="inlineStr">
        <is>
          <t>27-Oct-2025</t>
        </is>
      </c>
      <c r="O162" s="706" t="inlineStr">
        <is>
          <t>26-Oct-2026</t>
        </is>
      </c>
      <c r="P162" s="720" t="n"/>
      <c r="Q162" s="708">
        <f>E162*L162*X162</f>
        <v/>
      </c>
      <c r="R162" s="709">
        <f>E162*I162*L162*X162</f>
        <v/>
      </c>
      <c r="S162" s="707" t="n"/>
      <c r="T162" s="709">
        <f>E162*I162*20*X162</f>
        <v/>
      </c>
      <c r="U162" s="0" t="n">
        <v>413</v>
      </c>
      <c r="V162" s="282" t="n">
        <v>0</v>
      </c>
      <c r="W162" s="282" t="n">
        <v>21</v>
      </c>
      <c r="X162" s="0" t="n">
        <v>2</v>
      </c>
      <c r="Y162" s="154">
        <f>X162*V162*E162*I162</f>
        <v/>
      </c>
      <c r="Z162" s="154">
        <f>X162*W162*E162*I162</f>
        <v/>
      </c>
      <c r="AB162" s="155">
        <f>MONTH(O162)</f>
        <v/>
      </c>
      <c r="AC162" s="155">
        <f>YEAR(O162)</f>
        <v/>
      </c>
      <c r="AD162" s="642">
        <f>AB162&amp;"-"&amp;AC162&amp;"-"&amp;C162</f>
        <v/>
      </c>
      <c r="AE162" s="642">
        <f>C162</f>
        <v/>
      </c>
      <c r="AF162" s="685">
        <f>MATCH(AE162,ALLM!C$2:C$13,)</f>
        <v/>
      </c>
    </row>
    <row r="163" ht="12" customHeight="1" s="671">
      <c r="A163" s="158" t="n"/>
      <c r="K163" s="642" t="n"/>
      <c r="V163" s="280" t="n"/>
      <c r="W163" s="280" t="n"/>
    </row>
    <row r="164" ht="15.6" customFormat="1" customHeight="1" s="353">
      <c r="A164" s="1" t="n"/>
      <c r="H164" s="255" t="n"/>
      <c r="I164" s="260" t="n"/>
      <c r="J164" s="255" t="n"/>
      <c r="K164" s="46" t="n"/>
      <c r="L164" s="45" t="n"/>
      <c r="M164" s="45" t="n"/>
      <c r="N164" s="394" t="n"/>
      <c r="O164" s="371" t="inlineStr">
        <is>
          <t>MORGAN STANLEY   (Perfect Legend w/ Lucio) Total</t>
        </is>
      </c>
      <c r="P164" s="394" t="n"/>
      <c r="Q164" s="44">
        <f>SUM(Q160:Q163)</f>
        <v/>
      </c>
      <c r="R164" s="686">
        <f>SUM(R160:R163)</f>
        <v/>
      </c>
      <c r="S164" s="394" t="n"/>
      <c r="T164" s="686">
        <f>SUM(T160:T163)</f>
        <v/>
      </c>
      <c r="V164" s="687" t="n"/>
      <c r="W164" s="687" t="n"/>
      <c r="X164" s="102" t="n"/>
      <c r="Y164" s="43" t="n"/>
      <c r="Z164" s="43" t="n"/>
      <c r="AB164" s="102" t="n"/>
      <c r="AC164" s="102" t="n"/>
    </row>
    <row r="165" ht="4.5" customHeight="1" s="671">
      <c r="K165" s="39" t="n"/>
      <c r="L165" s="39" t="n"/>
      <c r="M165" s="39" t="n"/>
      <c r="O165" s="418" t="n"/>
    </row>
    <row r="166" ht="5.25" customHeight="1" s="671">
      <c r="K166" s="39" t="n"/>
      <c r="L166" s="39" t="n"/>
      <c r="M166" s="39" t="n"/>
      <c r="O166" s="418" t="n"/>
    </row>
    <row r="167">
      <c r="K167" s="39" t="n"/>
      <c r="L167" s="39" t="n"/>
      <c r="M167" s="39" t="n"/>
      <c r="O167" s="418" t="n"/>
      <c r="Q167" s="426" t="inlineStr">
        <is>
          <t>Shares</t>
        </is>
      </c>
      <c r="R167" s="426" t="inlineStr">
        <is>
          <t>HKD</t>
        </is>
      </c>
      <c r="T167" s="426" t="inlineStr">
        <is>
          <t>HKD</t>
        </is>
      </c>
    </row>
    <row r="168" ht="18" customFormat="1" customHeight="1" s="427">
      <c r="A168" s="42" t="n"/>
      <c r="H168" s="269" t="n"/>
      <c r="I168" s="270" t="n"/>
      <c r="J168" s="269" t="n"/>
      <c r="K168" s="37" t="n"/>
      <c r="L168" s="41" t="n"/>
      <c r="M168" s="41" t="n"/>
      <c r="N168" s="429" t="n"/>
      <c r="O168" s="429" t="inlineStr">
        <is>
          <t>Grand Total   (Larry w/  Lucio)</t>
        </is>
      </c>
      <c r="P168" s="728" t="n"/>
      <c r="Q168" s="36">
        <f>SUM(Q147,Q155,Q164)</f>
        <v/>
      </c>
      <c r="R168" s="728">
        <f>SUM(R147,R155,R164)</f>
        <v/>
      </c>
      <c r="S168" s="728" t="n"/>
      <c r="T168" s="728">
        <f>SUM(T147,T155,T164)</f>
        <v/>
      </c>
      <c r="V168" s="729" t="n"/>
      <c r="W168" s="729" t="n"/>
      <c r="X168" s="103" t="n"/>
      <c r="Y168" s="40" t="n"/>
      <c r="Z168" s="40" t="n"/>
      <c r="AB168" s="103" t="n"/>
      <c r="AC168" s="103" t="n"/>
    </row>
    <row r="169" ht="6.75" customHeight="1" s="671">
      <c r="A169" s="642" t="n"/>
      <c r="K169" s="39" t="n"/>
      <c r="L169" s="39" t="n"/>
      <c r="M169" s="39" t="n"/>
      <c r="O169" s="418" t="n"/>
    </row>
    <row r="170" ht="3" customHeight="1" s="671">
      <c r="K170" s="39" t="n"/>
      <c r="L170" s="39" t="n"/>
      <c r="M170" s="39" t="n"/>
      <c r="O170" s="418" t="n"/>
    </row>
    <row r="171">
      <c r="K171" s="39" t="n"/>
      <c r="L171" s="39" t="n"/>
      <c r="M171" s="39" t="n"/>
      <c r="O171" s="418" t="n"/>
      <c r="Q171" s="426" t="inlineStr">
        <is>
          <t>Shares</t>
        </is>
      </c>
      <c r="R171" s="426" t="inlineStr">
        <is>
          <t>HKD</t>
        </is>
      </c>
      <c r="T171" s="426" t="inlineStr">
        <is>
          <t>HKD</t>
        </is>
      </c>
    </row>
    <row r="172" ht="18" customHeight="1" s="671">
      <c r="K172" s="38" t="n"/>
      <c r="L172" s="38" t="n"/>
      <c r="M172" s="37" t="n"/>
      <c r="N172" s="428" t="n"/>
      <c r="O172" s="429" t="inlineStr">
        <is>
          <t>Grand Total   (ALL)</t>
        </is>
      </c>
      <c r="P172" s="728" t="n"/>
      <c r="Q172" s="36">
        <f>SUM(Q136,Q168)</f>
        <v/>
      </c>
      <c r="R172" s="728">
        <f>SUM(R136,R168)</f>
        <v/>
      </c>
      <c r="S172" s="728" t="n"/>
      <c r="T172" s="728">
        <f>SUM(T136,T168)</f>
        <v/>
      </c>
    </row>
    <row r="173" ht="10.5" customHeight="1" s="671"/>
    <row r="174" ht="16.15" customHeight="1" s="671" thickBot="1">
      <c r="O174" s="353" t="n"/>
      <c r="P174" s="432" t="n"/>
      <c r="Q174" s="353" t="n"/>
      <c r="R174" s="686">
        <f>R172/O175</f>
        <v/>
      </c>
      <c r="T174" s="686">
        <f>T172/O175</f>
        <v/>
      </c>
    </row>
    <row r="175" ht="15" customHeight="1" s="671" thickBot="1">
      <c r="N175" s="435" t="inlineStr">
        <is>
          <t>RATE</t>
        </is>
      </c>
      <c r="O175" s="297" t="n">
        <v>7.755</v>
      </c>
      <c r="R175" s="423" t="inlineStr">
        <is>
          <t>USD</t>
        </is>
      </c>
      <c r="S175" s="418" t="n"/>
      <c r="T175" s="423" t="inlineStr">
        <is>
          <t>USD</t>
        </is>
      </c>
    </row>
    <row r="176" ht="2.25" customHeight="1" s="671"/>
    <row r="177">
      <c r="H177" s="642" t="n"/>
      <c r="I177" s="642" t="n"/>
      <c r="J177" s="642" t="n"/>
      <c r="Q177" s="426" t="n"/>
      <c r="R177" s="426" t="inlineStr">
        <is>
          <t>HKD</t>
        </is>
      </c>
      <c r="T177" s="426" t="inlineStr">
        <is>
          <t>USD</t>
        </is>
      </c>
    </row>
    <row r="178" ht="16.9" customHeight="1" s="671">
      <c r="H178" s="642" t="n"/>
      <c r="I178" s="642" t="n"/>
      <c r="J178" s="642" t="n"/>
      <c r="N178" s="649" t="inlineStr">
        <is>
          <t>Remaining End of July 2026</t>
        </is>
      </c>
      <c r="R178" s="736">
        <f>R172-Y178</f>
        <v/>
      </c>
      <c r="S178" s="737" t="n"/>
      <c r="T178" s="736">
        <f>R178/O175</f>
        <v/>
      </c>
      <c r="U178" s="642" t="inlineStr">
        <is>
          <t>Remaining End of December 2019</t>
        </is>
      </c>
      <c r="Y178" s="154">
        <f>SUM(Y6:Y177)</f>
        <v/>
      </c>
      <c r="Z178" s="154">
        <f>SUM(Z6:Z177)</f>
        <v/>
      </c>
    </row>
    <row r="179" ht="16.9" customHeight="1" s="671">
      <c r="H179" s="642" t="n"/>
      <c r="I179" s="642" t="n"/>
      <c r="J179" s="642" t="n"/>
      <c r="N179" s="644" t="inlineStr">
        <is>
          <t>Remaining End of August 2026</t>
        </is>
      </c>
      <c r="R179" s="738">
        <f>R172-Z178</f>
        <v/>
      </c>
      <c r="S179" s="739" t="n"/>
      <c r="T179" s="738">
        <f>R179/O175</f>
        <v/>
      </c>
      <c r="U179" s="642" t="inlineStr">
        <is>
          <t>Remaining End of January 2020</t>
        </is>
      </c>
    </row>
    <row r="180" ht="16.9" customHeight="1" s="671">
      <c r="H180" s="642" t="n"/>
      <c r="I180" s="642" t="n"/>
      <c r="J180" s="642" t="n"/>
      <c r="N180" s="647" t="inlineStr">
        <is>
          <t>Remaining End of February 2020</t>
        </is>
      </c>
      <c r="R180" s="740">
        <f>R179-T172</f>
        <v/>
      </c>
      <c r="S180" s="441" t="n"/>
      <c r="T180" s="740">
        <f>R180/O175</f>
        <v/>
      </c>
    </row>
    <row r="182">
      <c r="R182" s="642">
        <f>R178-T172</f>
        <v/>
      </c>
    </row>
  </sheetData>
  <mergeCells count="167">
    <mergeCell ref="Q71:Q72"/>
    <mergeCell ref="N22:N23"/>
    <mergeCell ref="C128:C129"/>
    <mergeCell ref="R44:R45"/>
    <mergeCell ref="K159:M159"/>
    <mergeCell ref="R31:R32"/>
    <mergeCell ref="N178:Q178"/>
    <mergeCell ref="T143:T144"/>
    <mergeCell ref="R59:R60"/>
    <mergeCell ref="N143:N144"/>
    <mergeCell ref="H2:J2"/>
    <mergeCell ref="J59:J60"/>
    <mergeCell ref="T93:T94"/>
    <mergeCell ref="H59:H60"/>
    <mergeCell ref="I159:I160"/>
    <mergeCell ref="T44:T45"/>
    <mergeCell ref="B14:B15"/>
    <mergeCell ref="N93:N94"/>
    <mergeCell ref="N5:N6"/>
    <mergeCell ref="K71:M71"/>
    <mergeCell ref="Q93:Q94"/>
    <mergeCell ref="C71:C72"/>
    <mergeCell ref="N14:N15"/>
    <mergeCell ref="K120:M120"/>
    <mergeCell ref="B151:B152"/>
    <mergeCell ref="H159:H160"/>
    <mergeCell ref="C93:C94"/>
    <mergeCell ref="O143:O144"/>
    <mergeCell ref="N151:N152"/>
    <mergeCell ref="Q143:Q144"/>
    <mergeCell ref="H128:H129"/>
    <mergeCell ref="J128:J129"/>
    <mergeCell ref="B128:B129"/>
    <mergeCell ref="T128:T129"/>
    <mergeCell ref="R71:R72"/>
    <mergeCell ref="J22:J23"/>
    <mergeCell ref="R159:R160"/>
    <mergeCell ref="J31:J32"/>
    <mergeCell ref="H120:H121"/>
    <mergeCell ref="J71:J72"/>
    <mergeCell ref="R120:R121"/>
    <mergeCell ref="N180:Q180"/>
    <mergeCell ref="T120:T121"/>
    <mergeCell ref="I44:I45"/>
    <mergeCell ref="B1:E1"/>
    <mergeCell ref="I31:I32"/>
    <mergeCell ref="K5:M5"/>
    <mergeCell ref="N1:Q1"/>
    <mergeCell ref="B159:B160"/>
    <mergeCell ref="C151:C152"/>
    <mergeCell ref="C14:C15"/>
    <mergeCell ref="O5:O6"/>
    <mergeCell ref="J93:J94"/>
    <mergeCell ref="Q5:Q6"/>
    <mergeCell ref="B93:B94"/>
    <mergeCell ref="Q14:Q15"/>
    <mergeCell ref="K44:M44"/>
    <mergeCell ref="K22:M22"/>
    <mergeCell ref="K31:M31"/>
    <mergeCell ref="I151:I152"/>
    <mergeCell ref="H93:H94"/>
    <mergeCell ref="O128:O129"/>
    <mergeCell ref="E22:G23"/>
    <mergeCell ref="Q159:Q160"/>
    <mergeCell ref="E93:G94"/>
    <mergeCell ref="I71:I72"/>
    <mergeCell ref="E14:G15"/>
    <mergeCell ref="K14:M14"/>
    <mergeCell ref="J151:J152"/>
    <mergeCell ref="H22:H23"/>
    <mergeCell ref="J143:J144"/>
    <mergeCell ref="C31:C32"/>
    <mergeCell ref="B143:B144"/>
    <mergeCell ref="O22:O23"/>
    <mergeCell ref="O31:O32"/>
    <mergeCell ref="B44:B45"/>
    <mergeCell ref="C120:C121"/>
    <mergeCell ref="Q31:Q32"/>
    <mergeCell ref="O71:O72"/>
    <mergeCell ref="K3:R4"/>
    <mergeCell ref="N44:N45"/>
    <mergeCell ref="T159:T160"/>
    <mergeCell ref="E128:G129"/>
    <mergeCell ref="K128:M128"/>
    <mergeCell ref="N31:N32"/>
    <mergeCell ref="K20:R21"/>
    <mergeCell ref="K29:R30"/>
    <mergeCell ref="T31:T32"/>
    <mergeCell ref="H14:H15"/>
    <mergeCell ref="E31:G32"/>
    <mergeCell ref="J14:J15"/>
    <mergeCell ref="N179:Q179"/>
    <mergeCell ref="E120:G121"/>
    <mergeCell ref="R151:R152"/>
    <mergeCell ref="T151:T152"/>
    <mergeCell ref="B31:B32"/>
    <mergeCell ref="C5:C6"/>
    <mergeCell ref="Q151:Q152"/>
    <mergeCell ref="R128:R129"/>
    <mergeCell ref="B71:B72"/>
    <mergeCell ref="E159:G160"/>
    <mergeCell ref="T14:T15"/>
    <mergeCell ref="O151:O152"/>
    <mergeCell ref="N159:N160"/>
    <mergeCell ref="H31:H32"/>
    <mergeCell ref="K59:M59"/>
    <mergeCell ref="C44:C45"/>
    <mergeCell ref="C59:C60"/>
    <mergeCell ref="C22:C23"/>
    <mergeCell ref="N120:N121"/>
    <mergeCell ref="O44:O45"/>
    <mergeCell ref="T71:T72"/>
    <mergeCell ref="Q44:Q45"/>
    <mergeCell ref="K151:M151"/>
    <mergeCell ref="Q22:Q23"/>
    <mergeCell ref="E5:G6"/>
    <mergeCell ref="R22:R23"/>
    <mergeCell ref="R93:R94"/>
    <mergeCell ref="T22:T23"/>
    <mergeCell ref="E44:G45"/>
    <mergeCell ref="E59:G60"/>
    <mergeCell ref="R143:R144"/>
    <mergeCell ref="N59:N60"/>
    <mergeCell ref="I128:I129"/>
    <mergeCell ref="Q120:Q121"/>
    <mergeCell ref="H1:J1"/>
    <mergeCell ref="H5:H6"/>
    <mergeCell ref="R5:R6"/>
    <mergeCell ref="J5:J6"/>
    <mergeCell ref="R14:R15"/>
    <mergeCell ref="B22:B23"/>
    <mergeCell ref="J159:J160"/>
    <mergeCell ref="H151:H152"/>
    <mergeCell ref="T5:T6"/>
    <mergeCell ref="I120:I121"/>
    <mergeCell ref="H44:H45"/>
    <mergeCell ref="J44:J45"/>
    <mergeCell ref="K12:R13"/>
    <mergeCell ref="E71:G72"/>
    <mergeCell ref="T59:T60"/>
    <mergeCell ref="C143:C144"/>
    <mergeCell ref="B120:B121"/>
    <mergeCell ref="N71:N72"/>
    <mergeCell ref="I22:I23"/>
    <mergeCell ref="E151:G152"/>
    <mergeCell ref="I143:I144"/>
    <mergeCell ref="O93:O94"/>
    <mergeCell ref="O59:O60"/>
    <mergeCell ref="I93:I94"/>
    <mergeCell ref="Q59:Q60"/>
    <mergeCell ref="I5:I6"/>
    <mergeCell ref="N128:N129"/>
    <mergeCell ref="I14:I15"/>
    <mergeCell ref="E143:G144"/>
    <mergeCell ref="H71:H72"/>
    <mergeCell ref="C159:C160"/>
    <mergeCell ref="K93:M93"/>
    <mergeCell ref="O159:O160"/>
    <mergeCell ref="K143:M143"/>
    <mergeCell ref="J120:J121"/>
    <mergeCell ref="I59:I60"/>
    <mergeCell ref="B5:B6"/>
    <mergeCell ref="O14:O15"/>
    <mergeCell ref="Q128:Q129"/>
    <mergeCell ref="B59:B60"/>
    <mergeCell ref="H143:H144"/>
    <mergeCell ref="O120:O121"/>
  </mergeCells>
  <pageMargins left="0.2" right="0.2" top="0.2" bottom="0.2" header="0.3" footer="0.3"/>
  <pageSetup orientation="landscape" paperSize="10001" scale="62" fitToHeight="0" horizontalDpi="300" verticalDpi="300"/>
  <rowBreaks count="3" manualBreakCount="3">
    <brk id="68" min="0" max="19" man="1"/>
    <brk id="90" min="0" max="19" man="1"/>
    <brk id="156" min="0" max="19" man="1"/>
  </rowBreaks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I168"/>
  <sheetViews>
    <sheetView tabSelected="1" view="pageBreakPreview" topLeftCell="A84" zoomScaleNormal="100" zoomScaleSheetLayoutView="100" workbookViewId="0">
      <selection activeCell="D109" sqref="D109"/>
    </sheetView>
  </sheetViews>
  <sheetFormatPr baseColWidth="8" defaultColWidth="9.140625" defaultRowHeight="15" outlineLevelCol="1"/>
  <cols>
    <col width="4.28515625" customWidth="1" style="652" min="1" max="1"/>
    <col width="26.7109375" customWidth="1" style="654" min="2" max="2"/>
    <col width="5.5703125" customWidth="1" style="654" min="3" max="3"/>
    <col outlineLevel="1" width="24" customWidth="1" style="656" min="4" max="4"/>
    <col width="5.42578125" bestFit="1" customWidth="1" style="654" min="5" max="5"/>
    <col width="1.42578125" customWidth="1" style="654" min="6" max="6"/>
    <col width="6.42578125" bestFit="1" customWidth="1" style="654" min="7" max="7"/>
    <col width="9" customWidth="1" style="651" min="8" max="8"/>
    <col width="10.28515625" customWidth="1" style="298" min="9" max="9"/>
    <col width="8.5703125" customWidth="1" style="651" min="10" max="10"/>
    <col width="6" customWidth="1" style="652" min="11" max="13"/>
    <col width="11.140625" customWidth="1" style="654" min="14" max="15"/>
    <col width="2.7109375" customWidth="1" style="654" min="16" max="16"/>
    <col width="17.7109375" customWidth="1" style="654" min="17" max="17"/>
    <col width="21.140625" customWidth="1" style="654" min="18" max="18"/>
    <col width="3.42578125" customWidth="1" style="654" min="19" max="19"/>
    <col width="19.42578125" customWidth="1" style="654" min="20" max="20"/>
    <col width="12.7109375" bestFit="1" customWidth="1" style="654" min="21" max="21"/>
    <col outlineLevel="1" width="9.140625" customWidth="1" style="652" min="22" max="24"/>
    <col outlineLevel="1" width="14.28515625" customWidth="1" style="173" min="25" max="26"/>
    <col width="9.140625" customWidth="1" style="654" min="27" max="27"/>
    <col hidden="1" outlineLevel="1" width="9.140625" customWidth="1" style="163" min="28" max="28"/>
    <col hidden="1" outlineLevel="1" width="9.140625" customWidth="1" style="654" min="29" max="29"/>
    <col hidden="1" outlineLevel="1" width="12.42578125" customWidth="1" style="654" min="30" max="30"/>
    <col hidden="1" outlineLevel="1" width="15.28515625" customWidth="1" style="654" min="31" max="31"/>
    <col collapsed="1" width="15.28515625" bestFit="1" customWidth="1" style="654" min="32" max="32"/>
    <col width="9.140625" customWidth="1" style="654" min="33" max="703"/>
    <col width="9.140625" customWidth="1" style="654" min="704" max="16384"/>
  </cols>
  <sheetData>
    <row r="1" ht="18" customHeight="1" s="671">
      <c r="A1" s="652">
        <f>SUM(,A16,A114,A149,A35,A121,A7,A134,A51,A84,A142,A26,A106,A65)</f>
        <v/>
      </c>
      <c r="B1" s="741">
        <f>ACCU!B1</f>
        <v/>
      </c>
      <c r="F1" s="444" t="n"/>
      <c r="G1" s="445" t="n"/>
      <c r="I1" s="650" t="inlineStr">
        <is>
          <t>DECUMULATOR</t>
        </is>
      </c>
      <c r="N1" s="742" t="inlineStr">
        <is>
          <t>For the Whole Structure</t>
        </is>
      </c>
    </row>
    <row r="2" ht="18" customHeight="1" s="671">
      <c r="B2" s="444" t="n"/>
      <c r="C2" s="444" t="n"/>
      <c r="D2" s="659" t="n"/>
      <c r="E2" s="444" t="n"/>
      <c r="F2" s="444" t="n"/>
      <c r="G2" s="82" t="n"/>
      <c r="K2" s="78" t="n"/>
      <c r="L2" s="78" t="n"/>
    </row>
    <row r="3" hidden="1" ht="15.75" customHeight="1" s="671">
      <c r="A3" s="76" t="inlineStr">
        <is>
          <t>CITIBANK  Account No.  1</t>
        </is>
      </c>
      <c r="B3" s="75" t="n"/>
      <c r="C3" s="447" t="n"/>
      <c r="D3" s="447" t="n"/>
      <c r="E3" s="681" t="n"/>
      <c r="F3" s="681" t="n"/>
      <c r="G3" s="681" t="n"/>
      <c r="H3" s="285" t="n"/>
      <c r="I3" s="285" t="n"/>
      <c r="J3" s="286" t="n"/>
      <c r="K3" s="659" t="inlineStr">
        <is>
          <t>1 month = 20 days</t>
        </is>
      </c>
    </row>
    <row r="4" hidden="1" ht="9.75" customHeight="1" s="671">
      <c r="A4" s="72" t="n"/>
      <c r="B4" s="448" t="n"/>
      <c r="C4" s="448" t="n"/>
      <c r="D4" s="449" t="n"/>
      <c r="E4" s="448" t="n"/>
      <c r="F4" s="448" t="n"/>
      <c r="G4" s="448" t="n"/>
      <c r="H4" s="299" t="n"/>
      <c r="I4" s="300" t="inlineStr">
        <is>
          <t>`</t>
        </is>
      </c>
      <c r="J4" s="299" t="n"/>
    </row>
    <row r="5" hidden="1" ht="15" customHeight="1" s="671">
      <c r="B5" s="640" t="inlineStr">
        <is>
          <t>DECUMULATOR</t>
        </is>
      </c>
      <c r="C5" s="631" t="inlineStr">
        <is>
          <t>CODE</t>
        </is>
      </c>
      <c r="D5" s="631" t="n"/>
      <c r="E5" s="624" t="inlineStr">
        <is>
          <t>SHARES / DAY</t>
        </is>
      </c>
      <c r="F5" s="625" t="n"/>
      <c r="G5" s="626" t="n"/>
      <c r="H5" s="633" t="inlineStr">
        <is>
          <t>SPOT PRICE</t>
        </is>
      </c>
      <c r="I5" s="633" t="inlineStr">
        <is>
          <t>STRIKE PRICE</t>
        </is>
      </c>
      <c r="J5" s="633" t="inlineStr">
        <is>
          <t>K/O PRICE</t>
        </is>
      </c>
      <c r="K5" s="653" t="inlineStr">
        <is>
          <t>LIFE TERM OF CONTRACT</t>
        </is>
      </c>
      <c r="L5" s="638" t="n"/>
      <c r="M5" s="639" t="n"/>
      <c r="N5" s="622" t="inlineStr">
        <is>
          <t>START DATE</t>
        </is>
      </c>
      <c r="O5" s="622" t="inlineStr">
        <is>
          <t>END DATE</t>
        </is>
      </c>
      <c r="P5" s="682" t="n"/>
      <c r="Q5" s="632" t="inlineStr">
        <is>
          <t>Estimated  Shares to sell</t>
        </is>
      </c>
      <c r="R5" s="683" t="inlineStr">
        <is>
          <t>Estimated Amount</t>
        </is>
      </c>
      <c r="S5" s="682" t="n"/>
      <c r="T5" s="683" t="inlineStr">
        <is>
          <t>Estimated Amount per month</t>
        </is>
      </c>
      <c r="Y5" s="173" t="inlineStr">
        <is>
          <t>july</t>
        </is>
      </c>
      <c r="Z5" s="173" t="inlineStr">
        <is>
          <t>aug</t>
        </is>
      </c>
      <c r="AH5" s="163">
        <f>SUM(AH8:AH1048576)</f>
        <v/>
      </c>
      <c r="AI5" s="163">
        <f>SUM(AI8:AI1048576)</f>
        <v/>
      </c>
    </row>
    <row r="6" hidden="1" ht="22.5" customHeight="1" s="671">
      <c r="B6" s="623" t="n"/>
      <c r="C6" s="623" t="n"/>
      <c r="D6" s="390" t="inlineStr">
        <is>
          <t>CB1</t>
        </is>
      </c>
      <c r="E6" s="627" t="n"/>
      <c r="F6" s="628" t="n"/>
      <c r="G6" s="629" t="n"/>
      <c r="H6" s="623" t="n"/>
      <c r="I6" s="623" t="n"/>
      <c r="J6" s="623" t="n"/>
      <c r="K6" s="637" t="inlineStr">
        <is>
          <t>RCVD mos.</t>
        </is>
      </c>
      <c r="L6" s="637" t="inlineStr">
        <is>
          <t>REM mos.</t>
        </is>
      </c>
      <c r="M6" s="637" t="inlineStr">
        <is>
          <t>Total mos.</t>
        </is>
      </c>
      <c r="N6" s="623" t="n"/>
      <c r="O6" s="623" t="n"/>
      <c r="P6" s="682" t="n"/>
      <c r="Q6" s="623" t="n"/>
      <c r="R6" s="623" t="n"/>
      <c r="S6" s="682" t="n"/>
      <c r="T6" s="623" t="n"/>
      <c r="U6" s="654" t="inlineStr">
        <is>
          <t>Closing</t>
        </is>
      </c>
      <c r="V6" s="652" t="inlineStr">
        <is>
          <t>Current</t>
        </is>
      </c>
      <c r="W6" s="652" t="inlineStr">
        <is>
          <t>Next</t>
        </is>
      </c>
      <c r="X6" s="652" t="inlineStr">
        <is>
          <t>sd</t>
        </is>
      </c>
      <c r="Y6" s="173" t="inlineStr">
        <is>
          <t>hkd</t>
        </is>
      </c>
      <c r="Z6" s="173" t="inlineStr">
        <is>
          <t>hkd</t>
        </is>
      </c>
      <c r="AH6" s="654" t="inlineStr">
        <is>
          <t>Double</t>
        </is>
      </c>
      <c r="AI6" s="654" t="inlineStr">
        <is>
          <t>Single</t>
        </is>
      </c>
    </row>
    <row r="7" hidden="1" s="671">
      <c r="A7" s="186">
        <f>IF(B7&lt;&gt;"",INDIRECT(ADDRESS(ROW()-1,COLUMN()))+1,0)</f>
        <v/>
      </c>
      <c r="B7" s="450" t="n"/>
      <c r="C7" s="188" t="n"/>
      <c r="D7" s="189" t="n"/>
      <c r="E7" s="190" t="n"/>
      <c r="F7" s="191" t="n"/>
      <c r="G7" s="192" t="n"/>
      <c r="H7" s="301" t="n"/>
      <c r="I7" s="302" t="n"/>
      <c r="J7" s="301" t="n"/>
      <c r="K7" s="193" t="n"/>
      <c r="L7" s="187" t="n"/>
      <c r="M7" s="187" t="n"/>
      <c r="N7" s="303" t="n"/>
      <c r="O7" s="303" t="n"/>
      <c r="P7" s="743" t="n"/>
      <c r="Q7" s="194">
        <f>E7*L7*20*X7</f>
        <v/>
      </c>
      <c r="R7" s="744">
        <f>E7*I7*L7*20*X7</f>
        <v/>
      </c>
      <c r="S7" s="743" t="n"/>
      <c r="T7" s="744">
        <f>E7*I7*20*X7</f>
        <v/>
      </c>
      <c r="U7" s="0" t="n"/>
      <c r="V7" s="304" t="n">
        <v>0</v>
      </c>
      <c r="W7" s="304" t="n">
        <v>42</v>
      </c>
      <c r="X7" s="678" t="n">
        <v>1</v>
      </c>
      <c r="AB7" s="163">
        <f>MONTH(O7)</f>
        <v/>
      </c>
      <c r="AC7" s="654">
        <f>YEAR(O7)</f>
        <v/>
      </c>
      <c r="AD7" s="654">
        <f>AB7&amp;"-"&amp;AC7&amp;"-"&amp;C7</f>
        <v/>
      </c>
      <c r="AE7" s="654">
        <f>C7</f>
        <v/>
      </c>
      <c r="AF7" s="685">
        <f>MATCH(AE7,ALLM!$C$34:$C$43,)</f>
        <v/>
      </c>
      <c r="AH7" s="163">
        <f>IF(C7="2333",IF(X7=2,1,0),0)</f>
        <v/>
      </c>
      <c r="AI7" s="163">
        <f>IF(C7="2333",IF(X7=1,1,0),0)</f>
        <v/>
      </c>
    </row>
    <row r="8" hidden="1" s="671">
      <c r="A8" s="147" t="n"/>
    </row>
    <row r="9" hidden="1" s="671">
      <c r="L9" s="71" t="n"/>
      <c r="N9" s="453" t="n"/>
      <c r="O9" s="453" t="inlineStr">
        <is>
          <t>Total</t>
        </is>
      </c>
      <c r="P9" s="453" t="n"/>
      <c r="Q9" s="663">
        <f>SUM(Q6:Q8)</f>
        <v/>
      </c>
      <c r="R9" s="94">
        <f>SUM(R6:R8)</f>
        <v/>
      </c>
      <c r="S9" s="453" t="n"/>
      <c r="T9" s="745">
        <f>SUM(T6:T8)</f>
        <v/>
      </c>
    </row>
    <row r="10" hidden="1" s="671">
      <c r="A10" s="72" t="n"/>
      <c r="B10" s="448" t="n"/>
      <c r="C10" s="448" t="n"/>
      <c r="D10" s="449" t="n"/>
      <c r="E10" s="448" t="n"/>
      <c r="F10" s="448" t="n"/>
      <c r="G10" s="448" t="n"/>
      <c r="H10" s="299" t="n"/>
      <c r="I10" s="300" t="n"/>
      <c r="J10" s="299" t="n"/>
      <c r="K10" s="72" t="n"/>
      <c r="Q10" s="656" t="inlineStr">
        <is>
          <t>Shares</t>
        </is>
      </c>
      <c r="R10" s="656" t="inlineStr">
        <is>
          <t>HKD</t>
        </is>
      </c>
      <c r="S10" s="656" t="n"/>
      <c r="T10" s="656" t="inlineStr">
        <is>
          <t>HKD</t>
        </is>
      </c>
    </row>
    <row r="11" hidden="1" s="671">
      <c r="A11" s="72" t="n"/>
      <c r="B11" s="448" t="n"/>
      <c r="C11" s="448" t="n"/>
      <c r="D11" s="449" t="n"/>
      <c r="E11" s="448" t="n"/>
      <c r="F11" s="448" t="n"/>
      <c r="G11" s="448" t="n"/>
      <c r="H11" s="299" t="n"/>
      <c r="I11" s="300" t="n"/>
      <c r="J11" s="299" t="n"/>
      <c r="K11" s="72" t="n"/>
      <c r="P11" s="682" t="n"/>
      <c r="Q11" s="682" t="n"/>
      <c r="R11" s="682" t="n"/>
      <c r="S11" s="682" t="n"/>
    </row>
    <row r="12" hidden="1" ht="15.75" customHeight="1" s="671">
      <c r="A12" s="76" t="inlineStr">
        <is>
          <t>CITIBANK  Account No.  2</t>
        </is>
      </c>
      <c r="B12" s="75" t="n"/>
      <c r="C12" s="447" t="n"/>
      <c r="D12" s="447" t="n"/>
      <c r="E12" s="681" t="n"/>
      <c r="F12" s="681" t="n"/>
      <c r="G12" s="681" t="n"/>
      <c r="H12" s="285" t="n"/>
      <c r="I12" s="285" t="n"/>
      <c r="J12" s="286" t="n"/>
      <c r="K12" s="659" t="inlineStr">
        <is>
          <t>1 month = 20 days</t>
        </is>
      </c>
    </row>
    <row r="13" hidden="1" ht="7.5" customHeight="1" s="671">
      <c r="A13" s="72" t="n"/>
      <c r="B13" s="448" t="n"/>
      <c r="C13" s="448" t="n"/>
      <c r="D13" s="449" t="n"/>
      <c r="E13" s="448" t="n"/>
      <c r="F13" s="448" t="n"/>
      <c r="G13" s="448" t="n"/>
      <c r="H13" s="299" t="n"/>
      <c r="I13" s="300" t="n"/>
      <c r="J13" s="299" t="n"/>
    </row>
    <row r="14" hidden="1" ht="15" customHeight="1" s="671">
      <c r="B14" s="640" t="inlineStr">
        <is>
          <t>DECUMULATOR</t>
        </is>
      </c>
      <c r="C14" s="631" t="inlineStr">
        <is>
          <t>CODE</t>
        </is>
      </c>
      <c r="D14" s="631" t="n"/>
      <c r="E14" s="624" t="inlineStr">
        <is>
          <t>SHARES / DAY</t>
        </is>
      </c>
      <c r="F14" s="625" t="n"/>
      <c r="G14" s="626" t="n"/>
      <c r="H14" s="633" t="inlineStr">
        <is>
          <t>SPOT PRICE</t>
        </is>
      </c>
      <c r="I14" s="633" t="inlineStr">
        <is>
          <t>STRIKE PRICE</t>
        </is>
      </c>
      <c r="J14" s="633" t="inlineStr">
        <is>
          <t>K/O PRICE</t>
        </is>
      </c>
      <c r="K14" s="653" t="inlineStr">
        <is>
          <t>LIFE TERM OF CONTRACT</t>
        </is>
      </c>
      <c r="L14" s="638" t="n"/>
      <c r="M14" s="639" t="n"/>
      <c r="N14" s="622" t="inlineStr">
        <is>
          <t>START DATE</t>
        </is>
      </c>
      <c r="O14" s="622" t="inlineStr">
        <is>
          <t>END DATE</t>
        </is>
      </c>
      <c r="P14" s="682" t="n"/>
      <c r="Q14" s="632" t="inlineStr">
        <is>
          <t>Estimated  Shares to sell</t>
        </is>
      </c>
      <c r="R14" s="683" t="inlineStr">
        <is>
          <t>Estimated Amount</t>
        </is>
      </c>
      <c r="S14" s="682" t="n"/>
      <c r="T14" s="683" t="inlineStr">
        <is>
          <t>Estimated Amount per month</t>
        </is>
      </c>
      <c r="Y14" s="173" t="inlineStr">
        <is>
          <t>july</t>
        </is>
      </c>
      <c r="Z14" s="173" t="inlineStr">
        <is>
          <t>aug</t>
        </is>
      </c>
    </row>
    <row r="15" hidden="1" ht="22.5" customHeight="1" s="671">
      <c r="B15" s="623" t="n"/>
      <c r="C15" s="623" t="n"/>
      <c r="D15" s="390" t="inlineStr">
        <is>
          <t>CB2</t>
        </is>
      </c>
      <c r="E15" s="627" t="n"/>
      <c r="F15" s="628" t="n"/>
      <c r="G15" s="629" t="n"/>
      <c r="H15" s="623" t="n"/>
      <c r="I15" s="623" t="n"/>
      <c r="J15" s="623" t="n"/>
      <c r="K15" s="637" t="inlineStr">
        <is>
          <t>RCVD mos.</t>
        </is>
      </c>
      <c r="L15" s="637" t="inlineStr">
        <is>
          <t>REM mos.</t>
        </is>
      </c>
      <c r="M15" s="637" t="inlineStr">
        <is>
          <t>Total mos.</t>
        </is>
      </c>
      <c r="N15" s="623" t="n"/>
      <c r="O15" s="623" t="n"/>
      <c r="P15" s="682" t="n"/>
      <c r="Q15" s="623" t="n"/>
      <c r="R15" s="623" t="n"/>
      <c r="S15" s="682" t="n"/>
      <c r="T15" s="623" t="n"/>
      <c r="Y15" s="173" t="inlineStr">
        <is>
          <t>hkd</t>
        </is>
      </c>
      <c r="Z15" s="173" t="inlineStr">
        <is>
          <t>hkd</t>
        </is>
      </c>
    </row>
    <row r="16" hidden="1" s="671">
      <c r="A16" s="186">
        <f>IF(B16&lt;&gt;"",INDIRECT(ADDRESS(ROW()-1,COLUMN()))+1,0)</f>
        <v/>
      </c>
      <c r="B16" s="450" t="n"/>
      <c r="C16" s="188" t="n"/>
      <c r="D16" s="189" t="n"/>
      <c r="E16" s="190" t="n"/>
      <c r="F16" s="191" t="n"/>
      <c r="G16" s="192" t="n"/>
      <c r="H16" s="301" t="n"/>
      <c r="I16" s="302" t="n"/>
      <c r="J16" s="301" t="n"/>
      <c r="K16" s="193" t="n"/>
      <c r="L16" s="187" t="n"/>
      <c r="M16" s="187" t="n"/>
      <c r="N16" s="303" t="n"/>
      <c r="O16" s="303" t="n"/>
      <c r="P16" s="743" t="n"/>
      <c r="Q16" s="194">
        <f>E16*L16*20*X16</f>
        <v/>
      </c>
      <c r="R16" s="744">
        <f>E16*I16*L16*20*X16</f>
        <v/>
      </c>
      <c r="S16" s="743" t="n"/>
      <c r="T16" s="744">
        <f>E16*I16*20*X16</f>
        <v/>
      </c>
      <c r="U16" s="0" t="n">
        <v>12.18</v>
      </c>
      <c r="V16" s="304" t="n">
        <v>0</v>
      </c>
      <c r="W16" s="304" t="n">
        <v>42</v>
      </c>
      <c r="X16" s="678" t="n">
        <v>1</v>
      </c>
      <c r="Y16" s="173">
        <f>X16*V16*E16*I16</f>
        <v/>
      </c>
      <c r="Z16" s="173">
        <f>X16*W16*E16*I16</f>
        <v/>
      </c>
      <c r="AB16" s="163">
        <f>MONTH(O16)</f>
        <v/>
      </c>
      <c r="AC16" s="654">
        <f>YEAR(O16)</f>
        <v/>
      </c>
      <c r="AD16" s="654">
        <f>AB16&amp;"-"&amp;AC16&amp;"-"&amp;C16</f>
        <v/>
      </c>
      <c r="AE16" s="654">
        <f>C16</f>
        <v/>
      </c>
      <c r="AF16" s="685">
        <f>MATCH(AE16,ALLM!$C$34:$C$43,)</f>
        <v/>
      </c>
      <c r="AH16" s="163">
        <f>IF(C16="2333",IF(X16=2,1,0),0)</f>
        <v/>
      </c>
      <c r="AI16" s="163">
        <f>IF(C16="2333",IF(X16=1,1,0),0)</f>
        <v/>
      </c>
    </row>
    <row r="17" hidden="1" s="671">
      <c r="A17" s="147" t="n"/>
    </row>
    <row r="18" hidden="1" s="671">
      <c r="L18" s="71" t="n"/>
      <c r="N18" s="453" t="n"/>
      <c r="O18" s="453" t="inlineStr">
        <is>
          <t>Total</t>
        </is>
      </c>
      <c r="P18" s="453" t="n"/>
      <c r="Q18" s="663">
        <f>SUM(Q15:Q17)</f>
        <v/>
      </c>
      <c r="R18" s="745">
        <f>SUM(R15:R17)</f>
        <v/>
      </c>
      <c r="S18" s="453" t="n"/>
      <c r="T18" s="745">
        <f>SUM(T15:T17)</f>
        <v/>
      </c>
    </row>
    <row r="19" hidden="1" s="671">
      <c r="A19" s="72" t="n"/>
      <c r="B19" s="448" t="n"/>
      <c r="C19" s="448" t="n"/>
      <c r="D19" s="449" t="n"/>
      <c r="E19" s="448" t="n"/>
      <c r="F19" s="448" t="n"/>
      <c r="G19" s="448" t="n"/>
      <c r="H19" s="299" t="n"/>
      <c r="I19" s="300" t="n"/>
      <c r="J19" s="299" t="n"/>
      <c r="K19" s="72" t="n"/>
      <c r="Q19" s="656" t="inlineStr">
        <is>
          <t>Shares</t>
        </is>
      </c>
      <c r="R19" s="656" t="inlineStr">
        <is>
          <t>HKD</t>
        </is>
      </c>
      <c r="S19" s="656" t="n"/>
      <c r="T19" s="656" t="inlineStr">
        <is>
          <t>HKD</t>
        </is>
      </c>
    </row>
    <row r="20" hidden="1" ht="18" customHeight="1" s="671">
      <c r="B20" s="444" t="n"/>
      <c r="C20" s="444" t="n"/>
      <c r="D20" s="659" t="n"/>
      <c r="E20" s="444" t="n"/>
      <c r="F20" s="444" t="n"/>
      <c r="G20" s="445" t="n"/>
      <c r="K20" s="78" t="n"/>
      <c r="L20" s="78" t="n"/>
    </row>
    <row r="21" hidden="1" s="671">
      <c r="A21" s="72" t="n"/>
      <c r="B21" s="448" t="n"/>
      <c r="C21" s="448" t="n"/>
      <c r="D21" s="449" t="n"/>
      <c r="E21" s="448" t="n"/>
      <c r="F21" s="448" t="n"/>
      <c r="G21" s="448" t="n"/>
      <c r="H21" s="299" t="n"/>
      <c r="I21" s="300" t="n"/>
      <c r="J21" s="299" t="n"/>
      <c r="K21" s="72" t="n"/>
      <c r="P21" s="682" t="n"/>
      <c r="Q21" s="682" t="n"/>
      <c r="R21" s="682" t="n"/>
      <c r="S21" s="682" t="n"/>
    </row>
    <row r="22" hidden="1" ht="15.75" customHeight="1" s="671">
      <c r="A22" s="76" t="inlineStr">
        <is>
          <t>CITIBANK Singapore - Account No.  1</t>
        </is>
      </c>
      <c r="B22" s="75" t="n"/>
      <c r="C22" s="447" t="n"/>
      <c r="D22" s="447" t="n"/>
      <c r="E22" s="681" t="n"/>
      <c r="F22" s="681" t="n"/>
      <c r="G22" s="681" t="n"/>
      <c r="H22" s="285" t="n"/>
      <c r="I22" s="285" t="n"/>
      <c r="J22" s="286" t="n"/>
      <c r="K22" s="659" t="n"/>
    </row>
    <row r="23" hidden="1" ht="7.5" customHeight="1" s="671">
      <c r="A23" s="72" t="n"/>
      <c r="B23" s="448" t="n"/>
      <c r="C23" s="448" t="n"/>
      <c r="D23" s="449" t="n"/>
      <c r="E23" s="448" t="n"/>
      <c r="F23" s="448" t="n"/>
      <c r="G23" s="448" t="n"/>
      <c r="H23" s="299" t="n"/>
      <c r="I23" s="300" t="n"/>
      <c r="J23" s="299" t="n"/>
    </row>
    <row r="24" hidden="1" ht="15" customHeight="1" s="671">
      <c r="B24" s="640" t="inlineStr">
        <is>
          <t>DECUMULATOR</t>
        </is>
      </c>
      <c r="C24" s="631" t="inlineStr">
        <is>
          <t>CODE</t>
        </is>
      </c>
      <c r="D24" s="631" t="n"/>
      <c r="E24" s="624" t="inlineStr">
        <is>
          <t>SHARES / DAY</t>
        </is>
      </c>
      <c r="F24" s="625" t="n"/>
      <c r="G24" s="626" t="n"/>
      <c r="H24" s="633" t="inlineStr">
        <is>
          <t>SPOT PRICE</t>
        </is>
      </c>
      <c r="I24" s="633" t="inlineStr">
        <is>
          <t>STRIKE PRICE</t>
        </is>
      </c>
      <c r="J24" s="633" t="inlineStr">
        <is>
          <t>K/O PRICE</t>
        </is>
      </c>
      <c r="K24" s="653" t="inlineStr">
        <is>
          <t>LIFE TERM OF CONTRACT</t>
        </is>
      </c>
      <c r="L24" s="638" t="n"/>
      <c r="M24" s="639" t="n"/>
      <c r="N24" s="622" t="inlineStr">
        <is>
          <t>START DATE</t>
        </is>
      </c>
      <c r="O24" s="622" t="inlineStr">
        <is>
          <t>END DATE</t>
        </is>
      </c>
      <c r="P24" s="682" t="n"/>
      <c r="Q24" s="632" t="inlineStr">
        <is>
          <t>Estimated  Shares to sell</t>
        </is>
      </c>
      <c r="R24" s="683" t="inlineStr">
        <is>
          <t>Estimated Amount</t>
        </is>
      </c>
      <c r="S24" s="682" t="n"/>
      <c r="T24" s="683" t="inlineStr">
        <is>
          <t>Estimated Amount per month</t>
        </is>
      </c>
      <c r="Y24" s="173" t="inlineStr">
        <is>
          <t>july</t>
        </is>
      </c>
      <c r="Z24" s="173" t="inlineStr">
        <is>
          <t>aug</t>
        </is>
      </c>
    </row>
    <row r="25" hidden="1" ht="22.5" customHeight="1" s="671">
      <c r="B25" s="623" t="n"/>
      <c r="C25" s="623" t="n"/>
      <c r="D25" s="390" t="inlineStr">
        <is>
          <t>CBSG</t>
        </is>
      </c>
      <c r="E25" s="627" t="n"/>
      <c r="F25" s="628" t="n"/>
      <c r="G25" s="629" t="n"/>
      <c r="H25" s="623" t="n"/>
      <c r="I25" s="623" t="n"/>
      <c r="J25" s="623" t="n"/>
      <c r="K25" s="637" t="inlineStr">
        <is>
          <t>RCVD mos.</t>
        </is>
      </c>
      <c r="L25" s="637" t="inlineStr">
        <is>
          <t>REM mos.</t>
        </is>
      </c>
      <c r="M25" s="637" t="inlineStr">
        <is>
          <t>Total mos.</t>
        </is>
      </c>
      <c r="N25" s="623" t="n"/>
      <c r="O25" s="623" t="n"/>
      <c r="P25" s="682" t="n"/>
      <c r="Q25" s="623" t="n"/>
      <c r="R25" s="623" t="n"/>
      <c r="S25" s="682" t="n"/>
      <c r="T25" s="623" t="n"/>
      <c r="Y25" s="173" t="inlineStr">
        <is>
          <t>hkd</t>
        </is>
      </c>
      <c r="Z25" s="173" t="inlineStr">
        <is>
          <t>hkd</t>
        </is>
      </c>
    </row>
    <row r="26" hidden="1" ht="15" customHeight="1" s="671">
      <c r="A26" s="186">
        <f>IF(B26&lt;&gt;"",INDIRECT(ADDRESS(ROW()-1,COLUMN()))+1,0)</f>
        <v/>
      </c>
      <c r="B26" s="450" t="n"/>
      <c r="C26" s="188" t="n"/>
      <c r="D26" s="189" t="n"/>
      <c r="E26" s="190" t="n"/>
      <c r="F26" s="191" t="n"/>
      <c r="G26" s="191" t="n"/>
      <c r="H26" s="301" t="n"/>
      <c r="I26" s="302" t="n"/>
      <c r="J26" s="301" t="n"/>
      <c r="K26" s="193" t="n"/>
      <c r="L26" s="187" t="n"/>
      <c r="M26" s="187" t="n"/>
      <c r="N26" s="303" t="n"/>
      <c r="O26" s="303" t="n"/>
      <c r="P26" s="743" t="n"/>
      <c r="Q26" s="194">
        <f>E26*L26*20*X26</f>
        <v/>
      </c>
      <c r="R26" s="744">
        <f>E26*I26*L26*20*X26</f>
        <v/>
      </c>
      <c r="S26" s="743" t="n"/>
      <c r="T26" s="744">
        <f>E26*I26*20*X26</f>
        <v/>
      </c>
      <c r="U26" s="0" t="n">
        <v>12.18</v>
      </c>
      <c r="V26" s="304" t="n">
        <v>0</v>
      </c>
      <c r="W26" s="304" t="n">
        <v>42</v>
      </c>
      <c r="X26" s="678" t="n">
        <v>1</v>
      </c>
      <c r="Y26" s="173">
        <f>X26*V26*E26*I26</f>
        <v/>
      </c>
      <c r="Z26" s="173">
        <f>X26*W26*E26*I26</f>
        <v/>
      </c>
      <c r="AB26" s="163">
        <f>MONTH(O26)</f>
        <v/>
      </c>
      <c r="AC26" s="654">
        <f>YEAR(O26)</f>
        <v/>
      </c>
      <c r="AD26" s="654">
        <f>AB26&amp;"-"&amp;AC26&amp;"-"&amp;C26</f>
        <v/>
      </c>
      <c r="AE26" s="654">
        <f>C26</f>
        <v/>
      </c>
      <c r="AF26" s="685">
        <f>MATCH(AE26,ALLM!$C$34:$C$43,)</f>
        <v/>
      </c>
      <c r="AH26" s="163">
        <f>IF(C26="2333",IF(X26=2,1,0),0)</f>
        <v/>
      </c>
      <c r="AI26" s="163">
        <f>IF(C26="2333",IF(X26=1,1,0),0)</f>
        <v/>
      </c>
    </row>
    <row r="27" hidden="1" s="671">
      <c r="A27" s="147" t="n"/>
    </row>
    <row r="28" hidden="1" s="671">
      <c r="L28" s="71" t="n"/>
      <c r="N28" s="453" t="n"/>
      <c r="O28" s="453" t="inlineStr">
        <is>
          <t>Total</t>
        </is>
      </c>
      <c r="P28" s="453" t="n"/>
      <c r="Q28" s="663">
        <f>SUM(Q25:Q27)</f>
        <v/>
      </c>
      <c r="R28" s="745">
        <f>SUM(R25:R27)</f>
        <v/>
      </c>
      <c r="S28" s="453" t="n"/>
      <c r="T28" s="745">
        <f>SUM(T25:T27)</f>
        <v/>
      </c>
    </row>
    <row r="29" hidden="1" s="671">
      <c r="A29" s="72" t="n"/>
      <c r="B29" s="448" t="n"/>
      <c r="C29" s="448" t="n"/>
      <c r="D29" s="449" t="n"/>
      <c r="E29" s="448" t="n"/>
      <c r="F29" s="448" t="n"/>
      <c r="G29" s="448" t="n"/>
      <c r="H29" s="299" t="n"/>
      <c r="I29" s="300" t="n"/>
      <c r="J29" s="299" t="n"/>
      <c r="K29" s="72" t="n"/>
      <c r="Q29" s="656" t="inlineStr">
        <is>
          <t>Shares</t>
        </is>
      </c>
      <c r="R29" s="656" t="inlineStr">
        <is>
          <t>HKD</t>
        </is>
      </c>
      <c r="S29" s="656" t="n"/>
      <c r="T29" s="656" t="inlineStr">
        <is>
          <t>HKD</t>
        </is>
      </c>
    </row>
    <row r="30" hidden="1" ht="18" customHeight="1" s="671">
      <c r="B30" s="444" t="n"/>
      <c r="C30" s="444" t="n"/>
      <c r="D30" s="659" t="n"/>
      <c r="E30" s="444" t="n"/>
      <c r="F30" s="444" t="n"/>
      <c r="G30" s="445" t="n"/>
      <c r="K30" s="78" t="n"/>
      <c r="L30" s="78" t="n"/>
    </row>
    <row r="31" hidden="1" ht="15.75" customHeight="1" s="671">
      <c r="A31" s="76" t="inlineStr">
        <is>
          <t>CITIBANK  Berry Hill</t>
        </is>
      </c>
      <c r="B31" s="75" t="n"/>
      <c r="C31" s="447" t="n"/>
      <c r="D31" s="447" t="n"/>
      <c r="E31" s="681" t="n"/>
      <c r="F31" s="681" t="n"/>
      <c r="G31" s="681" t="n"/>
      <c r="H31" s="285" t="n"/>
      <c r="I31" s="285" t="n"/>
      <c r="J31" s="286" t="n"/>
      <c r="K31" s="659" t="inlineStr">
        <is>
          <t>1 month = 20 days</t>
        </is>
      </c>
    </row>
    <row r="32" hidden="1" ht="12" customHeight="1" s="671">
      <c r="A32" s="72" t="n"/>
      <c r="B32" s="448" t="n"/>
      <c r="C32" s="448" t="n"/>
      <c r="D32" s="449" t="n"/>
      <c r="E32" s="448" t="n"/>
      <c r="F32" s="448" t="n"/>
      <c r="G32" s="448" t="n"/>
      <c r="H32" s="299" t="n"/>
      <c r="I32" s="300" t="n"/>
      <c r="J32" s="299" t="n"/>
    </row>
    <row r="33" hidden="1" ht="15" customHeight="1" s="671">
      <c r="B33" s="640" t="inlineStr">
        <is>
          <t>DECUMULATOR</t>
        </is>
      </c>
      <c r="C33" s="631" t="inlineStr">
        <is>
          <t>CODE</t>
        </is>
      </c>
      <c r="D33" s="631" t="n"/>
      <c r="E33" s="624" t="inlineStr">
        <is>
          <t>SHARES / DAY</t>
        </is>
      </c>
      <c r="F33" s="625" t="n"/>
      <c r="G33" s="626" t="n"/>
      <c r="H33" s="633" t="inlineStr">
        <is>
          <t>SPOT PRICE</t>
        </is>
      </c>
      <c r="I33" s="633" t="inlineStr">
        <is>
          <t>STRIKE PRICE</t>
        </is>
      </c>
      <c r="J33" s="633" t="inlineStr">
        <is>
          <t>K/O PRICE</t>
        </is>
      </c>
      <c r="K33" s="637" t="inlineStr">
        <is>
          <t>LIFE TERM OF CONTRACT</t>
        </is>
      </c>
      <c r="L33" s="638" t="n"/>
      <c r="M33" s="639" t="n"/>
      <c r="N33" s="622" t="inlineStr">
        <is>
          <t>START DATE</t>
        </is>
      </c>
      <c r="O33" s="622" t="inlineStr">
        <is>
          <t>END DATE</t>
        </is>
      </c>
      <c r="P33" s="682" t="n"/>
      <c r="Q33" s="632" t="inlineStr">
        <is>
          <t>Estimated  Shares to sell</t>
        </is>
      </c>
      <c r="R33" s="683" t="inlineStr">
        <is>
          <t>Estimated Amount</t>
        </is>
      </c>
      <c r="S33" s="682" t="n"/>
      <c r="T33" s="683" t="inlineStr">
        <is>
          <t>Estimated Amount per month</t>
        </is>
      </c>
      <c r="Y33" s="173" t="inlineStr">
        <is>
          <t>july</t>
        </is>
      </c>
      <c r="Z33" s="173" t="inlineStr">
        <is>
          <t>aug</t>
        </is>
      </c>
    </row>
    <row r="34" hidden="1" ht="22.5" customHeight="1" s="671">
      <c r="B34" s="623" t="n"/>
      <c r="C34" s="623" t="n"/>
      <c r="D34" s="390" t="inlineStr">
        <is>
          <t>CBBH</t>
        </is>
      </c>
      <c r="E34" s="627" t="n"/>
      <c r="F34" s="628" t="n"/>
      <c r="G34" s="629" t="n"/>
      <c r="H34" s="623" t="n"/>
      <c r="I34" s="623" t="n"/>
      <c r="J34" s="623" t="n"/>
      <c r="K34" s="637" t="inlineStr">
        <is>
          <t>RCVD mos.</t>
        </is>
      </c>
      <c r="L34" s="637" t="inlineStr">
        <is>
          <t>REM mos.</t>
        </is>
      </c>
      <c r="M34" s="637" t="inlineStr">
        <is>
          <t>Total mos.</t>
        </is>
      </c>
      <c r="N34" s="623" t="n"/>
      <c r="O34" s="623" t="n"/>
      <c r="P34" s="682" t="n"/>
      <c r="Q34" s="623" t="n"/>
      <c r="R34" s="623" t="n"/>
      <c r="S34" s="682" t="n"/>
      <c r="T34" s="623" t="n"/>
      <c r="Y34" s="173" t="inlineStr">
        <is>
          <t>hkd</t>
        </is>
      </c>
      <c r="Z34" s="173" t="inlineStr">
        <is>
          <t>hkd</t>
        </is>
      </c>
    </row>
    <row r="35" hidden="1" s="671">
      <c r="A35" s="185">
        <f>IF(B35&lt;&gt;"",INDIRECT(ADDRESS(ROW()-1,COLUMN()))+1,0)</f>
        <v/>
      </c>
      <c r="B35" s="455" t="n"/>
      <c r="C35" s="135" t="n"/>
      <c r="D35" s="136" t="n"/>
      <c r="E35" s="137" t="n"/>
      <c r="F35" s="138" t="n"/>
      <c r="G35" s="139" t="n"/>
      <c r="H35" s="305" t="inlineStr">
        <is>
          <t>5.0200</t>
        </is>
      </c>
      <c r="I35" s="306" t="inlineStr">
        <is>
          <t>6.2710</t>
        </is>
      </c>
      <c r="J35" s="305" t="inlineStr">
        <is>
          <t>4.7690</t>
        </is>
      </c>
      <c r="K35" s="140" t="n">
        <v>12</v>
      </c>
      <c r="L35" s="134">
        <f>M35-K35</f>
        <v/>
      </c>
      <c r="M35" s="134" t="n">
        <v>12</v>
      </c>
      <c r="N35" s="156" t="inlineStr">
        <is>
          <t>15-Apr-2020</t>
        </is>
      </c>
      <c r="O35" s="156" t="inlineStr">
        <is>
          <t>14-Apr-2021</t>
        </is>
      </c>
      <c r="P35" s="746" t="n"/>
      <c r="Q35" s="213">
        <f>E35*L35*X35</f>
        <v/>
      </c>
      <c r="R35" s="747">
        <f>E35*I35*L35*X35</f>
        <v/>
      </c>
      <c r="S35" s="748" t="n"/>
      <c r="T35" s="747">
        <f>E35*I35*20*X35</f>
        <v/>
      </c>
      <c r="U35" s="0" t="n">
        <v>25.7</v>
      </c>
      <c r="V35" s="304" t="n">
        <v>0</v>
      </c>
      <c r="W35" s="304" t="n">
        <v>0</v>
      </c>
      <c r="X35" s="678" t="n">
        <v>2</v>
      </c>
      <c r="Y35" s="173">
        <f>X35*V35*E35*I35</f>
        <v/>
      </c>
      <c r="Z35" s="173">
        <f>X35*W35*E35*I35</f>
        <v/>
      </c>
      <c r="AB35" s="163">
        <f>MONTH(O35)</f>
        <v/>
      </c>
      <c r="AC35" s="654">
        <f>YEAR(O35)</f>
        <v/>
      </c>
      <c r="AD35" s="654">
        <f>AB35&amp;"-"&amp;AC35&amp;"-"&amp;C35</f>
        <v/>
      </c>
      <c r="AE35" s="654">
        <f>C35</f>
        <v/>
      </c>
      <c r="AF35" s="685">
        <f>MATCH(AE35,ALLM!$C$34:$C$43,)</f>
        <v/>
      </c>
      <c r="AH35" s="163">
        <f>IF(C35="2333",IF(X35=2,1,0),0)</f>
        <v/>
      </c>
      <c r="AI35" s="163">
        <f>IF(C35="2333",IF(X35=1,1,0),0)</f>
        <v/>
      </c>
    </row>
    <row r="36" hidden="1" s="671">
      <c r="A36" s="147" t="n"/>
    </row>
    <row r="37" hidden="1" s="671">
      <c r="L37" s="71" t="n"/>
      <c r="N37" s="453" t="n"/>
      <c r="O37" s="453" t="inlineStr">
        <is>
          <t>Total</t>
        </is>
      </c>
      <c r="P37" s="453" t="n"/>
      <c r="Q37" s="663">
        <f>SUM(Q34:Q36)</f>
        <v/>
      </c>
      <c r="R37" s="745">
        <f>SUM(R34:R36)</f>
        <v/>
      </c>
      <c r="S37" s="453" t="n"/>
      <c r="T37" s="745">
        <f>SUM(T34:T36)</f>
        <v/>
      </c>
    </row>
    <row r="38" hidden="1" s="671">
      <c r="A38" s="72" t="n"/>
      <c r="B38" s="448" t="n"/>
      <c r="C38" s="448" t="n"/>
      <c r="D38" s="449" t="n"/>
      <c r="E38" s="448" t="n"/>
      <c r="F38" s="448" t="n"/>
      <c r="G38" s="448" t="n"/>
      <c r="H38" s="299" t="n"/>
      <c r="I38" s="300" t="n"/>
      <c r="J38" s="299" t="n"/>
      <c r="K38" s="72" t="n"/>
      <c r="Q38" s="656" t="inlineStr">
        <is>
          <t>Shares</t>
        </is>
      </c>
      <c r="R38" s="656" t="inlineStr">
        <is>
          <t>HKD</t>
        </is>
      </c>
      <c r="S38" s="656" t="n"/>
      <c r="T38" s="656" t="inlineStr">
        <is>
          <t>HKD</t>
        </is>
      </c>
    </row>
    <row r="39" hidden="1" s="671">
      <c r="A39" s="72" t="n"/>
      <c r="B39" s="448" t="n"/>
      <c r="C39" s="448" t="n"/>
      <c r="D39" s="449" t="n"/>
      <c r="E39" s="448" t="n"/>
      <c r="F39" s="448" t="n"/>
      <c r="G39" s="448" t="n"/>
      <c r="H39" s="299" t="n"/>
      <c r="I39" s="300" t="n"/>
      <c r="J39" s="299" t="n"/>
      <c r="K39" s="72" t="n"/>
      <c r="Q39" s="656" t="n"/>
      <c r="R39" s="656" t="n"/>
      <c r="S39" s="656" t="n"/>
      <c r="T39" s="656" t="n"/>
    </row>
    <row r="40" hidden="1" ht="18" customHeight="1" s="671">
      <c r="B40" s="444" t="n"/>
      <c r="C40" s="444" t="n"/>
      <c r="D40" s="659" t="n"/>
      <c r="E40" s="444" t="n"/>
      <c r="F40" s="444" t="n"/>
      <c r="G40" s="445" t="n"/>
      <c r="K40" s="78" t="n"/>
      <c r="L40" s="78" t="n"/>
    </row>
    <row r="41" hidden="1" s="671">
      <c r="A41" s="72" t="n"/>
      <c r="B41" s="448" t="n"/>
      <c r="C41" s="448" t="n"/>
      <c r="D41" s="449" t="n"/>
      <c r="E41" s="448" t="n"/>
      <c r="F41" s="448" t="n"/>
      <c r="G41" s="448" t="n"/>
      <c r="H41" s="299" t="n"/>
      <c r="I41" s="300" t="n"/>
      <c r="J41" s="299" t="n"/>
      <c r="K41" s="72" t="n"/>
      <c r="Q41" s="656" t="n"/>
      <c r="R41" s="656" t="n"/>
      <c r="S41" s="656" t="n"/>
      <c r="T41" s="656" t="n"/>
    </row>
    <row r="42" hidden="1" ht="18" customHeight="1" s="671">
      <c r="A42" s="72" t="n"/>
      <c r="B42" s="448" t="n"/>
      <c r="C42" s="448" t="n"/>
      <c r="D42" s="449" t="n"/>
      <c r="E42" s="448" t="n"/>
      <c r="F42" s="448" t="n"/>
      <c r="G42" s="448" t="n"/>
      <c r="H42" s="299" t="n"/>
      <c r="I42" s="300" t="n"/>
      <c r="J42" s="299" t="n"/>
      <c r="K42" s="72" t="n"/>
      <c r="M42" s="81" t="n"/>
      <c r="N42" s="459" t="n"/>
      <c r="O42" s="460" t="inlineStr">
        <is>
          <t>TOTAL CITIBANK</t>
        </is>
      </c>
      <c r="P42" s="459" t="n"/>
      <c r="Q42" s="459" t="n"/>
      <c r="R42" s="749">
        <f>SUM(R18,R37,R9,R28)</f>
        <v/>
      </c>
      <c r="S42" s="749" t="n"/>
      <c r="T42" s="749">
        <f>SUM(T9,T37,T18,T28)</f>
        <v/>
      </c>
    </row>
    <row r="43" hidden="1" ht="13.5" customHeight="1" s="671">
      <c r="A43" s="72" t="n"/>
      <c r="B43" s="448" t="n"/>
      <c r="C43" s="448" t="n"/>
      <c r="D43" s="449" t="n"/>
      <c r="E43" s="448" t="n"/>
      <c r="F43" s="448" t="n"/>
      <c r="G43" s="448" t="n"/>
      <c r="H43" s="299" t="n"/>
      <c r="I43" s="300" t="n"/>
      <c r="J43" s="299" t="n"/>
      <c r="K43" s="72" t="n"/>
      <c r="N43" s="462" t="n"/>
      <c r="O43" s="462" t="n"/>
      <c r="P43" s="462" t="n"/>
      <c r="Q43" s="462" t="n"/>
      <c r="R43" s="750" t="inlineStr">
        <is>
          <t>HKD</t>
        </is>
      </c>
      <c r="S43" s="750" t="n"/>
      <c r="T43" s="750" t="inlineStr">
        <is>
          <t>HKD</t>
        </is>
      </c>
    </row>
    <row r="44" hidden="1" ht="18.75" customHeight="1" s="671">
      <c r="A44" s="72" t="n"/>
      <c r="B44" s="448" t="n"/>
      <c r="C44" s="448" t="n"/>
      <c r="D44" s="449" t="n"/>
      <c r="E44" s="448" t="n"/>
      <c r="F44" s="448" t="n"/>
      <c r="G44" s="448" t="n"/>
      <c r="H44" s="299" t="n"/>
      <c r="I44" s="300" t="n"/>
      <c r="J44" s="299" t="n"/>
      <c r="K44" s="72" t="n"/>
      <c r="N44" s="462" t="n"/>
      <c r="O44" s="462" t="n"/>
      <c r="P44" s="462" t="n"/>
      <c r="Q44" s="462" t="n"/>
      <c r="R44" s="750" t="n"/>
      <c r="S44" s="750" t="n"/>
      <c r="T44" s="750" t="n"/>
    </row>
    <row r="45" ht="17.25" customHeight="1" s="671">
      <c r="A45" s="76" t="inlineStr">
        <is>
          <t>DEUTSCHE BANK (Personal)</t>
        </is>
      </c>
      <c r="K45" s="74" t="n"/>
      <c r="L45" s="74" t="n"/>
      <c r="M45" s="74" t="n"/>
      <c r="N45" s="445" t="n"/>
      <c r="O45" s="445" t="n"/>
      <c r="P45" s="445" t="n"/>
      <c r="Q45" s="445" t="n"/>
      <c r="R45" s="445" t="n"/>
      <c r="S45" s="682" t="n"/>
    </row>
    <row r="46" ht="11.25" customHeight="1" s="671">
      <c r="K46" s="74" t="n"/>
      <c r="L46" s="74" t="n"/>
      <c r="M46" s="74" t="n"/>
      <c r="N46" s="445" t="n"/>
      <c r="O46" s="445" t="n"/>
      <c r="P46" s="445" t="n"/>
      <c r="Q46" s="445" t="n"/>
      <c r="R46" s="445" t="n"/>
    </row>
    <row r="47" ht="15" customHeight="1" s="671">
      <c r="B47" s="640" t="inlineStr">
        <is>
          <t>DECUMULATOR</t>
        </is>
      </c>
      <c r="C47" s="631" t="inlineStr">
        <is>
          <t>CODE</t>
        </is>
      </c>
      <c r="D47" s="631" t="n"/>
      <c r="E47" s="624" t="inlineStr">
        <is>
          <t>SHARES / DAY</t>
        </is>
      </c>
      <c r="F47" s="625" t="n"/>
      <c r="G47" s="626" t="n"/>
      <c r="H47" s="633" t="inlineStr">
        <is>
          <t>SPOT PRICE</t>
        </is>
      </c>
      <c r="I47" s="633" t="inlineStr">
        <is>
          <t>STRIKE PRICE</t>
        </is>
      </c>
      <c r="J47" s="633" t="inlineStr">
        <is>
          <t>K/O PRICE</t>
        </is>
      </c>
      <c r="K47" s="653" t="inlineStr">
        <is>
          <t>LIFE TERM OF CONTRACT</t>
        </is>
      </c>
      <c r="L47" s="638" t="n"/>
      <c r="M47" s="639" t="n"/>
      <c r="N47" s="622" t="inlineStr">
        <is>
          <t>START DATE</t>
        </is>
      </c>
      <c r="O47" s="622" t="inlineStr">
        <is>
          <t>END DATE</t>
        </is>
      </c>
      <c r="P47" s="682" t="n"/>
      <c r="Q47" s="632" t="inlineStr">
        <is>
          <t>Estimated  Shares to sell</t>
        </is>
      </c>
      <c r="R47" s="683" t="inlineStr">
        <is>
          <t>Estimated Amount</t>
        </is>
      </c>
      <c r="S47" s="682" t="n"/>
      <c r="T47" s="683" t="inlineStr">
        <is>
          <t>Estimated Amount per month</t>
        </is>
      </c>
      <c r="Y47" s="173" t="inlineStr">
        <is>
          <t>july</t>
        </is>
      </c>
      <c r="Z47" s="173" t="inlineStr">
        <is>
          <t>aug</t>
        </is>
      </c>
    </row>
    <row r="48" ht="22.5" customHeight="1" s="671">
      <c r="B48" s="623" t="n"/>
      <c r="C48" s="623" t="n"/>
      <c r="D48" s="390" t="inlineStr">
        <is>
          <t>DBPe</t>
        </is>
      </c>
      <c r="E48" s="627" t="n"/>
      <c r="F48" s="628" t="n"/>
      <c r="G48" s="629" t="n"/>
      <c r="H48" s="623" t="n"/>
      <c r="I48" s="623" t="n"/>
      <c r="J48" s="623" t="n"/>
      <c r="K48" s="637" t="inlineStr">
        <is>
          <t>RCVD DAYS</t>
        </is>
      </c>
      <c r="L48" s="637" t="inlineStr">
        <is>
          <t>REM DAYS</t>
        </is>
      </c>
      <c r="M48" s="637" t="inlineStr">
        <is>
          <t>Total DAYS</t>
        </is>
      </c>
      <c r="N48" s="623" t="n"/>
      <c r="O48" s="623" t="n"/>
      <c r="P48" s="682" t="n"/>
      <c r="Q48" s="623" t="n"/>
      <c r="R48" s="623" t="n"/>
      <c r="S48" s="682" t="n"/>
      <c r="T48" s="623" t="n"/>
      <c r="Y48" s="173" t="inlineStr">
        <is>
          <t>hkd</t>
        </is>
      </c>
      <c r="Z48" s="173" t="inlineStr">
        <is>
          <t>hkd</t>
        </is>
      </c>
    </row>
    <row r="49" ht="13.5" customHeight="1" s="671">
      <c r="A49" s="695">
        <f>IF(B49&lt;&gt;"",INDIRECT(ADDRESS(ROW()-1,COLUMN()))+1,0)</f>
        <v/>
      </c>
      <c r="B49" s="751" t="inlineStr">
        <is>
          <t>HK Exchange</t>
        </is>
      </c>
      <c r="C49" s="752" t="inlineStr">
        <is>
          <t>0388</t>
        </is>
      </c>
      <c r="D49" s="753" t="inlineStr">
        <is>
          <t>HK Exchange - 11</t>
        </is>
      </c>
      <c r="E49" s="754" t="n">
        <v>53</v>
      </c>
      <c r="F49" s="755" t="inlineStr">
        <is>
          <t>/</t>
        </is>
      </c>
      <c r="G49" s="700" t="n">
        <v>106</v>
      </c>
      <c r="H49" s="756" t="inlineStr">
        <is>
          <t>377.0000</t>
        </is>
      </c>
      <c r="I49" s="756" t="inlineStr">
        <is>
          <t>428.4605</t>
        </is>
      </c>
      <c r="J49" s="756" t="inlineStr">
        <is>
          <t>358.1500</t>
        </is>
      </c>
      <c r="K49" s="757" t="n">
        <v>10</v>
      </c>
      <c r="L49" s="758">
        <f>M49-K49</f>
        <v/>
      </c>
      <c r="M49" s="758" t="n">
        <v>248</v>
      </c>
      <c r="N49" s="759" t="inlineStr">
        <is>
          <t>7-Jul-2026</t>
        </is>
      </c>
      <c r="O49" s="759" t="inlineStr">
        <is>
          <t>5-Jul-2027</t>
        </is>
      </c>
      <c r="P49" s="707" t="n"/>
      <c r="Q49" s="760">
        <f>E49*L49*X49</f>
        <v/>
      </c>
      <c r="R49" s="761">
        <f>E49*I49*L49*X49</f>
        <v/>
      </c>
      <c r="S49" s="762" t="n"/>
      <c r="T49" s="761">
        <f>E49*I49*20*X49</f>
        <v/>
      </c>
      <c r="U49" s="0" t="n">
        <v>3.08</v>
      </c>
      <c r="V49" s="280" t="n">
        <v>0</v>
      </c>
      <c r="W49" s="280" t="n">
        <v>20</v>
      </c>
      <c r="X49" s="678" t="n">
        <v>1</v>
      </c>
      <c r="Y49" s="173">
        <f>X49*V49*E49*I49</f>
        <v/>
      </c>
      <c r="Z49" s="173">
        <f>X49*W49*E49*I49</f>
        <v/>
      </c>
      <c r="AB49" s="163">
        <f>MONTH(O49)</f>
        <v/>
      </c>
      <c r="AC49" s="654">
        <f>YEAR(O49)</f>
        <v/>
      </c>
      <c r="AD49" s="654">
        <f>AB49&amp;"-"&amp;AC49&amp;"-"&amp;C49</f>
        <v/>
      </c>
      <c r="AE49" s="654">
        <f>C49</f>
        <v/>
      </c>
      <c r="AF49" s="685">
        <f>MATCH(AE49,ALLM!$C$34:$C$43,)</f>
        <v/>
      </c>
      <c r="AH49" s="163">
        <f>IF(C49="2333",IF(X49=2,1,0),0)</f>
        <v/>
      </c>
      <c r="AI49" s="163">
        <f>IF(C49="2333",IF(X49=1,1,0),0)</f>
        <v/>
      </c>
    </row>
    <row r="50" ht="13.5" customHeight="1" s="671">
      <c r="A50" s="695">
        <f>IF(B50&lt;&gt;"",INDIRECT(ADDRESS(ROW()-1,COLUMN()))+1,0)</f>
        <v/>
      </c>
      <c r="B50" s="751" t="inlineStr">
        <is>
          <t>Kuaishou Tech</t>
        </is>
      </c>
      <c r="C50" s="752" t="inlineStr">
        <is>
          <t>1024</t>
        </is>
      </c>
      <c r="D50" s="753" t="inlineStr">
        <is>
          <t>Kuaishou Tech - 12</t>
        </is>
      </c>
      <c r="E50" s="754" t="n">
        <v>140</v>
      </c>
      <c r="F50" s="755" t="inlineStr">
        <is>
          <t>/</t>
        </is>
      </c>
      <c r="G50" s="700" t="n">
        <v>280</v>
      </c>
      <c r="H50" s="756" t="inlineStr">
        <is>
          <t>41.8200</t>
        </is>
      </c>
      <c r="I50" s="756" t="inlineStr">
        <is>
          <t>61.0321</t>
        </is>
      </c>
      <c r="J50" s="756" t="inlineStr">
        <is>
          <t>39.7290</t>
        </is>
      </c>
      <c r="K50" s="757" t="n">
        <v>10</v>
      </c>
      <c r="L50" s="758">
        <f>M50-K50</f>
        <v/>
      </c>
      <c r="M50" s="758" t="n">
        <v>248</v>
      </c>
      <c r="N50" s="759" t="inlineStr">
        <is>
          <t>9-Jul-2026</t>
        </is>
      </c>
      <c r="O50" s="759" t="inlineStr">
        <is>
          <t>7-Jul-2027</t>
        </is>
      </c>
      <c r="P50" s="707" t="n"/>
      <c r="Q50" s="760">
        <f>E50*L50*X50</f>
        <v/>
      </c>
      <c r="R50" s="761">
        <f>E50*I50*L50*X50</f>
        <v/>
      </c>
      <c r="S50" s="762" t="n"/>
      <c r="T50" s="761">
        <f>E50*I50*20*X50</f>
        <v/>
      </c>
      <c r="U50" s="0" t="n">
        <v>3.08</v>
      </c>
      <c r="V50" s="280" t="n">
        <v>0</v>
      </c>
      <c r="W50" s="280" t="n">
        <v>20</v>
      </c>
      <c r="X50" s="678" t="n">
        <v>1</v>
      </c>
      <c r="Y50" s="173">
        <f>X50*V50*E50*I50</f>
        <v/>
      </c>
      <c r="Z50" s="173">
        <f>X50*W50*E50*I50</f>
        <v/>
      </c>
      <c r="AB50" s="163">
        <f>MONTH(O50)</f>
        <v/>
      </c>
      <c r="AC50" s="654">
        <f>YEAR(O50)</f>
        <v/>
      </c>
      <c r="AD50" s="654">
        <f>AB50&amp;"-"&amp;AC50&amp;"-"&amp;C50</f>
        <v/>
      </c>
      <c r="AE50" s="654">
        <f>C50</f>
        <v/>
      </c>
      <c r="AF50" s="685">
        <f>MATCH(AE50,ALLM!$C$34:$C$43,)</f>
        <v/>
      </c>
      <c r="AH50" s="163">
        <f>IF(C50="2333",IF(X50=2,1,0),0)</f>
        <v/>
      </c>
      <c r="AI50" s="163">
        <f>IF(C50="2333",IF(X50=1,1,0),0)</f>
        <v/>
      </c>
    </row>
    <row r="51" ht="13.5" customHeight="1" s="671">
      <c r="A51" s="695">
        <f>IF(B51&lt;&gt;"",INDIRECT(ADDRESS(ROW()-1,COLUMN()))+1,0)</f>
        <v/>
      </c>
      <c r="B51" s="751" t="inlineStr">
        <is>
          <t>Alibaba</t>
        </is>
      </c>
      <c r="C51" s="752" t="inlineStr">
        <is>
          <t>9988</t>
        </is>
      </c>
      <c r="D51" s="753" t="inlineStr">
        <is>
          <t>Alibaba - 13</t>
        </is>
      </c>
      <c r="E51" s="754" t="n">
        <v>150</v>
      </c>
      <c r="F51" s="755" t="inlineStr">
        <is>
          <t>/</t>
        </is>
      </c>
      <c r="G51" s="700" t="n">
        <v>300</v>
      </c>
      <c r="H51" s="756" t="inlineStr">
        <is>
          <t>111.2000</t>
        </is>
      </c>
      <c r="I51" s="756" t="inlineStr">
        <is>
          <t>150.9540</t>
        </is>
      </c>
      <c r="J51" s="756" t="inlineStr">
        <is>
          <t>105.6400</t>
        </is>
      </c>
      <c r="K51" s="757" t="n">
        <v>10</v>
      </c>
      <c r="L51" s="758">
        <f>M51-K51</f>
        <v/>
      </c>
      <c r="M51" s="758" t="n">
        <v>248</v>
      </c>
      <c r="N51" s="759" t="inlineStr">
        <is>
          <t>14-Jul-2026</t>
        </is>
      </c>
      <c r="O51" s="759" t="inlineStr">
        <is>
          <t>12-Jul-2027</t>
        </is>
      </c>
      <c r="P51" s="707" t="n"/>
      <c r="Q51" s="760">
        <f>E51*L51*X51</f>
        <v/>
      </c>
      <c r="R51" s="761">
        <f>E51*I51*L51*X51</f>
        <v/>
      </c>
      <c r="S51" s="762" t="n"/>
      <c r="T51" s="761">
        <f>E51*I51*20*X51</f>
        <v/>
      </c>
      <c r="U51" s="0" t="n">
        <v>3.08</v>
      </c>
      <c r="V51" s="280" t="n">
        <v>0</v>
      </c>
      <c r="W51" s="280" t="n">
        <v>20</v>
      </c>
      <c r="X51" s="678" t="n">
        <v>1</v>
      </c>
      <c r="Y51" s="173">
        <f>X51*V51*E51*I51</f>
        <v/>
      </c>
      <c r="Z51" s="173">
        <f>X51*W51*E51*I51</f>
        <v/>
      </c>
      <c r="AB51" s="163">
        <f>MONTH(O51)</f>
        <v/>
      </c>
      <c r="AC51" s="654">
        <f>YEAR(O51)</f>
        <v/>
      </c>
      <c r="AD51" s="654">
        <f>AB51&amp;"-"&amp;AC51&amp;"-"&amp;C51</f>
        <v/>
      </c>
      <c r="AE51" s="654">
        <f>C51</f>
        <v/>
      </c>
      <c r="AF51" s="685">
        <f>MATCH(AE51,ALLM!$C$34:$C$43,)</f>
        <v/>
      </c>
      <c r="AH51" s="163">
        <f>IF(C51="2333",IF(X51=2,1,0),0)</f>
        <v/>
      </c>
      <c r="AI51" s="163">
        <f>IF(C51="2333",IF(X51=1,1,0),0)</f>
        <v/>
      </c>
    </row>
    <row r="52"/>
    <row r="53">
      <c r="L53" s="71" t="n"/>
      <c r="N53" s="453" t="n"/>
      <c r="O53" s="453" t="inlineStr">
        <is>
          <t>Total</t>
        </is>
      </c>
      <c r="P53" s="453" t="n"/>
      <c r="Q53" s="663">
        <f>SUM(Q48:Q52)</f>
        <v/>
      </c>
      <c r="R53" s="745">
        <f>SUM(R48:R52)</f>
        <v/>
      </c>
      <c r="S53" s="453" t="n"/>
      <c r="T53" s="745">
        <f>SUM(T48:T52)</f>
        <v/>
      </c>
    </row>
    <row r="54">
      <c r="Q54" s="656" t="inlineStr">
        <is>
          <t>Shares</t>
        </is>
      </c>
      <c r="R54" s="656" t="inlineStr">
        <is>
          <t>HKD</t>
        </is>
      </c>
      <c r="S54" s="656" t="n"/>
      <c r="T54" s="656" t="inlineStr">
        <is>
          <t>HKD</t>
        </is>
      </c>
    </row>
    <row r="55" ht="5.25" customHeight="1" s="671">
      <c r="Q55" s="656" t="n"/>
      <c r="R55" s="656" t="n"/>
      <c r="S55" s="656" t="n"/>
      <c r="T55" s="656" t="n"/>
    </row>
    <row r="56">
      <c r="Q56" s="656" t="n"/>
      <c r="R56" s="656" t="n"/>
      <c r="S56" s="656" t="n"/>
      <c r="T56" s="656" t="n"/>
    </row>
    <row r="57" ht="15.75" customHeight="1" s="671">
      <c r="A57" s="76" t="inlineStr">
        <is>
          <t>NOMURA SINGAPORE</t>
        </is>
      </c>
      <c r="B57" s="75" t="n"/>
      <c r="C57" s="447" t="n"/>
      <c r="D57" s="447" t="n"/>
      <c r="E57" s="681" t="n"/>
      <c r="F57" s="681" t="n"/>
      <c r="G57" s="681" t="n"/>
      <c r="H57" s="285" t="n"/>
      <c r="I57" s="285" t="n"/>
      <c r="J57" s="286" t="n"/>
      <c r="K57" s="74" t="n"/>
      <c r="L57" s="74" t="n"/>
      <c r="M57" s="74" t="n"/>
      <c r="N57" s="445" t="n"/>
      <c r="O57" s="445" t="n"/>
      <c r="P57" s="445" t="n"/>
      <c r="Q57" s="445" t="n"/>
      <c r="R57" s="445" t="n"/>
    </row>
    <row r="58" ht="9.75" customHeight="1" s="671">
      <c r="A58" s="72" t="n"/>
      <c r="B58" s="448" t="n"/>
      <c r="C58" s="448" t="n"/>
      <c r="D58" s="449" t="n"/>
      <c r="E58" s="448" t="n"/>
      <c r="F58" s="448" t="n"/>
      <c r="G58" s="448" t="n"/>
      <c r="H58" s="299" t="n"/>
      <c r="I58" s="300" t="n"/>
      <c r="J58" s="299" t="n"/>
      <c r="K58" s="74" t="n"/>
      <c r="L58" s="74" t="n"/>
      <c r="M58" s="74" t="n"/>
      <c r="N58" s="445" t="n"/>
      <c r="O58" s="445" t="n"/>
      <c r="P58" s="445" t="n"/>
      <c r="Q58" s="445" t="n"/>
      <c r="R58" s="445" t="n"/>
    </row>
    <row r="59" ht="13.5" customHeight="1" s="671">
      <c r="B59" s="640" t="inlineStr">
        <is>
          <t>DECUMULATOR</t>
        </is>
      </c>
      <c r="C59" s="631" t="inlineStr">
        <is>
          <t>CODE</t>
        </is>
      </c>
      <c r="D59" s="631" t="n"/>
      <c r="E59" s="624" t="inlineStr">
        <is>
          <t>SHARES / DAY</t>
        </is>
      </c>
      <c r="F59" s="625" t="n"/>
      <c r="G59" s="626" t="n"/>
      <c r="H59" s="633" t="inlineStr">
        <is>
          <t>SPOT PRICE</t>
        </is>
      </c>
      <c r="I59" s="633" t="inlineStr">
        <is>
          <t>STRIKE PRICE</t>
        </is>
      </c>
      <c r="J59" s="633" t="inlineStr">
        <is>
          <t>K/O PRICE</t>
        </is>
      </c>
      <c r="K59" s="653" t="inlineStr">
        <is>
          <t>LIFE TERM OF CONTRACT</t>
        </is>
      </c>
      <c r="L59" s="638" t="n"/>
      <c r="M59" s="639" t="n"/>
      <c r="N59" s="622" t="inlineStr">
        <is>
          <t>START DATE</t>
        </is>
      </c>
      <c r="O59" s="622" t="inlineStr">
        <is>
          <t>END DATE</t>
        </is>
      </c>
      <c r="P59" s="682" t="n"/>
      <c r="Q59" s="632" t="inlineStr">
        <is>
          <t>Estimated  Shares to sell</t>
        </is>
      </c>
      <c r="R59" s="683" t="inlineStr">
        <is>
          <t>Estimated Amount</t>
        </is>
      </c>
      <c r="S59" s="682" t="n"/>
      <c r="T59" s="683" t="inlineStr">
        <is>
          <t>Estimated Amount per month</t>
        </is>
      </c>
      <c r="Y59" s="173" t="inlineStr">
        <is>
          <t>july</t>
        </is>
      </c>
      <c r="Z59" s="173" t="inlineStr">
        <is>
          <t>aug</t>
        </is>
      </c>
    </row>
    <row r="60" ht="22.5" customHeight="1" s="671">
      <c r="A60" s="77" t="n"/>
      <c r="B60" s="623" t="n"/>
      <c r="C60" s="623" t="n"/>
      <c r="D60" s="390" t="inlineStr">
        <is>
          <t>NSG</t>
        </is>
      </c>
      <c r="E60" s="627" t="n"/>
      <c r="F60" s="628" t="n"/>
      <c r="G60" s="629" t="n"/>
      <c r="H60" s="623" t="n"/>
      <c r="I60" s="623" t="n"/>
      <c r="J60" s="623" t="n"/>
      <c r="K60" s="637" t="inlineStr">
        <is>
          <t>RCVD DAYS</t>
        </is>
      </c>
      <c r="L60" s="637" t="inlineStr">
        <is>
          <t>REM DAYS</t>
        </is>
      </c>
      <c r="M60" s="637" t="inlineStr">
        <is>
          <t>Total DAYS</t>
        </is>
      </c>
      <c r="N60" s="623" t="n"/>
      <c r="O60" s="623" t="n"/>
      <c r="P60" s="682" t="n"/>
      <c r="Q60" s="623" t="n"/>
      <c r="R60" s="623" t="n"/>
      <c r="S60" s="682" t="n"/>
      <c r="T60" s="623" t="n"/>
      <c r="Y60" s="173" t="inlineStr">
        <is>
          <t>hkd</t>
        </is>
      </c>
      <c r="Z60" s="173" t="inlineStr">
        <is>
          <t>hkd</t>
        </is>
      </c>
    </row>
    <row r="61" ht="13.9" customHeight="1" s="671">
      <c r="A61" s="695">
        <f>IF(B61&lt;&gt;"",INDIRECT(ADDRESS(ROW()-1,COLUMN()))+1,0)</f>
        <v/>
      </c>
      <c r="B61" s="763" t="inlineStr">
        <is>
          <t>China Molybdenum</t>
        </is>
      </c>
      <c r="C61" s="764" t="inlineStr">
        <is>
          <t>3993</t>
        </is>
      </c>
      <c r="D61" s="765" t="inlineStr">
        <is>
          <t>China Molybdenum - 4</t>
        </is>
      </c>
      <c r="E61" s="766" t="n">
        <v>799</v>
      </c>
      <c r="F61" s="755" t="inlineStr">
        <is>
          <t>/</t>
        </is>
      </c>
      <c r="G61" s="767" t="n">
        <v>1598</v>
      </c>
      <c r="H61" s="768" t="inlineStr">
        <is>
          <t>15.3388</t>
        </is>
      </c>
      <c r="I61" s="769" t="inlineStr">
        <is>
          <t>21.2764</t>
        </is>
      </c>
      <c r="J61" s="768" t="inlineStr">
        <is>
          <t>14.5719</t>
        </is>
      </c>
      <c r="K61" s="757" t="n">
        <v>20</v>
      </c>
      <c r="L61" s="758">
        <f>M61-K61</f>
        <v/>
      </c>
      <c r="M61" s="758" t="n">
        <v>249</v>
      </c>
      <c r="N61" s="759" t="inlineStr">
        <is>
          <t>29-Jun-2026</t>
        </is>
      </c>
      <c r="O61" s="759" t="inlineStr">
        <is>
          <t>28-Jun-2027</t>
        </is>
      </c>
      <c r="P61" s="762" t="n"/>
      <c r="Q61" s="760">
        <f>E61*L61*X61</f>
        <v/>
      </c>
      <c r="R61" s="761">
        <f>E61*I61*L61*X61</f>
        <v/>
      </c>
      <c r="S61" s="762" t="n"/>
      <c r="T61" s="761">
        <f>E61*I61*20*X61</f>
        <v/>
      </c>
      <c r="U61" s="0" t="n">
        <v>25.7</v>
      </c>
      <c r="V61" s="304" t="n">
        <v>0</v>
      </c>
      <c r="W61" s="304" t="n">
        <v>22</v>
      </c>
      <c r="X61" s="678" t="n">
        <v>1</v>
      </c>
      <c r="Y61" s="173">
        <f>X61*V61*E61*I61</f>
        <v/>
      </c>
      <c r="Z61" s="173">
        <f>X61*W61*E61*I61</f>
        <v/>
      </c>
      <c r="AB61" s="163">
        <f>MONTH(O61)</f>
        <v/>
      </c>
      <c r="AC61" s="654">
        <f>YEAR(O61)</f>
        <v/>
      </c>
      <c r="AD61" s="654">
        <f>AB61&amp;"-"&amp;AC61&amp;"-"&amp;C61</f>
        <v/>
      </c>
      <c r="AE61" s="654">
        <f>C61</f>
        <v/>
      </c>
      <c r="AF61" s="685">
        <f>MATCH(AE61,ALLM!$C$34:$C$43,)</f>
        <v/>
      </c>
      <c r="AH61" s="163">
        <f>IF(C61="2333",IF(X61=2,1,0),0)</f>
        <v/>
      </c>
      <c r="AI61" s="163">
        <f>IF(C61="2333",IF(X61=1,1,0),0)</f>
        <v/>
      </c>
    </row>
    <row r="62" ht="13.9" customHeight="1" s="671">
      <c r="A62" s="695">
        <f>IF(B62&lt;&gt;"",INDIRECT(ADDRESS(ROW()-1,COLUMN()))+1,0)</f>
        <v/>
      </c>
      <c r="B62" s="763" t="inlineStr">
        <is>
          <t>HK Exchange</t>
        </is>
      </c>
      <c r="C62" s="764" t="inlineStr">
        <is>
          <t>0388</t>
        </is>
      </c>
      <c r="D62" s="765" t="inlineStr">
        <is>
          <t>HK Exchange - 4</t>
        </is>
      </c>
      <c r="E62" s="766" t="n">
        <v>74</v>
      </c>
      <c r="F62" s="755" t="inlineStr">
        <is>
          <t>/</t>
        </is>
      </c>
      <c r="G62" s="767" t="n">
        <v>148</v>
      </c>
      <c r="H62" s="768" t="inlineStr">
        <is>
          <t>373.9457</t>
        </is>
      </c>
      <c r="I62" s="769" t="inlineStr">
        <is>
          <t>428.8783</t>
        </is>
      </c>
      <c r="J62" s="768" t="inlineStr">
        <is>
          <t>355.2484</t>
        </is>
      </c>
      <c r="K62" s="757" t="n">
        <v>0</v>
      </c>
      <c r="L62" s="758">
        <f>M62-K62</f>
        <v/>
      </c>
      <c r="M62" s="758" t="n">
        <v>249</v>
      </c>
      <c r="N62" s="759" t="inlineStr">
        <is>
          <t>6-Jul-2026</t>
        </is>
      </c>
      <c r="O62" s="759" t="inlineStr">
        <is>
          <t>5-Jul-2027</t>
        </is>
      </c>
      <c r="P62" s="762" t="n"/>
      <c r="Q62" s="760">
        <f>E62*L62*X62</f>
        <v/>
      </c>
      <c r="R62" s="761">
        <f>E62*I62*L62*X62</f>
        <v/>
      </c>
      <c r="S62" s="762" t="n"/>
      <c r="T62" s="761">
        <f>E62*I62*20*X62</f>
        <v/>
      </c>
      <c r="U62" s="0" t="n">
        <v>25.7</v>
      </c>
      <c r="V62" s="304" t="n">
        <v>0</v>
      </c>
      <c r="W62" s="304" t="n">
        <v>21</v>
      </c>
      <c r="X62" s="678" t="n">
        <v>1</v>
      </c>
      <c r="Y62" s="173">
        <f>X62*V62*E62*I62</f>
        <v/>
      </c>
      <c r="Z62" s="173">
        <f>X62*W62*E62*I62</f>
        <v/>
      </c>
      <c r="AB62" s="163">
        <f>MONTH(O62)</f>
        <v/>
      </c>
      <c r="AC62" s="654">
        <f>YEAR(O62)</f>
        <v/>
      </c>
      <c r="AD62" s="654">
        <f>AB62&amp;"-"&amp;AC62&amp;"-"&amp;C62</f>
        <v/>
      </c>
      <c r="AE62" s="654">
        <f>C62</f>
        <v/>
      </c>
      <c r="AF62" s="685">
        <f>MATCH(AE62,ALLM!$C$34:$C$43,)</f>
        <v/>
      </c>
      <c r="AH62" s="163">
        <f>IF(C62="2333",IF(X62=2,1,0),0)</f>
        <v/>
      </c>
      <c r="AI62" s="163">
        <f>IF(C62="2333",IF(X62=1,1,0),0)</f>
        <v/>
      </c>
    </row>
    <row r="63" ht="13.9" customHeight="1" s="671">
      <c r="A63" s="695">
        <f>IF(B63&lt;&gt;"",INDIRECT(ADDRESS(ROW()-1,COLUMN()))+1,0)</f>
        <v/>
      </c>
      <c r="B63" s="763" t="inlineStr">
        <is>
          <t>Kuaishou Tech</t>
        </is>
      </c>
      <c r="C63" s="764" t="inlineStr">
        <is>
          <t>1024</t>
        </is>
      </c>
      <c r="D63" s="765" t="inlineStr">
        <is>
          <t>Kuaishou Tech - 9</t>
        </is>
      </c>
      <c r="E63" s="766" t="n">
        <v>260</v>
      </c>
      <c r="F63" s="755" t="inlineStr">
        <is>
          <t>/</t>
        </is>
      </c>
      <c r="G63" s="767" t="n">
        <v>520</v>
      </c>
      <c r="H63" s="768" t="inlineStr">
        <is>
          <t>43.2400</t>
        </is>
      </c>
      <c r="I63" s="769" t="inlineStr">
        <is>
          <t>63.6017</t>
        </is>
      </c>
      <c r="J63" s="768" t="inlineStr">
        <is>
          <t>41.0780</t>
        </is>
      </c>
      <c r="K63" s="757" t="n">
        <v>0</v>
      </c>
      <c r="L63" s="758">
        <f>M63-K63</f>
        <v/>
      </c>
      <c r="M63" s="758" t="n">
        <v>249</v>
      </c>
      <c r="N63" s="759" t="inlineStr">
        <is>
          <t>9-Jul-2026</t>
        </is>
      </c>
      <c r="O63" s="759" t="inlineStr">
        <is>
          <t>8-Jul-2027</t>
        </is>
      </c>
      <c r="P63" s="762" t="n"/>
      <c r="Q63" s="760">
        <f>E63*L63*X63</f>
        <v/>
      </c>
      <c r="R63" s="761">
        <f>E63*I63*L63*X63</f>
        <v/>
      </c>
      <c r="S63" s="762" t="n"/>
      <c r="T63" s="761">
        <f>E63*I63*20*X63</f>
        <v/>
      </c>
      <c r="U63" s="0" t="n">
        <v>25.7</v>
      </c>
      <c r="V63" s="304" t="n">
        <v>0</v>
      </c>
      <c r="W63" s="304" t="n">
        <v>23</v>
      </c>
      <c r="X63" s="678" t="n">
        <v>1</v>
      </c>
      <c r="Y63" s="173">
        <f>X63*V63*E63*I63</f>
        <v/>
      </c>
      <c r="Z63" s="173">
        <f>X63*W63*E63*I63</f>
        <v/>
      </c>
      <c r="AB63" s="163">
        <f>MONTH(O63)</f>
        <v/>
      </c>
      <c r="AC63" s="654">
        <f>YEAR(O63)</f>
        <v/>
      </c>
      <c r="AD63" s="654">
        <f>AB63&amp;"-"&amp;AC63&amp;"-"&amp;C63</f>
        <v/>
      </c>
      <c r="AE63" s="654">
        <f>C63</f>
        <v/>
      </c>
      <c r="AF63" s="685">
        <f>MATCH(AE63,ALLM!$C$34:$C$43,)</f>
        <v/>
      </c>
      <c r="AH63" s="163">
        <f>IF(C63="2333",IF(X63=2,1,0),0)</f>
        <v/>
      </c>
      <c r="AI63" s="163">
        <f>IF(C63="2333",IF(X63=1,1,0),0)</f>
        <v/>
      </c>
    </row>
    <row r="64" ht="13.9" customHeight="1" s="671">
      <c r="A64" s="695">
        <f>IF(B64&lt;&gt;"",INDIRECT(ADDRESS(ROW()-1,COLUMN()))+1,0)</f>
        <v/>
      </c>
      <c r="B64" s="763" t="inlineStr">
        <is>
          <t>China Molybdenum</t>
        </is>
      </c>
      <c r="C64" s="764" t="inlineStr">
        <is>
          <t>3993</t>
        </is>
      </c>
      <c r="D64" s="765" t="inlineStr">
        <is>
          <t>China Molybdenum - 5</t>
        </is>
      </c>
      <c r="E64" s="766" t="n">
        <v>410</v>
      </c>
      <c r="F64" s="755" t="inlineStr">
        <is>
          <t>/</t>
        </is>
      </c>
      <c r="G64" s="767" t="n">
        <v>820</v>
      </c>
      <c r="H64" s="768" t="inlineStr">
        <is>
          <t>15.1200</t>
        </is>
      </c>
      <c r="I64" s="769" t="inlineStr">
        <is>
          <t>22.3610</t>
        </is>
      </c>
      <c r="J64" s="768" t="inlineStr">
        <is>
          <t>14.3640</t>
        </is>
      </c>
      <c r="K64" s="757" t="n">
        <v>0</v>
      </c>
      <c r="L64" s="758">
        <f>M64-K64</f>
        <v/>
      </c>
      <c r="M64" s="758" t="n">
        <v>249</v>
      </c>
      <c r="N64" s="759" t="inlineStr">
        <is>
          <t>9-Jul-2026</t>
        </is>
      </c>
      <c r="O64" s="759" t="inlineStr">
        <is>
          <t>8-Jul-2027</t>
        </is>
      </c>
      <c r="P64" s="762" t="n"/>
      <c r="Q64" s="760">
        <f>E64*L64*X64</f>
        <v/>
      </c>
      <c r="R64" s="761">
        <f>E64*I64*L64*X64</f>
        <v/>
      </c>
      <c r="S64" s="762" t="n"/>
      <c r="T64" s="761">
        <f>E64*I64*20*X64</f>
        <v/>
      </c>
      <c r="U64" s="0" t="n">
        <v>25.7</v>
      </c>
      <c r="V64" s="304" t="n">
        <v>0</v>
      </c>
      <c r="W64" s="304" t="n">
        <v>23</v>
      </c>
      <c r="X64" s="678" t="n">
        <v>1</v>
      </c>
      <c r="Y64" s="173">
        <f>X64*V64*E64*I64</f>
        <v/>
      </c>
      <c r="Z64" s="173">
        <f>X64*W64*E64*I64</f>
        <v/>
      </c>
      <c r="AB64" s="163">
        <f>MONTH(O64)</f>
        <v/>
      </c>
      <c r="AC64" s="654">
        <f>YEAR(O64)</f>
        <v/>
      </c>
      <c r="AD64" s="654">
        <f>AB64&amp;"-"&amp;AC64&amp;"-"&amp;C64</f>
        <v/>
      </c>
      <c r="AE64" s="654">
        <f>C64</f>
        <v/>
      </c>
      <c r="AF64" s="685">
        <f>MATCH(AE64,ALLM!$C$34:$C$43,)</f>
        <v/>
      </c>
      <c r="AH64" s="163">
        <f>IF(C64="2333",IF(X64=2,1,0),0)</f>
        <v/>
      </c>
      <c r="AI64" s="163">
        <f>IF(C64="2333",IF(X64=1,1,0),0)</f>
        <v/>
      </c>
    </row>
    <row r="65" ht="13.9" customHeight="1" s="671">
      <c r="A65" s="695">
        <f>IF(B65&lt;&gt;"",INDIRECT(ADDRESS(ROW()-1,COLUMN()))+1,0)</f>
        <v/>
      </c>
      <c r="B65" s="763" t="inlineStr">
        <is>
          <t>Alibaba</t>
        </is>
      </c>
      <c r="C65" s="764" t="inlineStr">
        <is>
          <t>9988</t>
        </is>
      </c>
      <c r="D65" s="765" t="inlineStr">
        <is>
          <t>Alibaba - 4</t>
        </is>
      </c>
      <c r="E65" s="766" t="n">
        <v>150</v>
      </c>
      <c r="F65" s="755" t="inlineStr">
        <is>
          <t>/</t>
        </is>
      </c>
      <c r="G65" s="767" t="n">
        <v>300</v>
      </c>
      <c r="H65" s="768" t="inlineStr">
        <is>
          <t>111.2000</t>
        </is>
      </c>
      <c r="I65" s="769" t="inlineStr">
        <is>
          <t>151.7880</t>
        </is>
      </c>
      <c r="J65" s="768" t="inlineStr">
        <is>
          <t>105.6400</t>
        </is>
      </c>
      <c r="K65" s="757" t="n">
        <v>0</v>
      </c>
      <c r="L65" s="758">
        <f>M65-K65</f>
        <v/>
      </c>
      <c r="M65" s="758" t="n">
        <v>249</v>
      </c>
      <c r="N65" s="759" t="inlineStr">
        <is>
          <t>14-Jul-2026</t>
        </is>
      </c>
      <c r="O65" s="759" t="inlineStr">
        <is>
          <t>13-Jul-2027</t>
        </is>
      </c>
      <c r="P65" s="762" t="n"/>
      <c r="Q65" s="760">
        <f>E65*L65*X65</f>
        <v/>
      </c>
      <c r="R65" s="761">
        <f>E65*I65*L65*X65</f>
        <v/>
      </c>
      <c r="S65" s="762" t="n"/>
      <c r="T65" s="761">
        <f>E65*I65*20*X65</f>
        <v/>
      </c>
      <c r="U65" s="0" t="n">
        <v>25.7</v>
      </c>
      <c r="V65" s="304" t="n">
        <v>0</v>
      </c>
      <c r="W65" s="304" t="n">
        <v>23</v>
      </c>
      <c r="X65" s="678" t="n">
        <v>1</v>
      </c>
      <c r="Y65" s="173">
        <f>X65*V65*E65*I65</f>
        <v/>
      </c>
      <c r="Z65" s="173">
        <f>X65*W65*E65*I65</f>
        <v/>
      </c>
      <c r="AB65" s="163">
        <f>MONTH(O65)</f>
        <v/>
      </c>
      <c r="AC65" s="654">
        <f>YEAR(O65)</f>
        <v/>
      </c>
      <c r="AD65" s="654">
        <f>AB65&amp;"-"&amp;AC65&amp;"-"&amp;C65</f>
        <v/>
      </c>
      <c r="AE65" s="654">
        <f>C65</f>
        <v/>
      </c>
      <c r="AF65" s="685">
        <f>MATCH(AE65,ALLM!$C$34:$C$43,)</f>
        <v/>
      </c>
      <c r="AH65" s="163">
        <f>IF(C65="2333",IF(X65=2,1,0),0)</f>
        <v/>
      </c>
      <c r="AI65" s="163">
        <f>IF(C65="2333",IF(X65=1,1,0),0)</f>
        <v/>
      </c>
    </row>
    <row r="66" ht="12" customHeight="1" s="671"/>
    <row r="67">
      <c r="L67" s="71" t="n"/>
      <c r="N67" s="453" t="n"/>
      <c r="O67" s="453" t="inlineStr">
        <is>
          <t>Total</t>
        </is>
      </c>
      <c r="P67" s="453" t="n"/>
      <c r="Q67" s="663">
        <f>SUM(Q60:Q66)</f>
        <v/>
      </c>
      <c r="R67" s="745">
        <f>SUM(R60:R66)</f>
        <v/>
      </c>
      <c r="S67" s="453" t="n"/>
      <c r="T67" s="745">
        <f>SUM(T60:T66)</f>
        <v/>
      </c>
    </row>
    <row r="68">
      <c r="A68" s="72" t="n"/>
      <c r="B68" s="448" t="n"/>
      <c r="C68" s="448" t="n"/>
      <c r="D68" s="449" t="n"/>
      <c r="E68" s="448" t="n"/>
      <c r="F68" s="448" t="n"/>
      <c r="G68" s="448" t="n"/>
      <c r="H68" s="299" t="n"/>
      <c r="I68" s="300" t="n"/>
      <c r="J68" s="299" t="n"/>
      <c r="K68" s="72" t="n"/>
      <c r="Q68" s="656" t="inlineStr">
        <is>
          <t>Shares</t>
        </is>
      </c>
      <c r="R68" s="656" t="inlineStr">
        <is>
          <t>HKD</t>
        </is>
      </c>
      <c r="S68" s="656" t="n"/>
      <c r="T68" s="656" t="inlineStr">
        <is>
          <t>HKD</t>
        </is>
      </c>
    </row>
    <row r="69">
      <c r="A69" s="72" t="n"/>
      <c r="B69" s="448" t="n"/>
      <c r="C69" s="448" t="n"/>
      <c r="D69" s="449" t="n"/>
      <c r="E69" s="448" t="n"/>
      <c r="F69" s="448" t="n"/>
      <c r="G69" s="448" t="n"/>
      <c r="H69" s="299" t="n"/>
      <c r="I69" s="300" t="n"/>
      <c r="J69" s="299" t="n"/>
      <c r="K69" s="72" t="n"/>
      <c r="P69" s="682" t="n"/>
      <c r="Q69" s="682" t="n"/>
      <c r="R69" s="682" t="n"/>
      <c r="S69" s="682" t="n"/>
    </row>
    <row r="70" ht="13.5" customHeight="1" s="671">
      <c r="A70" s="80" t="inlineStr">
        <is>
          <t>SUN HUNG KAI Account No. 1</t>
        </is>
      </c>
      <c r="B70" s="569" t="n"/>
      <c r="C70" s="466" t="n"/>
      <c r="D70" s="466" t="n"/>
      <c r="E70" s="713" t="n"/>
      <c r="F70" s="713" t="n"/>
      <c r="G70" s="713" t="n"/>
      <c r="H70" s="312" t="n"/>
      <c r="I70" s="313" t="n"/>
      <c r="J70" s="314" t="n"/>
      <c r="K70" s="74" t="n"/>
      <c r="L70" s="79" t="n"/>
    </row>
    <row r="71" ht="15" customHeight="1" s="671">
      <c r="B71" s="640" t="inlineStr">
        <is>
          <t>DECUMULATOR</t>
        </is>
      </c>
      <c r="C71" s="631" t="inlineStr">
        <is>
          <t>CODE</t>
        </is>
      </c>
      <c r="D71" s="631" t="n"/>
      <c r="E71" s="624" t="inlineStr">
        <is>
          <t>SHARES / DAY</t>
        </is>
      </c>
      <c r="F71" s="625" t="n"/>
      <c r="G71" s="626" t="n"/>
      <c r="H71" s="633" t="inlineStr">
        <is>
          <t>SPOT PRICE</t>
        </is>
      </c>
      <c r="I71" s="633" t="inlineStr">
        <is>
          <t>STRIKE PRICE</t>
        </is>
      </c>
      <c r="J71" s="633" t="inlineStr">
        <is>
          <t>K/O PRICE</t>
        </is>
      </c>
      <c r="K71" s="653" t="inlineStr">
        <is>
          <t>LIFE TERM OF CONTRACT</t>
        </is>
      </c>
      <c r="L71" s="638" t="n"/>
      <c r="M71" s="639" t="n"/>
      <c r="N71" s="622" t="inlineStr">
        <is>
          <t>START DATE</t>
        </is>
      </c>
      <c r="O71" s="622" t="inlineStr">
        <is>
          <t>END DATE</t>
        </is>
      </c>
      <c r="P71" s="682" t="n"/>
      <c r="Q71" s="632" t="inlineStr">
        <is>
          <t>Estimated  Shares to sell</t>
        </is>
      </c>
      <c r="R71" s="683" t="inlineStr">
        <is>
          <t>Estimated Amount</t>
        </is>
      </c>
      <c r="S71" s="682" t="n"/>
      <c r="T71" s="683" t="inlineStr">
        <is>
          <t>Estimated Amount per month</t>
        </is>
      </c>
      <c r="Y71" s="173" t="inlineStr">
        <is>
          <t>july</t>
        </is>
      </c>
      <c r="Z71" s="173" t="inlineStr">
        <is>
          <t>aug</t>
        </is>
      </c>
    </row>
    <row r="72" ht="22.5" customHeight="1" s="671">
      <c r="A72" s="77" t="n"/>
      <c r="B72" s="623" t="n"/>
      <c r="C72" s="623" t="n"/>
      <c r="D72" s="390" t="inlineStr">
        <is>
          <t>SHK</t>
        </is>
      </c>
      <c r="E72" s="627" t="n"/>
      <c r="F72" s="628" t="n"/>
      <c r="G72" s="629" t="n"/>
      <c r="H72" s="623" t="n"/>
      <c r="I72" s="623" t="n"/>
      <c r="J72" s="623" t="n"/>
      <c r="K72" s="637" t="inlineStr">
        <is>
          <t>RCVD DAYS</t>
        </is>
      </c>
      <c r="L72" s="637" t="inlineStr">
        <is>
          <t>REM DAYS</t>
        </is>
      </c>
      <c r="M72" s="637" t="inlineStr">
        <is>
          <t>Total DAYS</t>
        </is>
      </c>
      <c r="N72" s="623" t="n"/>
      <c r="O72" s="623" t="n"/>
      <c r="P72" s="682" t="n"/>
      <c r="Q72" s="623" t="n"/>
      <c r="R72" s="623" t="n"/>
      <c r="S72" s="682" t="n"/>
      <c r="T72" s="623" t="n"/>
      <c r="Y72" s="173" t="inlineStr">
        <is>
          <t>hkd</t>
        </is>
      </c>
      <c r="Z72" s="173" t="inlineStr">
        <is>
          <t>hkd</t>
        </is>
      </c>
    </row>
    <row r="73">
      <c r="A73" s="695">
        <f>IF(B73&lt;&gt;"",INDIRECT(ADDRESS(ROW()-1,COLUMN()))+1,0)</f>
        <v/>
      </c>
      <c r="B73" s="751" t="inlineStr">
        <is>
          <t>HK Exchange</t>
        </is>
      </c>
      <c r="C73" s="752" t="inlineStr">
        <is>
          <t>0388</t>
        </is>
      </c>
      <c r="D73" s="753" t="inlineStr">
        <is>
          <t>HK Exchange - 38</t>
        </is>
      </c>
      <c r="E73" s="721" t="n">
        <v>200</v>
      </c>
      <c r="F73" s="755" t="inlineStr">
        <is>
          <t>/</t>
        </is>
      </c>
      <c r="G73" s="700" t="n">
        <v>400</v>
      </c>
      <c r="H73" s="756" t="inlineStr">
        <is>
          <t>381.4000</t>
        </is>
      </c>
      <c r="I73" s="756" t="inlineStr">
        <is>
          <t>441.0891</t>
        </is>
      </c>
      <c r="J73" s="756" t="inlineStr">
        <is>
          <t>354.7020</t>
        </is>
      </c>
      <c r="K73" s="757" t="n">
        <v>81</v>
      </c>
      <c r="L73" s="758">
        <f>M73-K73</f>
        <v/>
      </c>
      <c r="M73" s="758" t="n">
        <v>246</v>
      </c>
      <c r="N73" s="759" t="inlineStr">
        <is>
          <t>31-Mar-2026</t>
        </is>
      </c>
      <c r="O73" s="759" t="inlineStr">
        <is>
          <t>30-Mar-2027</t>
        </is>
      </c>
      <c r="P73" s="707" t="n"/>
      <c r="Q73" s="760">
        <f>E73*L73*X73</f>
        <v/>
      </c>
      <c r="R73" s="761">
        <f>E73*I73*L73*X73</f>
        <v/>
      </c>
      <c r="S73" s="762" t="n"/>
      <c r="T73" s="761">
        <f>E73*I73*20*X73</f>
        <v/>
      </c>
      <c r="U73" s="0" t="n">
        <v>25.7</v>
      </c>
      <c r="V73" s="280" t="n">
        <v>0</v>
      </c>
      <c r="W73" s="280" t="n">
        <v>0</v>
      </c>
      <c r="X73" s="678" t="n">
        <v>1</v>
      </c>
      <c r="Y73" s="173">
        <f>X73*V73*E73*I73</f>
        <v/>
      </c>
      <c r="Z73" s="173">
        <f>X73*W73*E73*I73</f>
        <v/>
      </c>
      <c r="AB73" s="163">
        <f>MONTH(O73)</f>
        <v/>
      </c>
      <c r="AC73" s="654">
        <f>YEAR(O73)</f>
        <v/>
      </c>
      <c r="AD73" s="654">
        <f>AB73&amp;"-"&amp;AC73&amp;"-"&amp;C73</f>
        <v/>
      </c>
      <c r="AE73" s="654">
        <f>C73</f>
        <v/>
      </c>
      <c r="AF73" s="685">
        <f>MATCH(AE73,ALLM!$C$34:$C$43,)</f>
        <v/>
      </c>
      <c r="AH73" s="163">
        <f>IF(C73="2333",IF(X73=2,1,0),0)</f>
        <v/>
      </c>
      <c r="AI73" s="163">
        <f>IF(C73="2333",IF(X73=1,1,0),0)</f>
        <v/>
      </c>
    </row>
    <row r="74">
      <c r="A74" s="695">
        <f>IF(B74&lt;&gt;"",INDIRECT(ADDRESS(ROW()-1,COLUMN()))+1,0)</f>
        <v/>
      </c>
      <c r="B74" s="751" t="inlineStr">
        <is>
          <t>Geely Motor</t>
        </is>
      </c>
      <c r="C74" s="752" t="inlineStr">
        <is>
          <t>0175</t>
        </is>
      </c>
      <c r="D74" s="753" t="inlineStr">
        <is>
          <t>Geely Motor - 13</t>
        </is>
      </c>
      <c r="E74" s="721" t="n">
        <v>750</v>
      </c>
      <c r="F74" s="755" t="inlineStr">
        <is>
          <t>/</t>
        </is>
      </c>
      <c r="G74" s="700" t="n">
        <v>1500</v>
      </c>
      <c r="H74" s="756" t="inlineStr">
        <is>
          <t>17.6900</t>
        </is>
      </c>
      <c r="I74" s="756" t="inlineStr">
        <is>
          <t>22.7564</t>
        </is>
      </c>
      <c r="J74" s="756" t="inlineStr">
        <is>
          <t>16.8055</t>
        </is>
      </c>
      <c r="K74" s="757" t="n">
        <v>21</v>
      </c>
      <c r="L74" s="758">
        <f>M74-K74</f>
        <v/>
      </c>
      <c r="M74" s="758" t="n">
        <v>249</v>
      </c>
      <c r="N74" s="759" t="inlineStr">
        <is>
          <t>24-Jun-2026</t>
        </is>
      </c>
      <c r="O74" s="759" t="inlineStr">
        <is>
          <t>23-Jun-2027</t>
        </is>
      </c>
      <c r="P74" s="707" t="n"/>
      <c r="Q74" s="760">
        <f>E74*L74*X74</f>
        <v/>
      </c>
      <c r="R74" s="761">
        <f>E74*I74*L74*X74</f>
        <v/>
      </c>
      <c r="S74" s="762" t="n"/>
      <c r="T74" s="761">
        <f>E74*I74*20*X74</f>
        <v/>
      </c>
      <c r="U74" s="0" t="n">
        <v>25.7</v>
      </c>
      <c r="V74" s="280" t="n">
        <v>0</v>
      </c>
      <c r="W74" s="280" t="n">
        <v>22</v>
      </c>
      <c r="X74" s="678" t="n">
        <v>1</v>
      </c>
      <c r="Y74" s="173">
        <f>X74*V74*E74*I74</f>
        <v/>
      </c>
      <c r="Z74" s="173">
        <f>X74*W74*E74*I74</f>
        <v/>
      </c>
      <c r="AB74" s="163">
        <f>MONTH(O74)</f>
        <v/>
      </c>
      <c r="AC74" s="654">
        <f>YEAR(O74)</f>
        <v/>
      </c>
      <c r="AD74" s="654">
        <f>AB74&amp;"-"&amp;AC74&amp;"-"&amp;C74</f>
        <v/>
      </c>
      <c r="AE74" s="654">
        <f>C74</f>
        <v/>
      </c>
      <c r="AF74" s="685">
        <f>MATCH(AE74,ALLM!$C$34:$C$43,)</f>
        <v/>
      </c>
      <c r="AH74" s="163">
        <f>IF(C74="2333",IF(X74=2,1,0),0)</f>
        <v/>
      </c>
      <c r="AI74" s="163">
        <f>IF(C74="2333",IF(X74=1,1,0),0)</f>
        <v/>
      </c>
    </row>
    <row r="75">
      <c r="A75" s="695">
        <f>IF(B75&lt;&gt;"",INDIRECT(ADDRESS(ROW()-1,COLUMN()))+1,0)</f>
        <v/>
      </c>
      <c r="B75" s="751" t="inlineStr">
        <is>
          <t>Geely Motor</t>
        </is>
      </c>
      <c r="C75" s="752" t="inlineStr">
        <is>
          <t>0175</t>
        </is>
      </c>
      <c r="D75" s="753" t="inlineStr">
        <is>
          <t>Geely Motor - 14</t>
        </is>
      </c>
      <c r="E75" s="721" t="n">
        <v>770</v>
      </c>
      <c r="F75" s="755" t="inlineStr">
        <is>
          <t>/</t>
        </is>
      </c>
      <c r="G75" s="700" t="n">
        <v>1540</v>
      </c>
      <c r="H75" s="756" t="inlineStr">
        <is>
          <t>17.0600</t>
        </is>
      </c>
      <c r="I75" s="756" t="inlineStr">
        <is>
          <t>21.8368</t>
        </is>
      </c>
      <c r="J75" s="756" t="inlineStr">
        <is>
          <t>15.8658</t>
        </is>
      </c>
      <c r="K75" s="757" t="n">
        <v>21</v>
      </c>
      <c r="L75" s="758">
        <f>M75-K75</f>
        <v/>
      </c>
      <c r="M75" s="758" t="n">
        <v>249</v>
      </c>
      <c r="N75" s="759" t="inlineStr">
        <is>
          <t>30-Jun-2026</t>
        </is>
      </c>
      <c r="O75" s="759" t="inlineStr">
        <is>
          <t>29-Jun-2027</t>
        </is>
      </c>
      <c r="P75" s="707" t="n"/>
      <c r="Q75" s="760">
        <f>E75*L75*X75</f>
        <v/>
      </c>
      <c r="R75" s="761">
        <f>E75*I75*L75*X75</f>
        <v/>
      </c>
      <c r="S75" s="762" t="n"/>
      <c r="T75" s="761">
        <f>E75*I75*20*X75</f>
        <v/>
      </c>
      <c r="U75" s="0" t="n">
        <v>25.7</v>
      </c>
      <c r="V75" s="280" t="n">
        <v>0</v>
      </c>
      <c r="W75" s="280" t="n">
        <v>0</v>
      </c>
      <c r="X75" s="678" t="n">
        <v>1</v>
      </c>
      <c r="Y75" s="173">
        <f>X75*V75*E75*I75</f>
        <v/>
      </c>
      <c r="Z75" s="173">
        <f>X75*W75*E75*I75</f>
        <v/>
      </c>
      <c r="AB75" s="163">
        <f>MONTH(O75)</f>
        <v/>
      </c>
      <c r="AC75" s="654">
        <f>YEAR(O75)</f>
        <v/>
      </c>
      <c r="AD75" s="654">
        <f>AB75&amp;"-"&amp;AC75&amp;"-"&amp;C75</f>
        <v/>
      </c>
      <c r="AE75" s="654">
        <f>C75</f>
        <v/>
      </c>
      <c r="AF75" s="685">
        <f>MATCH(AE75,ALLM!$C$34:$C$43,)</f>
        <v/>
      </c>
      <c r="AH75" s="163">
        <f>IF(C75="2333",IF(X75=2,1,0),0)</f>
        <v/>
      </c>
      <c r="AI75" s="163">
        <f>IF(C75="2333",IF(X75=1,1,0),0)</f>
        <v/>
      </c>
    </row>
    <row r="76">
      <c r="A76" s="695">
        <f>IF(B76&lt;&gt;"",INDIRECT(ADDRESS(ROW()-1,COLUMN()))+1,0)</f>
        <v/>
      </c>
      <c r="B76" s="751" t="inlineStr">
        <is>
          <t>HK Exchange</t>
        </is>
      </c>
      <c r="C76" s="752" t="inlineStr">
        <is>
          <t>0388</t>
        </is>
      </c>
      <c r="D76" s="753" t="inlineStr">
        <is>
          <t>HK Exchange - 41</t>
        </is>
      </c>
      <c r="E76" s="721" t="n">
        <v>120</v>
      </c>
      <c r="F76" s="755" t="inlineStr">
        <is>
          <t>/</t>
        </is>
      </c>
      <c r="G76" s="700" t="n">
        <v>240</v>
      </c>
      <c r="H76" s="756" t="inlineStr">
        <is>
          <t>374.7294</t>
        </is>
      </c>
      <c r="I76" s="756" t="inlineStr">
        <is>
          <t>430.0020</t>
        </is>
      </c>
      <c r="J76" s="756" t="inlineStr">
        <is>
          <t>355.9929</t>
        </is>
      </c>
      <c r="K76" s="757" t="n">
        <v>0</v>
      </c>
      <c r="L76" s="758">
        <f>M76-K76</f>
        <v/>
      </c>
      <c r="M76" s="758" t="n">
        <v>249</v>
      </c>
      <c r="N76" s="759" t="inlineStr">
        <is>
          <t>6-Jul-2026</t>
        </is>
      </c>
      <c r="O76" s="759" t="inlineStr">
        <is>
          <t>5-Jul-2027</t>
        </is>
      </c>
      <c r="P76" s="707" t="n"/>
      <c r="Q76" s="760">
        <f>E76*L76*X76</f>
        <v/>
      </c>
      <c r="R76" s="761">
        <f>E76*I76*L76*X76</f>
        <v/>
      </c>
      <c r="S76" s="762" t="n"/>
      <c r="T76" s="761">
        <f>E76*I76*20*X76</f>
        <v/>
      </c>
      <c r="U76" s="0" t="n">
        <v>25.7</v>
      </c>
      <c r="V76" s="280" t="n">
        <v>0</v>
      </c>
      <c r="W76" s="280" t="n">
        <v>21</v>
      </c>
      <c r="X76" s="678" t="n">
        <v>1</v>
      </c>
      <c r="Y76" s="173">
        <f>X76*V76*E76*I76</f>
        <v/>
      </c>
      <c r="Z76" s="173">
        <f>X76*W76*E76*I76</f>
        <v/>
      </c>
      <c r="AB76" s="163">
        <f>MONTH(O76)</f>
        <v/>
      </c>
      <c r="AC76" s="654">
        <f>YEAR(O76)</f>
        <v/>
      </c>
      <c r="AD76" s="654">
        <f>AB76&amp;"-"&amp;AC76&amp;"-"&amp;C76</f>
        <v/>
      </c>
      <c r="AE76" s="654">
        <f>C76</f>
        <v/>
      </c>
      <c r="AF76" s="685">
        <f>MATCH(AE76,ALLM!$C$34:$C$43,)</f>
        <v/>
      </c>
      <c r="AH76" s="163">
        <f>IF(C76="2333",IF(X76=2,1,0),0)</f>
        <v/>
      </c>
      <c r="AI76" s="163">
        <f>IF(C76="2333",IF(X76=1,1,0),0)</f>
        <v/>
      </c>
    </row>
    <row r="77">
      <c r="A77" s="695">
        <f>IF(B77&lt;&gt;"",INDIRECT(ADDRESS(ROW()-1,COLUMN()))+1,0)</f>
        <v/>
      </c>
      <c r="B77" s="751" t="inlineStr">
        <is>
          <t>Kuaishou Tech</t>
        </is>
      </c>
      <c r="C77" s="752" t="inlineStr">
        <is>
          <t>1024</t>
        </is>
      </c>
      <c r="D77" s="753" t="inlineStr">
        <is>
          <t>Kuaishou Tech - 47</t>
        </is>
      </c>
      <c r="E77" s="721" t="n">
        <v>700</v>
      </c>
      <c r="F77" s="755" t="inlineStr">
        <is>
          <t>/</t>
        </is>
      </c>
      <c r="G77" s="700" t="n">
        <v>1400</v>
      </c>
      <c r="H77" s="756" t="inlineStr">
        <is>
          <t>42.0945</t>
        </is>
      </c>
      <c r="I77" s="756" t="inlineStr">
        <is>
          <t>61.5001</t>
        </is>
      </c>
      <c r="J77" s="756" t="inlineStr">
        <is>
          <t>39.9898</t>
        </is>
      </c>
      <c r="K77" s="757" t="n">
        <v>0</v>
      </c>
      <c r="L77" s="758">
        <f>M77-K77</f>
        <v/>
      </c>
      <c r="M77" s="758" t="n">
        <v>249</v>
      </c>
      <c r="N77" s="759" t="inlineStr">
        <is>
          <t>9-Jul-2026</t>
        </is>
      </c>
      <c r="O77" s="759" t="inlineStr">
        <is>
          <t>8-Jul-2027</t>
        </is>
      </c>
      <c r="P77" s="707" t="n"/>
      <c r="Q77" s="760">
        <f>E77*L77*X77</f>
        <v/>
      </c>
      <c r="R77" s="761">
        <f>E77*I77*L77*X77</f>
        <v/>
      </c>
      <c r="S77" s="762" t="n"/>
      <c r="T77" s="761">
        <f>E77*I77*20*X77</f>
        <v/>
      </c>
      <c r="U77" s="0" t="n">
        <v>25.7</v>
      </c>
      <c r="V77" s="280" t="n">
        <v>0</v>
      </c>
      <c r="W77" s="280" t="n">
        <v>23</v>
      </c>
      <c r="X77" s="678" t="n">
        <v>1</v>
      </c>
      <c r="Y77" s="173">
        <f>X77*V77*E77*I77</f>
        <v/>
      </c>
      <c r="Z77" s="173">
        <f>X77*W77*E77*I77</f>
        <v/>
      </c>
      <c r="AB77" s="163">
        <f>MONTH(O77)</f>
        <v/>
      </c>
      <c r="AC77" s="654">
        <f>YEAR(O77)</f>
        <v/>
      </c>
      <c r="AD77" s="654">
        <f>AB77&amp;"-"&amp;AC77&amp;"-"&amp;C77</f>
        <v/>
      </c>
      <c r="AE77" s="654">
        <f>C77</f>
        <v/>
      </c>
      <c r="AF77" s="685">
        <f>MATCH(AE77,ALLM!$C$34:$C$43,)</f>
        <v/>
      </c>
      <c r="AH77" s="163">
        <f>IF(C77="2333",IF(X77=2,1,0),0)</f>
        <v/>
      </c>
      <c r="AI77" s="163">
        <f>IF(C77="2333",IF(X77=1,1,0),0)</f>
        <v/>
      </c>
    </row>
    <row r="78">
      <c r="A78" s="695">
        <f>IF(B78&lt;&gt;"",INDIRECT(ADDRESS(ROW()-1,COLUMN()))+1,0)</f>
        <v/>
      </c>
      <c r="B78" s="751" t="inlineStr">
        <is>
          <t>Alibaba</t>
        </is>
      </c>
      <c r="C78" s="752" t="inlineStr">
        <is>
          <t>9988</t>
        </is>
      </c>
      <c r="D78" s="753" t="inlineStr">
        <is>
          <t>Alibaba - 33</t>
        </is>
      </c>
      <c r="E78" s="721" t="n">
        <v>300</v>
      </c>
      <c r="F78" s="755" t="inlineStr">
        <is>
          <t>/</t>
        </is>
      </c>
      <c r="G78" s="700" t="n">
        <v>600</v>
      </c>
      <c r="H78" s="756" t="inlineStr">
        <is>
          <t>103.6000</t>
        </is>
      </c>
      <c r="I78" s="756" t="inlineStr">
        <is>
          <t>140.8649</t>
        </is>
      </c>
      <c r="J78" s="756" t="inlineStr">
        <is>
          <t>98.4200</t>
        </is>
      </c>
      <c r="K78" s="757" t="n">
        <v>0</v>
      </c>
      <c r="L78" s="758">
        <f>M78-K78</f>
        <v/>
      </c>
      <c r="M78" s="758" t="n">
        <v>249</v>
      </c>
      <c r="N78" s="759" t="inlineStr">
        <is>
          <t>9-Jul-2026</t>
        </is>
      </c>
      <c r="O78" s="759" t="inlineStr">
        <is>
          <t>8-Jul-2027</t>
        </is>
      </c>
      <c r="P78" s="707" t="n"/>
      <c r="Q78" s="760">
        <f>E78*L78*X78</f>
        <v/>
      </c>
      <c r="R78" s="761">
        <f>E78*I78*L78*X78</f>
        <v/>
      </c>
      <c r="S78" s="762" t="n"/>
      <c r="T78" s="761">
        <f>E78*I78*20*X78</f>
        <v/>
      </c>
      <c r="U78" s="0" t="n">
        <v>25.7</v>
      </c>
      <c r="V78" s="280" t="n">
        <v>0</v>
      </c>
      <c r="W78" s="280" t="n">
        <v>23</v>
      </c>
      <c r="X78" s="678" t="n">
        <v>1</v>
      </c>
      <c r="Y78" s="173">
        <f>X78*V78*E78*I78</f>
        <v/>
      </c>
      <c r="Z78" s="173">
        <f>X78*W78*E78*I78</f>
        <v/>
      </c>
      <c r="AB78" s="163">
        <f>MONTH(O78)</f>
        <v/>
      </c>
      <c r="AC78" s="654">
        <f>YEAR(O78)</f>
        <v/>
      </c>
      <c r="AD78" s="654">
        <f>AB78&amp;"-"&amp;AC78&amp;"-"&amp;C78</f>
        <v/>
      </c>
      <c r="AE78" s="654">
        <f>C78</f>
        <v/>
      </c>
      <c r="AF78" s="685">
        <f>MATCH(AE78,ALLM!$C$34:$C$43,)</f>
        <v/>
      </c>
      <c r="AH78" s="163">
        <f>IF(C78="2333",IF(X78=2,1,0),0)</f>
        <v/>
      </c>
      <c r="AI78" s="163">
        <f>IF(C78="2333",IF(X78=1,1,0),0)</f>
        <v/>
      </c>
    </row>
    <row r="79">
      <c r="A79" s="695">
        <f>IF(B79&lt;&gt;"",INDIRECT(ADDRESS(ROW()-1,COLUMN()))+1,0)</f>
        <v/>
      </c>
      <c r="B79" s="751" t="inlineStr">
        <is>
          <t>Shanghai Fosun Pharma</t>
        </is>
      </c>
      <c r="C79" s="752" t="inlineStr">
        <is>
          <t>2196</t>
        </is>
      </c>
      <c r="D79" s="753" t="inlineStr">
        <is>
          <t>Shanghai Fosun - 16</t>
        </is>
      </c>
      <c r="E79" s="721" t="n">
        <v>600</v>
      </c>
      <c r="F79" s="755" t="inlineStr">
        <is>
          <t>/</t>
        </is>
      </c>
      <c r="G79" s="700" t="n">
        <v>1200</v>
      </c>
      <c r="H79" s="756" t="inlineStr">
        <is>
          <t>16.1583</t>
        </is>
      </c>
      <c r="I79" s="756" t="inlineStr">
        <is>
          <t>19.4853</t>
        </is>
      </c>
      <c r="J79" s="756" t="inlineStr">
        <is>
          <t>15.3504</t>
        </is>
      </c>
      <c r="K79" s="757" t="n">
        <v>0</v>
      </c>
      <c r="L79" s="758">
        <f>M79-K79</f>
        <v/>
      </c>
      <c r="M79" s="758" t="n">
        <v>249</v>
      </c>
      <c r="N79" s="759" t="inlineStr">
        <is>
          <t>14-Jul-2026</t>
        </is>
      </c>
      <c r="O79" s="759" t="inlineStr">
        <is>
          <t>13-Jul-2027</t>
        </is>
      </c>
      <c r="P79" s="707" t="n"/>
      <c r="Q79" s="760">
        <f>E79*L79*X79</f>
        <v/>
      </c>
      <c r="R79" s="761">
        <f>E79*I79*L79*X79</f>
        <v/>
      </c>
      <c r="S79" s="762" t="n"/>
      <c r="T79" s="761">
        <f>E79*I79*20*X79</f>
        <v/>
      </c>
      <c r="U79" s="0" t="n">
        <v>25.7</v>
      </c>
      <c r="V79" s="280" t="n">
        <v>0</v>
      </c>
      <c r="W79" s="280" t="n">
        <v>23</v>
      </c>
      <c r="X79" s="678" t="n">
        <v>1</v>
      </c>
      <c r="Y79" s="173">
        <f>X79*V79*E79*I79</f>
        <v/>
      </c>
      <c r="Z79" s="173">
        <f>X79*W79*E79*I79</f>
        <v/>
      </c>
      <c r="AB79" s="163">
        <f>MONTH(O79)</f>
        <v/>
      </c>
      <c r="AC79" s="654">
        <f>YEAR(O79)</f>
        <v/>
      </c>
      <c r="AD79" s="654">
        <f>AB79&amp;"-"&amp;AC79&amp;"-"&amp;C79</f>
        <v/>
      </c>
      <c r="AE79" s="654">
        <f>C79</f>
        <v/>
      </c>
      <c r="AF79" s="685">
        <f>MATCH(AE79,ALLM!$C$34:$C$43,)</f>
        <v/>
      </c>
      <c r="AH79" s="163">
        <f>IF(C79="2333",IF(X79=2,1,0),0)</f>
        <v/>
      </c>
      <c r="AI79" s="163">
        <f>IF(C79="2333",IF(X79=1,1,0),0)</f>
        <v/>
      </c>
    </row>
    <row r="80">
      <c r="A80" s="695">
        <f>IF(B80&lt;&gt;"",INDIRECT(ADDRESS(ROW()-1,COLUMN()))+1,0)</f>
        <v/>
      </c>
      <c r="B80" s="751" t="inlineStr">
        <is>
          <t>China Molybdenum</t>
        </is>
      </c>
      <c r="C80" s="752" t="inlineStr">
        <is>
          <t>3993</t>
        </is>
      </c>
      <c r="D80" s="753" t="inlineStr">
        <is>
          <t>China Molybdenum - 66</t>
        </is>
      </c>
      <c r="E80" s="721" t="n">
        <v>450</v>
      </c>
      <c r="F80" s="755" t="inlineStr">
        <is>
          <t>/</t>
        </is>
      </c>
      <c r="G80" s="700" t="n">
        <v>900</v>
      </c>
      <c r="H80" s="756" t="inlineStr">
        <is>
          <t>14.8184</t>
        </is>
      </c>
      <c r="I80" s="756" t="inlineStr">
        <is>
          <t>21.5978</t>
        </is>
      </c>
      <c r="J80" s="756" t="inlineStr">
        <is>
          <t>14.0775</t>
        </is>
      </c>
      <c r="K80" s="757" t="n">
        <v>0</v>
      </c>
      <c r="L80" s="758">
        <f>M80-K80</f>
        <v/>
      </c>
      <c r="M80" s="758" t="n">
        <v>249</v>
      </c>
      <c r="N80" s="759" t="inlineStr">
        <is>
          <t>14-Jul-2026</t>
        </is>
      </c>
      <c r="O80" s="759" t="inlineStr">
        <is>
          <t>13-Jul-2027</t>
        </is>
      </c>
      <c r="P80" s="707" t="n"/>
      <c r="Q80" s="760">
        <f>E80*L80*X80</f>
        <v/>
      </c>
      <c r="R80" s="761">
        <f>E80*I80*L80*X80</f>
        <v/>
      </c>
      <c r="S80" s="762" t="n"/>
      <c r="T80" s="761">
        <f>E80*I80*20*X80</f>
        <v/>
      </c>
      <c r="U80" s="0" t="n">
        <v>25.7</v>
      </c>
      <c r="V80" s="280" t="n">
        <v>0</v>
      </c>
      <c r="W80" s="280" t="n">
        <v>23</v>
      </c>
      <c r="X80" s="678" t="n">
        <v>1</v>
      </c>
      <c r="Y80" s="173">
        <f>X80*V80*E80*I80</f>
        <v/>
      </c>
      <c r="Z80" s="173">
        <f>X80*W80*E80*I80</f>
        <v/>
      </c>
      <c r="AB80" s="163">
        <f>MONTH(O80)</f>
        <v/>
      </c>
      <c r="AC80" s="654">
        <f>YEAR(O80)</f>
        <v/>
      </c>
      <c r="AD80" s="654">
        <f>AB80&amp;"-"&amp;AC80&amp;"-"&amp;C80</f>
        <v/>
      </c>
      <c r="AE80" s="654">
        <f>C80</f>
        <v/>
      </c>
      <c r="AF80" s="685">
        <f>MATCH(AE80,ALLM!$C$34:$C$43,)</f>
        <v/>
      </c>
      <c r="AH80" s="163">
        <f>IF(C80="2333",IF(X80=2,1,0),0)</f>
        <v/>
      </c>
      <c r="AI80" s="163">
        <f>IF(C80="2333",IF(X80=1,1,0),0)</f>
        <v/>
      </c>
    </row>
    <row r="81">
      <c r="A81" s="695">
        <f>IF(B81&lt;&gt;"",INDIRECT(ADDRESS(ROW()-1,COLUMN()))+1,0)</f>
        <v/>
      </c>
      <c r="B81" s="751" t="inlineStr">
        <is>
          <t>China Molybdenum</t>
        </is>
      </c>
      <c r="C81" s="752" t="inlineStr">
        <is>
          <t>3993</t>
        </is>
      </c>
      <c r="D81" s="753" t="inlineStr">
        <is>
          <t>China Molybdenum - 67</t>
        </is>
      </c>
      <c r="E81" s="721" t="n">
        <v>900</v>
      </c>
      <c r="F81" s="755" t="inlineStr">
        <is>
          <t>/</t>
        </is>
      </c>
      <c r="G81" s="700" t="n">
        <v>1800</v>
      </c>
      <c r="H81" s="756" t="inlineStr">
        <is>
          <t>15.8582</t>
        </is>
      </c>
      <c r="I81" s="756" t="inlineStr">
        <is>
          <t>23.3195</t>
        </is>
      </c>
      <c r="J81" s="756" t="inlineStr">
        <is>
          <t>14.7481</t>
        </is>
      </c>
      <c r="K81" s="757" t="n">
        <v>0</v>
      </c>
      <c r="L81" s="758">
        <f>M81-K81</f>
        <v/>
      </c>
      <c r="M81" s="758" t="n">
        <v>249</v>
      </c>
      <c r="N81" s="759" t="inlineStr">
        <is>
          <t>16-Jul-2026</t>
        </is>
      </c>
      <c r="O81" s="759" t="inlineStr">
        <is>
          <t>15-Jul-2027</t>
        </is>
      </c>
      <c r="P81" s="707" t="n"/>
      <c r="Q81" s="760">
        <f>E81*L81*X81</f>
        <v/>
      </c>
      <c r="R81" s="761">
        <f>E81*I81*L81*X81</f>
        <v/>
      </c>
      <c r="S81" s="762" t="n"/>
      <c r="T81" s="761">
        <f>E81*I81*20*X81</f>
        <v/>
      </c>
      <c r="U81" s="0" t="n">
        <v>25.7</v>
      </c>
      <c r="V81" s="280" t="n">
        <v>0</v>
      </c>
      <c r="W81" s="280" t="n">
        <v>23</v>
      </c>
      <c r="X81" s="678" t="n">
        <v>1</v>
      </c>
      <c r="Y81" s="173">
        <f>X81*V81*E81*I81</f>
        <v/>
      </c>
      <c r="Z81" s="173">
        <f>X81*W81*E81*I81</f>
        <v/>
      </c>
      <c r="AB81" s="163">
        <f>MONTH(O81)</f>
        <v/>
      </c>
      <c r="AC81" s="654">
        <f>YEAR(O81)</f>
        <v/>
      </c>
      <c r="AD81" s="654">
        <f>AB81&amp;"-"&amp;AC81&amp;"-"&amp;C81</f>
        <v/>
      </c>
      <c r="AE81" s="654">
        <f>C81</f>
        <v/>
      </c>
      <c r="AF81" s="685">
        <f>MATCH(AE81,ALLM!$C$34:$C$43,)</f>
        <v/>
      </c>
      <c r="AH81" s="163">
        <f>IF(C81="2333",IF(X81=2,1,0),0)</f>
        <v/>
      </c>
      <c r="AI81" s="163">
        <f>IF(C81="2333",IF(X81=1,1,0),0)</f>
        <v/>
      </c>
    </row>
    <row r="82">
      <c r="A82" s="695">
        <f>IF(B82&lt;&gt;"",INDIRECT(ADDRESS(ROW()-1,COLUMN()))+1,0)</f>
        <v/>
      </c>
      <c r="B82" s="751" t="inlineStr">
        <is>
          <t>Kuaishou Tech</t>
        </is>
      </c>
      <c r="C82" s="752" t="inlineStr">
        <is>
          <t>1024</t>
        </is>
      </c>
      <c r="D82" s="753" t="inlineStr">
        <is>
          <t>Kuaishou Tech - 48</t>
        </is>
      </c>
      <c r="E82" s="721" t="n">
        <v>200</v>
      </c>
      <c r="F82" s="755" t="inlineStr">
        <is>
          <t>/</t>
        </is>
      </c>
      <c r="G82" s="700" t="n">
        <v>400</v>
      </c>
      <c r="H82" s="756" t="inlineStr">
        <is>
          <t>45.2200</t>
        </is>
      </c>
      <c r="I82" s="756" t="inlineStr">
        <is>
          <t>64.6646</t>
        </is>
      </c>
      <c r="J82" s="756" t="inlineStr">
        <is>
          <t>42.0546</t>
        </is>
      </c>
      <c r="K82" s="757" t="n">
        <v>0</v>
      </c>
      <c r="L82" s="758">
        <f>M82-K82</f>
        <v/>
      </c>
      <c r="M82" s="758" t="n">
        <v>249</v>
      </c>
      <c r="N82" s="759" t="inlineStr">
        <is>
          <t>16-Jul-2026</t>
        </is>
      </c>
      <c r="O82" s="759" t="inlineStr">
        <is>
          <t>15-Jul-2027</t>
        </is>
      </c>
      <c r="P82" s="707" t="n"/>
      <c r="Q82" s="760">
        <f>E82*L82*X82</f>
        <v/>
      </c>
      <c r="R82" s="761">
        <f>E82*I82*L82*X82</f>
        <v/>
      </c>
      <c r="S82" s="762" t="n"/>
      <c r="T82" s="761">
        <f>E82*I82*20*X82</f>
        <v/>
      </c>
      <c r="U82" s="0" t="n">
        <v>25.7</v>
      </c>
      <c r="V82" s="280" t="n">
        <v>0</v>
      </c>
      <c r="W82" s="280" t="n">
        <v>23</v>
      </c>
      <c r="X82" s="678" t="n">
        <v>1</v>
      </c>
      <c r="Y82" s="173">
        <f>X82*V82*E82*I82</f>
        <v/>
      </c>
      <c r="Z82" s="173">
        <f>X82*W82*E82*I82</f>
        <v/>
      </c>
      <c r="AB82" s="163">
        <f>MONTH(O82)</f>
        <v/>
      </c>
      <c r="AC82" s="654">
        <f>YEAR(O82)</f>
        <v/>
      </c>
      <c r="AD82" s="654">
        <f>AB82&amp;"-"&amp;AC82&amp;"-"&amp;C82</f>
        <v/>
      </c>
      <c r="AE82" s="654">
        <f>C82</f>
        <v/>
      </c>
      <c r="AF82" s="685">
        <f>MATCH(AE82,ALLM!$C$34:$C$43,)</f>
        <v/>
      </c>
      <c r="AH82" s="163">
        <f>IF(C82="2333",IF(X82=2,1,0),0)</f>
        <v/>
      </c>
      <c r="AI82" s="163">
        <f>IF(C82="2333",IF(X82=1,1,0),0)</f>
        <v/>
      </c>
    </row>
    <row r="83">
      <c r="A83" s="695">
        <f>IF(B83&lt;&gt;"",INDIRECT(ADDRESS(ROW()-1,COLUMN()))+1,0)</f>
        <v/>
      </c>
      <c r="B83" s="751" t="inlineStr">
        <is>
          <t>Geely Motor</t>
        </is>
      </c>
      <c r="C83" s="752" t="inlineStr">
        <is>
          <t>0175</t>
        </is>
      </c>
      <c r="D83" s="753" t="inlineStr">
        <is>
          <t>Geely Motor - 15</t>
        </is>
      </c>
      <c r="E83" s="721" t="n">
        <v>1000</v>
      </c>
      <c r="F83" s="755" t="inlineStr">
        <is>
          <t>/</t>
        </is>
      </c>
      <c r="G83" s="700" t="n">
        <v>2000</v>
      </c>
      <c r="H83" s="756" t="inlineStr">
        <is>
          <t>18.3989</t>
        </is>
      </c>
      <c r="I83" s="756" t="inlineStr">
        <is>
          <t>23.9903</t>
        </is>
      </c>
      <c r="J83" s="756" t="inlineStr">
        <is>
          <t>17.1110</t>
        </is>
      </c>
      <c r="K83" s="757" t="n">
        <v>0</v>
      </c>
      <c r="L83" s="758">
        <f>M83-K83</f>
        <v/>
      </c>
      <c r="M83" s="758" t="n">
        <v>249</v>
      </c>
      <c r="N83" s="759" t="inlineStr">
        <is>
          <t>16-Jul-2026</t>
        </is>
      </c>
      <c r="O83" s="759" t="inlineStr">
        <is>
          <t>15-Jul-2027</t>
        </is>
      </c>
      <c r="P83" s="707" t="n"/>
      <c r="Q83" s="760">
        <f>E83*L83*X83</f>
        <v/>
      </c>
      <c r="R83" s="761">
        <f>E83*I83*L83*X83</f>
        <v/>
      </c>
      <c r="S83" s="762" t="n"/>
      <c r="T83" s="761">
        <f>E83*I83*20*X83</f>
        <v/>
      </c>
      <c r="U83" s="0" t="n">
        <v>25.7</v>
      </c>
      <c r="V83" s="280" t="n">
        <v>0</v>
      </c>
      <c r="W83" s="280" t="n">
        <v>23</v>
      </c>
      <c r="X83" s="678" t="n">
        <v>1</v>
      </c>
      <c r="Y83" s="173">
        <f>X83*V83*E83*I83</f>
        <v/>
      </c>
      <c r="Z83" s="173">
        <f>X83*W83*E83*I83</f>
        <v/>
      </c>
      <c r="AB83" s="163">
        <f>MONTH(O83)</f>
        <v/>
      </c>
      <c r="AC83" s="654">
        <f>YEAR(O83)</f>
        <v/>
      </c>
      <c r="AD83" s="654">
        <f>AB83&amp;"-"&amp;AC83&amp;"-"&amp;C83</f>
        <v/>
      </c>
      <c r="AE83" s="654">
        <f>C83</f>
        <v/>
      </c>
      <c r="AF83" s="685">
        <f>MATCH(AE83,ALLM!$C$34:$C$43,)</f>
        <v/>
      </c>
      <c r="AH83" s="163">
        <f>IF(C83="2333",IF(X83=2,1,0),0)</f>
        <v/>
      </c>
      <c r="AI83" s="163">
        <f>IF(C83="2333",IF(X83=1,1,0),0)</f>
        <v/>
      </c>
    </row>
    <row r="84">
      <c r="A84" s="695">
        <f>IF(B84&lt;&gt;"",INDIRECT(ADDRESS(ROW()-1,COLUMN()))+1,0)</f>
        <v/>
      </c>
      <c r="B84" s="751" t="inlineStr">
        <is>
          <t>China Molybdenum</t>
        </is>
      </c>
      <c r="C84" s="752" t="inlineStr">
        <is>
          <t>3993</t>
        </is>
      </c>
      <c r="D84" s="753" t="inlineStr">
        <is>
          <t>China Molybdenum - 68</t>
        </is>
      </c>
      <c r="E84" s="721" t="n">
        <v>1000</v>
      </c>
      <c r="F84" s="755" t="inlineStr">
        <is>
          <t>/</t>
        </is>
      </c>
      <c r="G84" s="700" t="n">
        <v>2000</v>
      </c>
      <c r="H84" s="756" t="inlineStr">
        <is>
          <t>16.4200</t>
        </is>
      </c>
      <c r="I84" s="756" t="inlineStr">
        <is>
          <t>23.5726</t>
        </is>
      </c>
      <c r="J84" s="756" t="inlineStr">
        <is>
          <t>15.2706</t>
        </is>
      </c>
      <c r="K84" s="757" t="n">
        <v>0</v>
      </c>
      <c r="L84" s="758">
        <f>M84-K84</f>
        <v/>
      </c>
      <c r="M84" s="758" t="n">
        <v>249</v>
      </c>
      <c r="N84" s="759" t="inlineStr">
        <is>
          <t>30-Jul-2026</t>
        </is>
      </c>
      <c r="O84" s="759" t="inlineStr">
        <is>
          <t>29-Jul-2027</t>
        </is>
      </c>
      <c r="P84" s="707" t="n"/>
      <c r="Q84" s="760">
        <f>E84*L84*X84</f>
        <v/>
      </c>
      <c r="R84" s="761">
        <f>E84*I84*L84*X84</f>
        <v/>
      </c>
      <c r="S84" s="762" t="n"/>
      <c r="T84" s="761">
        <f>E84*I84*20*X84</f>
        <v/>
      </c>
      <c r="U84" s="0" t="n">
        <v>25.7</v>
      </c>
      <c r="V84" s="280" t="n">
        <v>0</v>
      </c>
      <c r="W84" s="280" t="n">
        <v>0</v>
      </c>
      <c r="X84" s="678" t="n">
        <v>1</v>
      </c>
      <c r="Y84" s="173">
        <f>X84*V84*E84*I84</f>
        <v/>
      </c>
      <c r="Z84" s="173">
        <f>X84*W84*E84*I84</f>
        <v/>
      </c>
      <c r="AB84" s="163">
        <f>MONTH(O84)</f>
        <v/>
      </c>
      <c r="AC84" s="654">
        <f>YEAR(O84)</f>
        <v/>
      </c>
      <c r="AD84" s="654">
        <f>AB84&amp;"-"&amp;AC84&amp;"-"&amp;C84</f>
        <v/>
      </c>
      <c r="AE84" s="654">
        <f>C84</f>
        <v/>
      </c>
      <c r="AF84" s="685">
        <f>MATCH(AE84,ALLM!$C$34:$C$43,)</f>
        <v/>
      </c>
      <c r="AH84" s="163">
        <f>IF(C84="2333",IF(X84=2,1,0),0)</f>
        <v/>
      </c>
      <c r="AI84" s="163">
        <f>IF(C84="2333",IF(X84=1,1,0),0)</f>
        <v/>
      </c>
    </row>
    <row r="85">
      <c r="A85" s="147" t="n"/>
    </row>
    <row r="86" ht="12.75" customHeight="1" s="671">
      <c r="L86" s="71" t="n"/>
      <c r="N86" s="453" t="n"/>
      <c r="O86" s="477" t="inlineStr">
        <is>
          <t>Sun Hung Kai Account no. 1 Total</t>
        </is>
      </c>
      <c r="P86" s="453" t="n"/>
      <c r="Q86" s="663">
        <f>SUM(Q72:Q85)</f>
        <v/>
      </c>
      <c r="R86" s="745">
        <f>SUM(R72:R85)</f>
        <v/>
      </c>
      <c r="S86" s="453" t="n"/>
      <c r="T86" s="745">
        <f>SUM(T72:T85)</f>
        <v/>
      </c>
    </row>
    <row r="87">
      <c r="Q87" s="656" t="inlineStr">
        <is>
          <t>Shares</t>
        </is>
      </c>
      <c r="R87" s="656" t="inlineStr">
        <is>
          <t>HKD</t>
        </is>
      </c>
      <c r="S87" s="656" t="n"/>
      <c r="T87" s="656" t="inlineStr">
        <is>
          <t>HKD</t>
        </is>
      </c>
    </row>
    <row r="88" ht="8.25" customHeight="1" s="671">
      <c r="Q88" s="656" t="n"/>
      <c r="R88" s="656" t="n"/>
      <c r="S88" s="656" t="n"/>
      <c r="T88" s="656" t="n"/>
    </row>
    <row r="89" ht="13.5" customHeight="1" s="671">
      <c r="A89" s="80" t="inlineStr">
        <is>
          <t>SUN HUNG KAI Account No. 2</t>
        </is>
      </c>
      <c r="B89" s="569" t="n"/>
      <c r="C89" s="466" t="n"/>
      <c r="D89" s="466" t="n"/>
      <c r="E89" s="713" t="n"/>
      <c r="F89" s="713" t="n"/>
      <c r="G89" s="713" t="n"/>
      <c r="H89" s="312" t="n"/>
      <c r="I89" s="313" t="n"/>
      <c r="J89" s="314" t="n"/>
      <c r="K89" s="74" t="n"/>
      <c r="L89" s="79" t="n"/>
    </row>
    <row r="90" ht="15" customHeight="1" s="671">
      <c r="B90" s="640" t="inlineStr">
        <is>
          <t>DECUMULATOR</t>
        </is>
      </c>
      <c r="C90" s="631" t="inlineStr">
        <is>
          <t>CODE</t>
        </is>
      </c>
      <c r="D90" s="631" t="n"/>
      <c r="E90" s="624" t="inlineStr">
        <is>
          <t>SHARES / DAY</t>
        </is>
      </c>
      <c r="F90" s="625" t="n"/>
      <c r="G90" s="626" t="n"/>
      <c r="H90" s="633" t="inlineStr">
        <is>
          <t>SPOT PRICE</t>
        </is>
      </c>
      <c r="I90" s="633" t="inlineStr">
        <is>
          <t>STRIKE PRICE</t>
        </is>
      </c>
      <c r="J90" s="633" t="inlineStr">
        <is>
          <t>K/O PRICE</t>
        </is>
      </c>
      <c r="K90" s="653" t="inlineStr">
        <is>
          <t>LIFE TERM OF CONTRACT</t>
        </is>
      </c>
      <c r="L90" s="638" t="n"/>
      <c r="M90" s="639" t="n"/>
      <c r="N90" s="622" t="inlineStr">
        <is>
          <t>START DATE</t>
        </is>
      </c>
      <c r="O90" s="622" t="inlineStr">
        <is>
          <t>END DATE</t>
        </is>
      </c>
      <c r="P90" s="682" t="n"/>
      <c r="Q90" s="632" t="inlineStr">
        <is>
          <t>Estimated  Shares to sell</t>
        </is>
      </c>
      <c r="R90" s="683" t="inlineStr">
        <is>
          <t>Estimated Amount</t>
        </is>
      </c>
      <c r="S90" s="682" t="n"/>
      <c r="T90" s="683" t="inlineStr">
        <is>
          <t>Estimated Amount per month</t>
        </is>
      </c>
      <c r="Y90" s="173" t="inlineStr">
        <is>
          <t>july</t>
        </is>
      </c>
      <c r="Z90" s="173" t="inlineStr">
        <is>
          <t>aug</t>
        </is>
      </c>
    </row>
    <row r="91" ht="22.5" customHeight="1" s="671">
      <c r="A91" s="77" t="n"/>
      <c r="B91" s="623" t="n"/>
      <c r="C91" s="623" t="n"/>
      <c r="D91" s="390" t="inlineStr">
        <is>
          <t>SHK2</t>
        </is>
      </c>
      <c r="E91" s="627" t="n"/>
      <c r="F91" s="628" t="n"/>
      <c r="G91" s="629" t="n"/>
      <c r="H91" s="623" t="n"/>
      <c r="I91" s="623" t="n"/>
      <c r="J91" s="623" t="n"/>
      <c r="K91" s="637" t="inlineStr">
        <is>
          <t>RCVD DAYS</t>
        </is>
      </c>
      <c r="L91" s="637" t="inlineStr">
        <is>
          <t>REM DAYS</t>
        </is>
      </c>
      <c r="M91" s="637" t="inlineStr">
        <is>
          <t>Total DAYS</t>
        </is>
      </c>
      <c r="N91" s="623" t="n"/>
      <c r="O91" s="623" t="n"/>
      <c r="P91" s="682" t="n"/>
      <c r="Q91" s="623" t="n"/>
      <c r="R91" s="623" t="n"/>
      <c r="S91" s="682" t="n"/>
      <c r="T91" s="623" t="n"/>
      <c r="Y91" s="173" t="inlineStr">
        <is>
          <t>hkd</t>
        </is>
      </c>
      <c r="Z91" s="173" t="inlineStr">
        <is>
          <t>hkd</t>
        </is>
      </c>
    </row>
    <row r="92" ht="13.5" customHeight="1" s="671">
      <c r="A92" s="695">
        <f>IF(B92&lt;&gt;"",INDIRECT(ADDRESS(ROW()-1,COLUMN()))+1,0)</f>
        <v/>
      </c>
      <c r="B92" s="751" t="inlineStr">
        <is>
          <t>Geely Motor</t>
        </is>
      </c>
      <c r="C92" s="752" t="inlineStr">
        <is>
          <t>0175</t>
        </is>
      </c>
      <c r="D92" s="753" t="inlineStr">
        <is>
          <t>Geely Motor - 7</t>
        </is>
      </c>
      <c r="E92" s="721" t="n">
        <v>3500</v>
      </c>
      <c r="F92" s="755" t="inlineStr">
        <is>
          <t>/</t>
        </is>
      </c>
      <c r="G92" s="700" t="n">
        <v>7000</v>
      </c>
      <c r="H92" s="756" t="inlineStr">
        <is>
          <t>17.5600</t>
        </is>
      </c>
      <c r="I92" s="756" t="inlineStr">
        <is>
          <t>21.2002</t>
        </is>
      </c>
      <c r="J92" s="756" t="inlineStr">
        <is>
          <t>15.8040</t>
        </is>
      </c>
      <c r="K92" s="757" t="n">
        <v>80</v>
      </c>
      <c r="L92" s="758">
        <f>M92-K92</f>
        <v/>
      </c>
      <c r="M92" s="758" t="n">
        <v>188</v>
      </c>
      <c r="N92" s="759" t="inlineStr">
        <is>
          <t>13-Mar-2026</t>
        </is>
      </c>
      <c r="O92" s="759" t="inlineStr">
        <is>
          <t>14-Dec-2026</t>
        </is>
      </c>
      <c r="P92" s="707" t="n"/>
      <c r="Q92" s="760">
        <f>E92*L92*X92</f>
        <v/>
      </c>
      <c r="R92" s="761">
        <f>E92*I92*L92*X92</f>
        <v/>
      </c>
      <c r="S92" s="762" t="n"/>
      <c r="T92" s="761">
        <f>E92*I92*20*X92</f>
        <v/>
      </c>
      <c r="U92" s="0" t="n">
        <v>25.7</v>
      </c>
      <c r="V92" s="280" t="n">
        <v>0</v>
      </c>
      <c r="W92" s="280" t="n">
        <v>22</v>
      </c>
      <c r="X92" s="678" t="n">
        <v>1</v>
      </c>
      <c r="Y92" s="173">
        <f>X92*V92*E92*I92</f>
        <v/>
      </c>
      <c r="Z92" s="173">
        <f>X92*W92*E92*I92</f>
        <v/>
      </c>
      <c r="AB92" s="163">
        <f>MONTH(O92)</f>
        <v/>
      </c>
      <c r="AC92" s="654">
        <f>YEAR(O92)</f>
        <v/>
      </c>
      <c r="AD92" s="654">
        <f>AB92&amp;"-"&amp;AC92&amp;"-"&amp;C92</f>
        <v/>
      </c>
      <c r="AE92" s="654">
        <f>C92</f>
        <v/>
      </c>
      <c r="AF92" s="685">
        <f>MATCH(AE92,ALLM!$C$34:$C$43,)</f>
        <v/>
      </c>
      <c r="AH92" s="163">
        <f>IF(C92="2333",IF(X92=2,1,0),0)</f>
        <v/>
      </c>
      <c r="AI92" s="163">
        <f>IF(C92="2333",IF(X92=1,1,0),0)</f>
        <v/>
      </c>
    </row>
    <row r="93" ht="13.5" customHeight="1" s="671">
      <c r="A93" s="695">
        <f>IF(B93&lt;&gt;"",INDIRECT(ADDRESS(ROW()-1,COLUMN()))+1,0)</f>
        <v/>
      </c>
      <c r="B93" s="751" t="inlineStr">
        <is>
          <t>Semiconductor Mfg Intl Corp</t>
        </is>
      </c>
      <c r="C93" s="752" t="inlineStr">
        <is>
          <t>0981</t>
        </is>
      </c>
      <c r="D93" s="753" t="inlineStr">
        <is>
          <t>Semiconductor Mfg Intl Corp - 2</t>
        </is>
      </c>
      <c r="E93" s="721" t="n">
        <v>400</v>
      </c>
      <c r="F93" s="755" t="inlineStr">
        <is>
          <t>/</t>
        </is>
      </c>
      <c r="G93" s="700" t="n">
        <v>800</v>
      </c>
      <c r="H93" s="756" t="inlineStr">
        <is>
          <t>65.9000</t>
        </is>
      </c>
      <c r="I93" s="756" t="inlineStr">
        <is>
          <t>90.8300</t>
        </is>
      </c>
      <c r="J93" s="756" t="inlineStr">
        <is>
          <t>61.2870</t>
        </is>
      </c>
      <c r="K93" s="757" t="n">
        <v>41</v>
      </c>
      <c r="L93" s="758">
        <f>M93-K93</f>
        <v/>
      </c>
      <c r="M93" s="758" t="n">
        <v>250</v>
      </c>
      <c r="N93" s="759" t="inlineStr">
        <is>
          <t>20-May-2026</t>
        </is>
      </c>
      <c r="O93" s="759" t="inlineStr">
        <is>
          <t>19-May-2027</t>
        </is>
      </c>
      <c r="P93" s="707" t="n"/>
      <c r="Q93" s="760">
        <f>E93*L93*X93</f>
        <v/>
      </c>
      <c r="R93" s="761">
        <f>E93*I93*L93*X93</f>
        <v/>
      </c>
      <c r="S93" s="762" t="n"/>
      <c r="T93" s="761">
        <f>E93*I93*20*X93</f>
        <v/>
      </c>
      <c r="U93" s="0" t="n">
        <v>25.7</v>
      </c>
      <c r="V93" s="280" t="n">
        <v>0</v>
      </c>
      <c r="W93" s="280" t="n">
        <v>22</v>
      </c>
      <c r="X93" s="678" t="n">
        <v>1</v>
      </c>
      <c r="Y93" s="173">
        <f>X93*V93*E93*I93</f>
        <v/>
      </c>
      <c r="Z93" s="173">
        <f>X93*W93*E93*I93</f>
        <v/>
      </c>
      <c r="AB93" s="163">
        <f>MONTH(O93)</f>
        <v/>
      </c>
      <c r="AC93" s="654">
        <f>YEAR(O93)</f>
        <v/>
      </c>
      <c r="AD93" s="654">
        <f>AB93&amp;"-"&amp;AC93&amp;"-"&amp;C93</f>
        <v/>
      </c>
      <c r="AE93" s="654">
        <f>C93</f>
        <v/>
      </c>
      <c r="AF93" s="685">
        <f>MATCH(AE93,ALLM!$C$34:$C$43,)</f>
        <v/>
      </c>
      <c r="AH93" s="163">
        <f>IF(C93="2333",IF(X93=2,1,0),0)</f>
        <v/>
      </c>
      <c r="AI93" s="163">
        <f>IF(C93="2333",IF(X93=1,1,0),0)</f>
        <v/>
      </c>
    </row>
    <row r="94" ht="13.5" customHeight="1" s="671">
      <c r="A94" s="695">
        <f>IF(B94&lt;&gt;"",INDIRECT(ADDRESS(ROW()-1,COLUMN()))+1,0)</f>
        <v/>
      </c>
      <c r="B94" s="751" t="inlineStr">
        <is>
          <t>HK Exchange</t>
        </is>
      </c>
      <c r="C94" s="752" t="inlineStr">
        <is>
          <t>0388</t>
        </is>
      </c>
      <c r="D94" s="753" t="inlineStr">
        <is>
          <t>HK Exchange - 25</t>
        </is>
      </c>
      <c r="E94" s="721" t="n">
        <v>140</v>
      </c>
      <c r="F94" s="755" t="inlineStr">
        <is>
          <t>/</t>
        </is>
      </c>
      <c r="G94" s="700" t="n">
        <v>280</v>
      </c>
      <c r="H94" s="756" t="inlineStr">
        <is>
          <t>375.2619</t>
        </is>
      </c>
      <c r="I94" s="756" t="inlineStr">
        <is>
          <t>430.6130</t>
        </is>
      </c>
      <c r="J94" s="756" t="inlineStr">
        <is>
          <t>356.4988</t>
        </is>
      </c>
      <c r="K94" s="757" t="n">
        <v>0</v>
      </c>
      <c r="L94" s="758">
        <f>M94-K94</f>
        <v/>
      </c>
      <c r="M94" s="758" t="n">
        <v>249</v>
      </c>
      <c r="N94" s="759" t="inlineStr">
        <is>
          <t>6-Jul-2026</t>
        </is>
      </c>
      <c r="O94" s="759" t="inlineStr">
        <is>
          <t>5-Jul-2027</t>
        </is>
      </c>
      <c r="P94" s="707" t="n"/>
      <c r="Q94" s="760">
        <f>E94*L94*X94</f>
        <v/>
      </c>
      <c r="R94" s="761">
        <f>E94*I94*L94*X94</f>
        <v/>
      </c>
      <c r="S94" s="762" t="n"/>
      <c r="T94" s="761">
        <f>E94*I94*20*X94</f>
        <v/>
      </c>
      <c r="U94" s="0" t="n">
        <v>25.7</v>
      </c>
      <c r="V94" s="280" t="n">
        <v>0</v>
      </c>
      <c r="W94" s="280" t="n">
        <v>21</v>
      </c>
      <c r="X94" s="678" t="n">
        <v>1</v>
      </c>
      <c r="Y94" s="173">
        <f>X94*V94*E94*I94</f>
        <v/>
      </c>
      <c r="Z94" s="173">
        <f>X94*W94*E94*I94</f>
        <v/>
      </c>
      <c r="AB94" s="163">
        <f>MONTH(O94)</f>
        <v/>
      </c>
      <c r="AC94" s="654">
        <f>YEAR(O94)</f>
        <v/>
      </c>
      <c r="AD94" s="654">
        <f>AB94&amp;"-"&amp;AC94&amp;"-"&amp;C94</f>
        <v/>
      </c>
      <c r="AE94" s="654">
        <f>C94</f>
        <v/>
      </c>
      <c r="AF94" s="685">
        <f>MATCH(AE94,ALLM!$C$34:$C$43,)</f>
        <v/>
      </c>
      <c r="AH94" s="163">
        <f>IF(C94="2333",IF(X94=2,1,0),0)</f>
        <v/>
      </c>
      <c r="AI94" s="163">
        <f>IF(C94="2333",IF(X94=1,1,0),0)</f>
        <v/>
      </c>
    </row>
    <row r="95" ht="13.5" customHeight="1" s="671">
      <c r="A95" s="695">
        <f>IF(B95&lt;&gt;"",INDIRECT(ADDRESS(ROW()-1,COLUMN()))+1,0)</f>
        <v/>
      </c>
      <c r="B95" s="751" t="inlineStr">
        <is>
          <t>Geely Motor</t>
        </is>
      </c>
      <c r="C95" s="752" t="inlineStr">
        <is>
          <t>0175</t>
        </is>
      </c>
      <c r="D95" s="753" t="inlineStr">
        <is>
          <t>Geely Motor - 8</t>
        </is>
      </c>
      <c r="E95" s="721" t="n">
        <v>1700</v>
      </c>
      <c r="F95" s="755" t="inlineStr">
        <is>
          <t>/</t>
        </is>
      </c>
      <c r="G95" s="700" t="n">
        <v>3400</v>
      </c>
      <c r="H95" s="756" t="inlineStr">
        <is>
          <t>17.9500</t>
        </is>
      </c>
      <c r="I95" s="756" t="inlineStr">
        <is>
          <t>23.0837</t>
        </is>
      </c>
      <c r="J95" s="756" t="inlineStr">
        <is>
          <t>16.6935</t>
        </is>
      </c>
      <c r="K95" s="757" t="n">
        <v>0</v>
      </c>
      <c r="L95" s="758">
        <f>M95-K95</f>
        <v/>
      </c>
      <c r="M95" s="758" t="n">
        <v>249</v>
      </c>
      <c r="N95" s="759" t="inlineStr">
        <is>
          <t>10-Jul-2026</t>
        </is>
      </c>
      <c r="O95" s="759" t="inlineStr">
        <is>
          <t>9-Jul-2027</t>
        </is>
      </c>
      <c r="P95" s="707" t="n"/>
      <c r="Q95" s="760">
        <f>E95*L95*X95</f>
        <v/>
      </c>
      <c r="R95" s="761">
        <f>E95*I95*L95*X95</f>
        <v/>
      </c>
      <c r="S95" s="762" t="n"/>
      <c r="T95" s="761">
        <f>E95*I95*20*X95</f>
        <v/>
      </c>
      <c r="U95" s="0" t="n">
        <v>25.7</v>
      </c>
      <c r="V95" s="280" t="n">
        <v>0</v>
      </c>
      <c r="W95" s="280" t="n">
        <v>22</v>
      </c>
      <c r="X95" s="678" t="n">
        <v>1</v>
      </c>
      <c r="Y95" s="173">
        <f>X95*V95*E95*I95</f>
        <v/>
      </c>
      <c r="Z95" s="173">
        <f>X95*W95*E95*I95</f>
        <v/>
      </c>
      <c r="AB95" s="163">
        <f>MONTH(O95)</f>
        <v/>
      </c>
      <c r="AC95" s="654">
        <f>YEAR(O95)</f>
        <v/>
      </c>
      <c r="AD95" s="654">
        <f>AB95&amp;"-"&amp;AC95&amp;"-"&amp;C95</f>
        <v/>
      </c>
      <c r="AE95" s="654">
        <f>C95</f>
        <v/>
      </c>
      <c r="AF95" s="685">
        <f>MATCH(AE95,ALLM!$C$34:$C$43,)</f>
        <v/>
      </c>
      <c r="AH95" s="163">
        <f>IF(C95="2333",IF(X95=2,1,0),0)</f>
        <v/>
      </c>
      <c r="AI95" s="163">
        <f>IF(C95="2333",IF(X95=1,1,0),0)</f>
        <v/>
      </c>
    </row>
    <row r="96" ht="13.5" customHeight="1" s="671">
      <c r="A96" s="695">
        <f>IF(B96&lt;&gt;"",INDIRECT(ADDRESS(ROW()-1,COLUMN()))+1,0)</f>
        <v/>
      </c>
      <c r="B96" s="751" t="inlineStr">
        <is>
          <t>Alibaba</t>
        </is>
      </c>
      <c r="C96" s="752" t="inlineStr">
        <is>
          <t>9988</t>
        </is>
      </c>
      <c r="D96" s="753" t="inlineStr">
        <is>
          <t>Alibaba - 14</t>
        </is>
      </c>
      <c r="E96" s="721" t="n">
        <v>150</v>
      </c>
      <c r="F96" s="755" t="inlineStr">
        <is>
          <t>/</t>
        </is>
      </c>
      <c r="G96" s="700" t="n">
        <v>300</v>
      </c>
      <c r="H96" s="756" t="inlineStr">
        <is>
          <t>111.7000</t>
        </is>
      </c>
      <c r="I96" s="756" t="inlineStr">
        <is>
          <t>151.3423</t>
        </is>
      </c>
      <c r="J96" s="756" t="inlineStr">
        <is>
          <t>106.1150</t>
        </is>
      </c>
      <c r="K96" s="757" t="n">
        <v>0</v>
      </c>
      <c r="L96" s="758">
        <f>M96-K96</f>
        <v/>
      </c>
      <c r="M96" s="758" t="n">
        <v>249</v>
      </c>
      <c r="N96" s="759" t="inlineStr">
        <is>
          <t>13-Jul-2026</t>
        </is>
      </c>
      <c r="O96" s="759" t="inlineStr">
        <is>
          <t>12-Jul-2027</t>
        </is>
      </c>
      <c r="P96" s="707" t="n"/>
      <c r="Q96" s="760">
        <f>E96*L96*X96</f>
        <v/>
      </c>
      <c r="R96" s="761">
        <f>E96*I96*L96*X96</f>
        <v/>
      </c>
      <c r="S96" s="762" t="n"/>
      <c r="T96" s="761">
        <f>E96*I96*20*X96</f>
        <v/>
      </c>
      <c r="U96" s="0" t="n">
        <v>25.7</v>
      </c>
      <c r="V96" s="280" t="n">
        <v>0</v>
      </c>
      <c r="W96" s="280" t="n">
        <v>21</v>
      </c>
      <c r="X96" s="678" t="n">
        <v>1</v>
      </c>
      <c r="Y96" s="173">
        <f>X96*V96*E96*I96</f>
        <v/>
      </c>
      <c r="Z96" s="173">
        <f>X96*W96*E96*I96</f>
        <v/>
      </c>
      <c r="AB96" s="163">
        <f>MONTH(O96)</f>
        <v/>
      </c>
      <c r="AC96" s="654">
        <f>YEAR(O96)</f>
        <v/>
      </c>
      <c r="AD96" s="654">
        <f>AB96&amp;"-"&amp;AC96&amp;"-"&amp;C96</f>
        <v/>
      </c>
      <c r="AE96" s="654">
        <f>C96</f>
        <v/>
      </c>
      <c r="AF96" s="685">
        <f>MATCH(AE96,ALLM!$C$34:$C$43,)</f>
        <v/>
      </c>
      <c r="AH96" s="163">
        <f>IF(C96="2333",IF(X96=2,1,0),0)</f>
        <v/>
      </c>
      <c r="AI96" s="163">
        <f>IF(C96="2333",IF(X96=1,1,0),0)</f>
        <v/>
      </c>
    </row>
    <row r="97" ht="13.5" customHeight="1" s="671">
      <c r="A97" s="695">
        <f>IF(B97&lt;&gt;"",INDIRECT(ADDRESS(ROW()-1,COLUMN()))+1,0)</f>
        <v/>
      </c>
      <c r="B97" s="751" t="inlineStr">
        <is>
          <t>Shanghai Fosun Pharma</t>
        </is>
      </c>
      <c r="C97" s="752" t="inlineStr">
        <is>
          <t>2196</t>
        </is>
      </c>
      <c r="D97" s="753" t="inlineStr">
        <is>
          <t>Shanghai Fosun Pharma - 10</t>
        </is>
      </c>
      <c r="E97" s="721" t="n">
        <v>1100</v>
      </c>
      <c r="F97" s="755" t="inlineStr">
        <is>
          <t>/</t>
        </is>
      </c>
      <c r="G97" s="700" t="n">
        <v>2200</v>
      </c>
      <c r="H97" s="756" t="inlineStr">
        <is>
          <t>16.1932</t>
        </is>
      </c>
      <c r="I97" s="756" t="inlineStr">
        <is>
          <t>19.5274</t>
        </is>
      </c>
      <c r="J97" s="756" t="inlineStr">
        <is>
          <t>15.3835</t>
        </is>
      </c>
      <c r="K97" s="757" t="n">
        <v>0</v>
      </c>
      <c r="L97" s="758">
        <f>M97-K97</f>
        <v/>
      </c>
      <c r="M97" s="758" t="n">
        <v>249</v>
      </c>
      <c r="N97" s="759" t="inlineStr">
        <is>
          <t>14-Jul-2026</t>
        </is>
      </c>
      <c r="O97" s="759" t="inlineStr">
        <is>
          <t>13-Jul-2027</t>
        </is>
      </c>
      <c r="P97" s="707" t="n"/>
      <c r="Q97" s="760">
        <f>E97*L97*X97</f>
        <v/>
      </c>
      <c r="R97" s="761">
        <f>E97*I97*L97*X97</f>
        <v/>
      </c>
      <c r="S97" s="762" t="n"/>
      <c r="T97" s="761">
        <f>E97*I97*20*X97</f>
        <v/>
      </c>
      <c r="U97" s="0" t="n">
        <v>25.7</v>
      </c>
      <c r="V97" s="280" t="n">
        <v>0</v>
      </c>
      <c r="W97" s="280" t="n">
        <v>23</v>
      </c>
      <c r="X97" s="678" t="n">
        <v>1</v>
      </c>
      <c r="Y97" s="173">
        <f>X97*V97*E97*I97</f>
        <v/>
      </c>
      <c r="Z97" s="173">
        <f>X97*W97*E97*I97</f>
        <v/>
      </c>
      <c r="AB97" s="163">
        <f>MONTH(O97)</f>
        <v/>
      </c>
      <c r="AC97" s="654">
        <f>YEAR(O97)</f>
        <v/>
      </c>
      <c r="AD97" s="654">
        <f>AB97&amp;"-"&amp;AC97&amp;"-"&amp;C97</f>
        <v/>
      </c>
      <c r="AE97" s="654">
        <f>C97</f>
        <v/>
      </c>
      <c r="AF97" s="685">
        <f>MATCH(AE97,ALLM!$C$34:$C$43,)</f>
        <v/>
      </c>
      <c r="AH97" s="163">
        <f>IF(C97="2333",IF(X97=2,1,0),0)</f>
        <v/>
      </c>
      <c r="AI97" s="163">
        <f>IF(C97="2333",IF(X97=1,1,0),0)</f>
        <v/>
      </c>
    </row>
    <row r="98" ht="13.5" customHeight="1" s="671">
      <c r="A98" s="695">
        <f>IF(B98&lt;&gt;"",INDIRECT(ADDRESS(ROW()-1,COLUMN()))+1,0)</f>
        <v/>
      </c>
      <c r="B98" s="751" t="inlineStr">
        <is>
          <t>Kuaishou Tech</t>
        </is>
      </c>
      <c r="C98" s="752" t="inlineStr">
        <is>
          <t>1024</t>
        </is>
      </c>
      <c r="D98" s="753" t="inlineStr">
        <is>
          <t>Kuaishou Tech - 10</t>
        </is>
      </c>
      <c r="E98" s="721" t="n">
        <v>800</v>
      </c>
      <c r="F98" s="755" t="inlineStr">
        <is>
          <t>/</t>
        </is>
      </c>
      <c r="G98" s="700" t="n">
        <v>1600</v>
      </c>
      <c r="H98" s="756" t="inlineStr">
        <is>
          <t>43.6200</t>
        </is>
      </c>
      <c r="I98" s="756" t="inlineStr">
        <is>
          <t>63.6459</t>
        </is>
      </c>
      <c r="J98" s="756" t="inlineStr">
        <is>
          <t>41.4390</t>
        </is>
      </c>
      <c r="K98" s="757" t="n">
        <v>0</v>
      </c>
      <c r="L98" s="758">
        <f>M98-K98</f>
        <v/>
      </c>
      <c r="M98" s="758" t="n">
        <v>249</v>
      </c>
      <c r="N98" s="759" t="inlineStr">
        <is>
          <t>14-Jul-2026</t>
        </is>
      </c>
      <c r="O98" s="759" t="inlineStr">
        <is>
          <t>13-Jul-2027</t>
        </is>
      </c>
      <c r="P98" s="707" t="n"/>
      <c r="Q98" s="760">
        <f>E98*L98*X98</f>
        <v/>
      </c>
      <c r="R98" s="761">
        <f>E98*I98*L98*X98</f>
        <v/>
      </c>
      <c r="S98" s="762" t="n"/>
      <c r="T98" s="761">
        <f>E98*I98*20*X98</f>
        <v/>
      </c>
      <c r="U98" s="0" t="n">
        <v>25.7</v>
      </c>
      <c r="V98" s="280" t="n">
        <v>0</v>
      </c>
      <c r="W98" s="280" t="n">
        <v>23</v>
      </c>
      <c r="X98" s="678" t="n">
        <v>1</v>
      </c>
      <c r="Y98" s="173">
        <f>X98*V98*E98*I98</f>
        <v/>
      </c>
      <c r="Z98" s="173">
        <f>X98*W98*E98*I98</f>
        <v/>
      </c>
      <c r="AB98" s="163">
        <f>MONTH(O98)</f>
        <v/>
      </c>
      <c r="AC98" s="654">
        <f>YEAR(O98)</f>
        <v/>
      </c>
      <c r="AD98" s="654">
        <f>AB98&amp;"-"&amp;AC98&amp;"-"&amp;C98</f>
        <v/>
      </c>
      <c r="AE98" s="654">
        <f>C98</f>
        <v/>
      </c>
      <c r="AF98" s="685">
        <f>MATCH(AE98,ALLM!$C$34:$C$43,)</f>
        <v/>
      </c>
      <c r="AH98" s="163">
        <f>IF(C98="2333",IF(X98=2,1,0),0)</f>
        <v/>
      </c>
      <c r="AI98" s="163">
        <f>IF(C98="2333",IF(X98=1,1,0),0)</f>
        <v/>
      </c>
    </row>
    <row r="99" ht="13.5" customHeight="1" s="671">
      <c r="A99" s="695">
        <f>IF(B99&lt;&gt;"",INDIRECT(ADDRESS(ROW()-1,COLUMN()))+1,0)</f>
        <v/>
      </c>
      <c r="B99" s="751" t="inlineStr">
        <is>
          <t>Alibaba</t>
        </is>
      </c>
      <c r="C99" s="752" t="inlineStr">
        <is>
          <t>9988</t>
        </is>
      </c>
      <c r="D99" s="753" t="inlineStr">
        <is>
          <t>Alibaba - 15</t>
        </is>
      </c>
      <c r="E99" s="721" t="n">
        <v>250</v>
      </c>
      <c r="F99" s="755" t="inlineStr">
        <is>
          <t>/</t>
        </is>
      </c>
      <c r="G99" s="700" t="n">
        <v>500</v>
      </c>
      <c r="H99" s="756" t="inlineStr">
        <is>
          <t>112.0000</t>
        </is>
      </c>
      <c r="I99" s="756" t="inlineStr">
        <is>
          <t>152.4320</t>
        </is>
      </c>
      <c r="J99" s="756" t="inlineStr">
        <is>
          <t>106.4000</t>
        </is>
      </c>
      <c r="K99" s="757" t="n">
        <v>0</v>
      </c>
      <c r="L99" s="758">
        <f>M99-K99</f>
        <v/>
      </c>
      <c r="M99" s="758" t="n">
        <v>249</v>
      </c>
      <c r="N99" s="759" t="inlineStr">
        <is>
          <t>14-Jul-2026</t>
        </is>
      </c>
      <c r="O99" s="759" t="inlineStr">
        <is>
          <t>13-Jul-2027</t>
        </is>
      </c>
      <c r="P99" s="707" t="n"/>
      <c r="Q99" s="760">
        <f>E99*L99*X99</f>
        <v/>
      </c>
      <c r="R99" s="761">
        <f>E99*I99*L99*X99</f>
        <v/>
      </c>
      <c r="S99" s="762" t="n"/>
      <c r="T99" s="761">
        <f>E99*I99*20*X99</f>
        <v/>
      </c>
      <c r="U99" s="0" t="n">
        <v>25.7</v>
      </c>
      <c r="V99" s="280" t="n">
        <v>0</v>
      </c>
      <c r="W99" s="280" t="n">
        <v>23</v>
      </c>
      <c r="X99" s="678" t="n">
        <v>1</v>
      </c>
      <c r="Y99" s="173">
        <f>X99*V99*E99*I99</f>
        <v/>
      </c>
      <c r="Z99" s="173">
        <f>X99*W99*E99*I99</f>
        <v/>
      </c>
      <c r="AB99" s="163">
        <f>MONTH(O99)</f>
        <v/>
      </c>
      <c r="AC99" s="654">
        <f>YEAR(O99)</f>
        <v/>
      </c>
      <c r="AD99" s="654">
        <f>AB99&amp;"-"&amp;AC99&amp;"-"&amp;C99</f>
        <v/>
      </c>
      <c r="AE99" s="654">
        <f>C99</f>
        <v/>
      </c>
      <c r="AF99" s="685">
        <f>MATCH(AE99,ALLM!$C$34:$C$43,)</f>
        <v/>
      </c>
      <c r="AH99" s="163">
        <f>IF(C99="2333",IF(X99=2,1,0),0)</f>
        <v/>
      </c>
      <c r="AI99" s="163">
        <f>IF(C99="2333",IF(X99=1,1,0),0)</f>
        <v/>
      </c>
    </row>
    <row r="100" ht="13.5" customHeight="1" s="671">
      <c r="A100" s="695">
        <f>IF(B100&lt;&gt;"",INDIRECT(ADDRESS(ROW()-1,COLUMN()))+1,0)</f>
        <v/>
      </c>
      <c r="B100" s="751" t="inlineStr">
        <is>
          <t>China Molybdenum</t>
        </is>
      </c>
      <c r="C100" s="752" t="inlineStr">
        <is>
          <t>3993</t>
        </is>
      </c>
      <c r="D100" s="753" t="inlineStr">
        <is>
          <t>China Molybdenum - 16</t>
        </is>
      </c>
      <c r="E100" s="721" t="n">
        <v>1500</v>
      </c>
      <c r="F100" s="755" t="inlineStr">
        <is>
          <t>/</t>
        </is>
      </c>
      <c r="G100" s="700" t="n">
        <v>3000</v>
      </c>
      <c r="H100" s="756" t="inlineStr">
        <is>
          <t>14.8184</t>
        </is>
      </c>
      <c r="I100" s="756" t="inlineStr">
        <is>
          <t>21.5978</t>
        </is>
      </c>
      <c r="J100" s="756" t="inlineStr">
        <is>
          <t>14.0775</t>
        </is>
      </c>
      <c r="K100" s="757" t="n">
        <v>0</v>
      </c>
      <c r="L100" s="758">
        <f>M100-K100</f>
        <v/>
      </c>
      <c r="M100" s="758" t="n">
        <v>249</v>
      </c>
      <c r="N100" s="759" t="inlineStr">
        <is>
          <t>14-Jul-2026</t>
        </is>
      </c>
      <c r="O100" s="759" t="inlineStr">
        <is>
          <t>13-Jul-2027</t>
        </is>
      </c>
      <c r="P100" s="707" t="n"/>
      <c r="Q100" s="760">
        <f>E100*L100*X100</f>
        <v/>
      </c>
      <c r="R100" s="761">
        <f>E100*I100*L100*X100</f>
        <v/>
      </c>
      <c r="S100" s="762" t="n"/>
      <c r="T100" s="761">
        <f>E100*I100*20*X100</f>
        <v/>
      </c>
      <c r="U100" s="0" t="n">
        <v>25.7</v>
      </c>
      <c r="V100" s="280" t="n">
        <v>0</v>
      </c>
      <c r="W100" s="280" t="n">
        <v>23</v>
      </c>
      <c r="X100" s="678" t="n">
        <v>1</v>
      </c>
      <c r="Y100" s="173">
        <f>X100*V100*E100*I100</f>
        <v/>
      </c>
      <c r="Z100" s="173">
        <f>X100*W100*E100*I100</f>
        <v/>
      </c>
      <c r="AB100" s="163">
        <f>MONTH(O100)</f>
        <v/>
      </c>
      <c r="AC100" s="654">
        <f>YEAR(O100)</f>
        <v/>
      </c>
      <c r="AD100" s="654">
        <f>AB100&amp;"-"&amp;AC100&amp;"-"&amp;C100</f>
        <v/>
      </c>
      <c r="AE100" s="654">
        <f>C100</f>
        <v/>
      </c>
      <c r="AF100" s="685">
        <f>MATCH(AE100,ALLM!$C$34:$C$43,)</f>
        <v/>
      </c>
      <c r="AH100" s="163">
        <f>IF(C100="2333",IF(X100=2,1,0),0)</f>
        <v/>
      </c>
      <c r="AI100" s="163">
        <f>IF(C100="2333",IF(X100=1,1,0),0)</f>
        <v/>
      </c>
    </row>
    <row r="101" ht="13.5" customHeight="1" s="671">
      <c r="A101" s="695">
        <f>IF(B101&lt;&gt;"",INDIRECT(ADDRESS(ROW()-1,COLUMN()))+1,0)</f>
        <v/>
      </c>
      <c r="B101" s="751" t="inlineStr">
        <is>
          <t>Kuaishou Tech</t>
        </is>
      </c>
      <c r="C101" s="752" t="inlineStr">
        <is>
          <t>1024</t>
        </is>
      </c>
      <c r="D101" s="753" t="inlineStr">
        <is>
          <t>Kuaishou Tech - 11</t>
        </is>
      </c>
      <c r="E101" s="721" t="n">
        <v>200</v>
      </c>
      <c r="F101" s="755" t="inlineStr">
        <is>
          <t>/</t>
        </is>
      </c>
      <c r="G101" s="700" t="n">
        <v>400</v>
      </c>
      <c r="H101" s="756" t="inlineStr">
        <is>
          <t>45.2200</t>
        </is>
      </c>
      <c r="I101" s="756" t="inlineStr">
        <is>
          <t>64.6646</t>
        </is>
      </c>
      <c r="J101" s="756" t="inlineStr">
        <is>
          <t>42.0546</t>
        </is>
      </c>
      <c r="K101" s="757" t="n">
        <v>0</v>
      </c>
      <c r="L101" s="758">
        <f>M101-K101</f>
        <v/>
      </c>
      <c r="M101" s="758" t="n">
        <v>249</v>
      </c>
      <c r="N101" s="759" t="inlineStr">
        <is>
          <t>16-Jul-2026</t>
        </is>
      </c>
      <c r="O101" s="759" t="inlineStr">
        <is>
          <t>15-Jul-2027</t>
        </is>
      </c>
      <c r="P101" s="707" t="n"/>
      <c r="Q101" s="760">
        <f>E101*L101*X101</f>
        <v/>
      </c>
      <c r="R101" s="761">
        <f>E101*I101*L101*X101</f>
        <v/>
      </c>
      <c r="S101" s="762" t="n"/>
      <c r="T101" s="761">
        <f>E101*I101*20*X101</f>
        <v/>
      </c>
      <c r="U101" s="0" t="n">
        <v>25.7</v>
      </c>
      <c r="V101" s="280" t="n">
        <v>0</v>
      </c>
      <c r="W101" s="280" t="n">
        <v>23</v>
      </c>
      <c r="X101" s="678" t="n">
        <v>1</v>
      </c>
      <c r="Y101" s="173">
        <f>X101*V101*E101*I101</f>
        <v/>
      </c>
      <c r="Z101" s="173">
        <f>X101*W101*E101*I101</f>
        <v/>
      </c>
      <c r="AB101" s="163">
        <f>MONTH(O101)</f>
        <v/>
      </c>
      <c r="AC101" s="654">
        <f>YEAR(O101)</f>
        <v/>
      </c>
      <c r="AD101" s="654">
        <f>AB101&amp;"-"&amp;AC101&amp;"-"&amp;C101</f>
        <v/>
      </c>
      <c r="AE101" s="654">
        <f>C101</f>
        <v/>
      </c>
      <c r="AF101" s="685">
        <f>MATCH(AE101,ALLM!$C$34:$C$43,)</f>
        <v/>
      </c>
      <c r="AH101" s="163">
        <f>IF(C101="2333",IF(X101=2,1,0),0)</f>
        <v/>
      </c>
      <c r="AI101" s="163">
        <f>IF(C101="2333",IF(X101=1,1,0),0)</f>
        <v/>
      </c>
    </row>
    <row r="102" ht="13.5" customHeight="1" s="671">
      <c r="A102" s="695">
        <f>IF(B102&lt;&gt;"",INDIRECT(ADDRESS(ROW()-1,COLUMN()))+1,0)</f>
        <v/>
      </c>
      <c r="B102" s="751" t="inlineStr">
        <is>
          <t>Alibaba</t>
        </is>
      </c>
      <c r="C102" s="752" t="inlineStr">
        <is>
          <t>9988</t>
        </is>
      </c>
      <c r="D102" s="753" t="inlineStr">
        <is>
          <t>Alibaba - 16</t>
        </is>
      </c>
      <c r="E102" s="721" t="n">
        <v>100</v>
      </c>
      <c r="F102" s="755" t="inlineStr">
        <is>
          <t>/</t>
        </is>
      </c>
      <c r="G102" s="700" t="n">
        <v>200</v>
      </c>
      <c r="H102" s="756" t="inlineStr">
        <is>
          <t>112.1000</t>
        </is>
      </c>
      <c r="I102" s="756" t="inlineStr">
        <is>
          <t>151.4471</t>
        </is>
      </c>
      <c r="J102" s="756" t="inlineStr">
        <is>
          <t>106.4950</t>
        </is>
      </c>
      <c r="K102" s="757" t="n">
        <v>0</v>
      </c>
      <c r="L102" s="758">
        <f>M102-K102</f>
        <v/>
      </c>
      <c r="M102" s="758" t="n">
        <v>249</v>
      </c>
      <c r="N102" s="759" t="inlineStr">
        <is>
          <t>18-Jul-2026</t>
        </is>
      </c>
      <c r="O102" s="759" t="inlineStr">
        <is>
          <t>19-Jul-2027</t>
        </is>
      </c>
      <c r="P102" s="707" t="n"/>
      <c r="Q102" s="760">
        <f>E102*L102*X102</f>
        <v/>
      </c>
      <c r="R102" s="761">
        <f>E102*I102*L102*X102</f>
        <v/>
      </c>
      <c r="S102" s="762" t="n"/>
      <c r="T102" s="761">
        <f>E102*I102*20*X102</f>
        <v/>
      </c>
      <c r="U102" s="0" t="n">
        <v>25.7</v>
      </c>
      <c r="V102" s="280" t="n">
        <v>0</v>
      </c>
      <c r="W102" s="280" t="n">
        <v>21</v>
      </c>
      <c r="X102" s="678" t="n">
        <v>1</v>
      </c>
      <c r="Y102" s="173">
        <f>X102*V102*E102*I102</f>
        <v/>
      </c>
      <c r="Z102" s="173">
        <f>X102*W102*E102*I102</f>
        <v/>
      </c>
      <c r="AB102" s="163">
        <f>MONTH(O102)</f>
        <v/>
      </c>
      <c r="AC102" s="654">
        <f>YEAR(O102)</f>
        <v/>
      </c>
      <c r="AD102" s="654">
        <f>AB102&amp;"-"&amp;AC102&amp;"-"&amp;C102</f>
        <v/>
      </c>
      <c r="AE102" s="654">
        <f>C102</f>
        <v/>
      </c>
      <c r="AF102" s="685">
        <f>MATCH(AE102,ALLM!$C$34:$C$43,)</f>
        <v/>
      </c>
      <c r="AH102" s="163">
        <f>IF(C102="2333",IF(X102=2,1,0),0)</f>
        <v/>
      </c>
      <c r="AI102" s="163">
        <f>IF(C102="2333",IF(X102=1,1,0),0)</f>
        <v/>
      </c>
    </row>
    <row r="103" ht="13.5" customHeight="1" s="671">
      <c r="A103" s="695">
        <f>IF(B103&lt;&gt;"",INDIRECT(ADDRESS(ROW()-1,COLUMN()))+1,0)</f>
        <v/>
      </c>
      <c r="B103" s="751" t="inlineStr">
        <is>
          <t>Geely Motor</t>
        </is>
      </c>
      <c r="C103" s="752" t="inlineStr">
        <is>
          <t>0175</t>
        </is>
      </c>
      <c r="D103" s="753" t="inlineStr">
        <is>
          <t>Geely Motor - 9</t>
        </is>
      </c>
      <c r="E103" s="721" t="n">
        <v>700</v>
      </c>
      <c r="F103" s="755" t="inlineStr">
        <is>
          <t>/</t>
        </is>
      </c>
      <c r="G103" s="700" t="n">
        <v>1400</v>
      </c>
      <c r="H103" s="756" t="inlineStr">
        <is>
          <t>18.3500</t>
        </is>
      </c>
      <c r="I103" s="756" t="inlineStr">
        <is>
          <t>24.2881</t>
        </is>
      </c>
      <c r="J103" s="756" t="inlineStr">
        <is>
          <t>17.0655</t>
        </is>
      </c>
      <c r="K103" s="757" t="n">
        <v>0</v>
      </c>
      <c r="L103" s="758">
        <f>M103-K103</f>
        <v/>
      </c>
      <c r="M103" s="758" t="n">
        <v>249</v>
      </c>
      <c r="N103" s="759" t="inlineStr">
        <is>
          <t>18-Jul-2026</t>
        </is>
      </c>
      <c r="O103" s="759" t="inlineStr">
        <is>
          <t>19-Jul-2027</t>
        </is>
      </c>
      <c r="P103" s="707" t="n"/>
      <c r="Q103" s="760">
        <f>E103*L103*X103</f>
        <v/>
      </c>
      <c r="R103" s="761">
        <f>E103*I103*L103*X103</f>
        <v/>
      </c>
      <c r="S103" s="762" t="n"/>
      <c r="T103" s="761">
        <f>E103*I103*20*X103</f>
        <v/>
      </c>
      <c r="U103" s="0" t="n">
        <v>25.7</v>
      </c>
      <c r="V103" s="280" t="n">
        <v>0</v>
      </c>
      <c r="W103" s="280" t="n">
        <v>21</v>
      </c>
      <c r="X103" s="678" t="n">
        <v>1</v>
      </c>
      <c r="Y103" s="173">
        <f>X103*V103*E103*I103</f>
        <v/>
      </c>
      <c r="Z103" s="173">
        <f>X103*W103*E103*I103</f>
        <v/>
      </c>
      <c r="AB103" s="163">
        <f>MONTH(O103)</f>
        <v/>
      </c>
      <c r="AC103" s="654">
        <f>YEAR(O103)</f>
        <v/>
      </c>
      <c r="AD103" s="654">
        <f>AB103&amp;"-"&amp;AC103&amp;"-"&amp;C103</f>
        <v/>
      </c>
      <c r="AE103" s="654">
        <f>C103</f>
        <v/>
      </c>
      <c r="AF103" s="685">
        <f>MATCH(AE103,ALLM!$C$34:$C$43,)</f>
        <v/>
      </c>
      <c r="AH103" s="163">
        <f>IF(C103="2333",IF(X103=2,1,0),0)</f>
        <v/>
      </c>
      <c r="AI103" s="163">
        <f>IF(C103="2333",IF(X103=1,1,0),0)</f>
        <v/>
      </c>
    </row>
    <row r="104" ht="13.5" customHeight="1" s="671">
      <c r="A104" s="695">
        <f>IF(B104&lt;&gt;"",INDIRECT(ADDRESS(ROW()-1,COLUMN()))+1,0)</f>
        <v/>
      </c>
      <c r="B104" s="751" t="inlineStr">
        <is>
          <t>Geely Motor</t>
        </is>
      </c>
      <c r="C104" s="752" t="inlineStr">
        <is>
          <t>0175</t>
        </is>
      </c>
      <c r="D104" s="753" t="inlineStr">
        <is>
          <t>Geely Motor - 10</t>
        </is>
      </c>
      <c r="E104" s="721" t="n">
        <v>1200</v>
      </c>
      <c r="F104" s="755" t="inlineStr">
        <is>
          <t>/</t>
        </is>
      </c>
      <c r="G104" s="700" t="n">
        <v>2400</v>
      </c>
      <c r="H104" s="756" t="inlineStr">
        <is>
          <t>19.1600</t>
        </is>
      </c>
      <c r="I104" s="756" t="inlineStr">
        <is>
          <t>25.2931</t>
        </is>
      </c>
      <c r="J104" s="756" t="inlineStr">
        <is>
          <t>17.8188</t>
        </is>
      </c>
      <c r="K104" s="757" t="n">
        <v>0</v>
      </c>
      <c r="L104" s="758">
        <f>M104-K104</f>
        <v/>
      </c>
      <c r="M104" s="758" t="n">
        <v>249</v>
      </c>
      <c r="N104" s="759" t="inlineStr">
        <is>
          <t>27-Jul-2026</t>
        </is>
      </c>
      <c r="O104" s="759" t="inlineStr">
        <is>
          <t>26-Jul-2027</t>
        </is>
      </c>
      <c r="P104" s="707" t="n"/>
      <c r="Q104" s="760">
        <f>E104*L104*X104</f>
        <v/>
      </c>
      <c r="R104" s="761">
        <f>E104*I104*L104*X104</f>
        <v/>
      </c>
      <c r="S104" s="762" t="n"/>
      <c r="T104" s="761">
        <f>E104*I104*20*X104</f>
        <v/>
      </c>
      <c r="U104" s="0" t="n">
        <v>25.7</v>
      </c>
      <c r="V104" s="280" t="n">
        <v>0</v>
      </c>
      <c r="W104" s="280" t="n">
        <v>21</v>
      </c>
      <c r="X104" s="678" t="n">
        <v>1</v>
      </c>
      <c r="Y104" s="173">
        <f>X104*V104*E104*I104</f>
        <v/>
      </c>
      <c r="Z104" s="173">
        <f>X104*W104*E104*I104</f>
        <v/>
      </c>
      <c r="AB104" s="163">
        <f>MONTH(O104)</f>
        <v/>
      </c>
      <c r="AC104" s="654">
        <f>YEAR(O104)</f>
        <v/>
      </c>
      <c r="AD104" s="654">
        <f>AB104&amp;"-"&amp;AC104&amp;"-"&amp;C104</f>
        <v/>
      </c>
      <c r="AE104" s="654">
        <f>C104</f>
        <v/>
      </c>
      <c r="AF104" s="685">
        <f>MATCH(AE104,ALLM!$C$34:$C$43,)</f>
        <v/>
      </c>
      <c r="AH104" s="163">
        <f>IF(C104="2333",IF(X104=2,1,0),0)</f>
        <v/>
      </c>
      <c r="AI104" s="163">
        <f>IF(C104="2333",IF(X104=1,1,0),0)</f>
        <v/>
      </c>
    </row>
    <row r="105" ht="13.5" customHeight="1" s="671">
      <c r="A105" s="695">
        <f>IF(B105&lt;&gt;"",INDIRECT(ADDRESS(ROW()-1,COLUMN()))+1,0)</f>
        <v/>
      </c>
      <c r="B105" s="751" t="inlineStr">
        <is>
          <t>China Molybdenum</t>
        </is>
      </c>
      <c r="C105" s="752" t="inlineStr">
        <is>
          <t>3993</t>
        </is>
      </c>
      <c r="D105" s="753" t="inlineStr">
        <is>
          <t>China Molybdenum - 17</t>
        </is>
      </c>
      <c r="E105" s="721" t="n">
        <v>650</v>
      </c>
      <c r="F105" s="755" t="inlineStr">
        <is>
          <t>/</t>
        </is>
      </c>
      <c r="G105" s="700" t="n">
        <v>1300</v>
      </c>
      <c r="H105" s="756" t="inlineStr">
        <is>
          <t>16.3700</t>
        </is>
      </c>
      <c r="I105" s="756" t="inlineStr">
        <is>
          <t>23.5008</t>
        </is>
      </c>
      <c r="J105" s="756" t="inlineStr">
        <is>
          <t>15.2241</t>
        </is>
      </c>
      <c r="K105" s="757" t="n">
        <v>0</v>
      </c>
      <c r="L105" s="758">
        <f>M105-K105</f>
        <v/>
      </c>
      <c r="M105" s="758" t="n">
        <v>249</v>
      </c>
      <c r="N105" s="759" t="inlineStr">
        <is>
          <t>30-Jul-2026</t>
        </is>
      </c>
      <c r="O105" s="759" t="inlineStr">
        <is>
          <t>29-Jul-2027</t>
        </is>
      </c>
      <c r="P105" s="707" t="n"/>
      <c r="Q105" s="760">
        <f>E105*L105*X105</f>
        <v/>
      </c>
      <c r="R105" s="761">
        <f>E105*I105*L105*X105</f>
        <v/>
      </c>
      <c r="S105" s="762" t="n"/>
      <c r="T105" s="761">
        <f>E105*I105*20*X105</f>
        <v/>
      </c>
      <c r="U105" s="0" t="n">
        <v>25.7</v>
      </c>
      <c r="V105" s="280" t="n">
        <v>0</v>
      </c>
      <c r="W105" s="280" t="n">
        <v>0</v>
      </c>
      <c r="X105" s="678" t="n">
        <v>1</v>
      </c>
      <c r="Y105" s="173">
        <f>X105*V105*E105*I105</f>
        <v/>
      </c>
      <c r="Z105" s="173">
        <f>X105*W105*E105*I105</f>
        <v/>
      </c>
      <c r="AB105" s="163">
        <f>MONTH(O105)</f>
        <v/>
      </c>
      <c r="AC105" s="654">
        <f>YEAR(O105)</f>
        <v/>
      </c>
      <c r="AD105" s="654">
        <f>AB105&amp;"-"&amp;AC105&amp;"-"&amp;C105</f>
        <v/>
      </c>
      <c r="AE105" s="654">
        <f>C105</f>
        <v/>
      </c>
      <c r="AF105" s="685">
        <f>MATCH(AE105,ALLM!$C$34:$C$43,)</f>
        <v/>
      </c>
      <c r="AH105" s="163">
        <f>IF(C105="2333",IF(X105=2,1,0),0)</f>
        <v/>
      </c>
      <c r="AI105" s="163">
        <f>IF(C105="2333",IF(X105=1,1,0),0)</f>
        <v/>
      </c>
    </row>
    <row r="106" ht="13.5" customHeight="1" s="671">
      <c r="A106" s="695">
        <f>IF(B106&lt;&gt;"",INDIRECT(ADDRESS(ROW()-1,COLUMN()))+1,0)</f>
        <v/>
      </c>
      <c r="B106" s="751" t="inlineStr">
        <is>
          <t>China Molybdenum</t>
        </is>
      </c>
      <c r="C106" s="752" t="inlineStr">
        <is>
          <t>3993</t>
        </is>
      </c>
      <c r="D106" s="753" t="inlineStr">
        <is>
          <t>China Molybdenum - 18</t>
        </is>
      </c>
      <c r="E106" s="721" t="n">
        <v>1500</v>
      </c>
      <c r="F106" s="755" t="inlineStr">
        <is>
          <t>/</t>
        </is>
      </c>
      <c r="G106" s="700" t="n">
        <v>3000</v>
      </c>
      <c r="H106" s="756" t="inlineStr">
        <is>
          <t>16.6600</t>
        </is>
      </c>
      <c r="I106" s="756" t="inlineStr">
        <is>
          <t>22.2461</t>
        </is>
      </c>
      <c r="J106" s="756" t="inlineStr">
        <is>
          <t>15.4938</t>
        </is>
      </c>
      <c r="K106" s="757" t="n">
        <v>0</v>
      </c>
      <c r="L106" s="758">
        <f>M106-K106</f>
        <v/>
      </c>
      <c r="M106" s="758" t="n">
        <v>186</v>
      </c>
      <c r="N106" s="759" t="inlineStr">
        <is>
          <t>3-Aug-2026</t>
        </is>
      </c>
      <c r="O106" s="759" t="inlineStr">
        <is>
          <t>30-Apr-2027</t>
        </is>
      </c>
      <c r="P106" s="707" t="n"/>
      <c r="Q106" s="760">
        <f>E106*L106*X106</f>
        <v/>
      </c>
      <c r="R106" s="761">
        <f>E106*I106*L106*X106</f>
        <v/>
      </c>
      <c r="S106" s="762" t="n"/>
      <c r="T106" s="761">
        <f>E106*I106*20*X106</f>
        <v/>
      </c>
      <c r="U106" s="0" t="n">
        <v>25.7</v>
      </c>
      <c r="V106" s="280" t="n">
        <v>0</v>
      </c>
      <c r="W106" s="280" t="n">
        <v>0</v>
      </c>
      <c r="X106" s="678" t="n">
        <v>1</v>
      </c>
      <c r="Y106" s="173">
        <f>X106*V106*E106*I106</f>
        <v/>
      </c>
      <c r="Z106" s="173">
        <f>X106*W106*E106*I106</f>
        <v/>
      </c>
      <c r="AB106" s="163">
        <f>MONTH(O106)</f>
        <v/>
      </c>
      <c r="AC106" s="654">
        <f>YEAR(O106)</f>
        <v/>
      </c>
      <c r="AD106" s="654">
        <f>AB106&amp;"-"&amp;AC106&amp;"-"&amp;C106</f>
        <v/>
      </c>
      <c r="AE106" s="654">
        <f>C106</f>
        <v/>
      </c>
      <c r="AF106" s="685">
        <f>MATCH(AE106,ALLM!$C$34:$C$43,)</f>
        <v/>
      </c>
      <c r="AH106" s="163">
        <f>IF(C106="2333",IF(X106=2,1,0),0)</f>
        <v/>
      </c>
      <c r="AI106" s="163">
        <f>IF(C106="2333",IF(X106=1,1,0),0)</f>
        <v/>
      </c>
    </row>
    <row r="107" ht="6.75" customHeight="1" s="671">
      <c r="A107" s="147" t="n"/>
    </row>
    <row r="108" ht="12.75" customHeight="1" s="671">
      <c r="L108" s="71" t="n"/>
      <c r="N108" s="453" t="n"/>
      <c r="O108" s="477" t="inlineStr">
        <is>
          <t>Sun Hung Kai Account no. 2 Total</t>
        </is>
      </c>
      <c r="P108" s="453" t="n"/>
      <c r="Q108" s="663">
        <f>SUM(Q91:Q107)</f>
        <v/>
      </c>
      <c r="R108" s="745">
        <f>SUM(R91:R107)</f>
        <v/>
      </c>
      <c r="S108" s="453" t="n"/>
      <c r="T108" s="745">
        <f>SUM(T91:T107)</f>
        <v/>
      </c>
    </row>
    <row r="109">
      <c r="Q109" s="656" t="inlineStr">
        <is>
          <t>Shares</t>
        </is>
      </c>
      <c r="R109" s="656" t="inlineStr">
        <is>
          <t>HKD</t>
        </is>
      </c>
      <c r="S109" s="656" t="n"/>
      <c r="T109" s="656" t="inlineStr">
        <is>
          <t>HKD</t>
        </is>
      </c>
    </row>
    <row r="110">
      <c r="Q110" s="656" t="n"/>
      <c r="R110" s="656" t="n"/>
      <c r="S110" s="656" t="n"/>
      <c r="T110" s="656" t="n"/>
    </row>
    <row r="111" hidden="1" ht="15.75" customHeight="1" s="671">
      <c r="A111" s="76" t="inlineStr">
        <is>
          <t>Morgan Stanley    (Titan 2)</t>
        </is>
      </c>
      <c r="B111" s="75" t="n"/>
      <c r="C111" s="447" t="n"/>
      <c r="D111" s="447" t="n"/>
      <c r="E111" s="681" t="n"/>
      <c r="F111" s="681" t="n"/>
      <c r="G111" s="681" t="n"/>
      <c r="H111" s="285" t="n"/>
      <c r="I111" s="285" t="n"/>
      <c r="J111" s="286" t="n"/>
      <c r="K111" s="74" t="n"/>
      <c r="L111" s="74" t="n"/>
      <c r="M111" s="74" t="n"/>
      <c r="N111" s="445" t="n"/>
      <c r="O111" s="445" t="n"/>
      <c r="P111" s="445" t="n"/>
      <c r="Q111" s="445" t="n"/>
      <c r="R111" s="445" t="n"/>
    </row>
    <row r="112" hidden="1" ht="16.5" customHeight="1" s="671">
      <c r="B112" s="640" t="inlineStr">
        <is>
          <t>DECUMULATOR</t>
        </is>
      </c>
      <c r="C112" s="631" t="inlineStr">
        <is>
          <t>CODE</t>
        </is>
      </c>
      <c r="D112" s="631" t="n"/>
      <c r="E112" s="624" t="inlineStr">
        <is>
          <t>SHARES / DAY</t>
        </is>
      </c>
      <c r="F112" s="625" t="n"/>
      <c r="G112" s="626" t="n"/>
      <c r="H112" s="633" t="inlineStr">
        <is>
          <t>SPOT PRICE</t>
        </is>
      </c>
      <c r="I112" s="633" t="inlineStr">
        <is>
          <t>STRIKE PRICE</t>
        </is>
      </c>
      <c r="J112" s="633" t="inlineStr">
        <is>
          <t>K/O PRICE</t>
        </is>
      </c>
      <c r="K112" s="653" t="inlineStr">
        <is>
          <t>LIFE TERM OF CONTRACT</t>
        </is>
      </c>
      <c r="L112" s="638" t="n"/>
      <c r="M112" s="639" t="n"/>
      <c r="N112" s="622" t="inlineStr">
        <is>
          <t>START DATE</t>
        </is>
      </c>
      <c r="O112" s="622" t="inlineStr">
        <is>
          <t>END DATE</t>
        </is>
      </c>
      <c r="P112" s="682" t="n"/>
      <c r="Q112" s="632" t="inlineStr">
        <is>
          <t>Estimated  Shares to sell</t>
        </is>
      </c>
      <c r="R112" s="683" t="inlineStr">
        <is>
          <t>Estimated Amount</t>
        </is>
      </c>
      <c r="S112" s="682" t="n"/>
      <c r="T112" s="683" t="inlineStr">
        <is>
          <t>Estimated Amount per month</t>
        </is>
      </c>
      <c r="Y112" s="173" t="inlineStr">
        <is>
          <t>july</t>
        </is>
      </c>
      <c r="Z112" s="173" t="inlineStr">
        <is>
          <t>aug</t>
        </is>
      </c>
    </row>
    <row r="113" hidden="1" ht="22.5" customHeight="1" s="671">
      <c r="A113" s="77" t="n"/>
      <c r="B113" s="623" t="n"/>
      <c r="C113" s="623" t="n"/>
      <c r="D113" s="390" t="inlineStr">
        <is>
          <t>MST2</t>
        </is>
      </c>
      <c r="E113" s="627" t="n"/>
      <c r="F113" s="628" t="n"/>
      <c r="G113" s="629" t="n"/>
      <c r="H113" s="623" t="n"/>
      <c r="I113" s="623" t="n"/>
      <c r="J113" s="623" t="n"/>
      <c r="K113" s="637" t="inlineStr">
        <is>
          <t>RCVD DAYS</t>
        </is>
      </c>
      <c r="L113" s="637" t="inlineStr">
        <is>
          <t>REM DAYS</t>
        </is>
      </c>
      <c r="M113" s="637" t="inlineStr">
        <is>
          <t>Total DAYS</t>
        </is>
      </c>
      <c r="N113" s="623" t="n"/>
      <c r="O113" s="623" t="n"/>
      <c r="P113" s="682" t="n"/>
      <c r="Q113" s="623" t="n"/>
      <c r="R113" s="623" t="n"/>
      <c r="S113" s="682" t="n"/>
      <c r="T113" s="623" t="n"/>
      <c r="Y113" s="173" t="inlineStr">
        <is>
          <t>hkd</t>
        </is>
      </c>
      <c r="Z113" s="173" t="inlineStr">
        <is>
          <t>hkd</t>
        </is>
      </c>
    </row>
    <row r="114" hidden="1" s="671">
      <c r="A114" s="554">
        <f>IF(B114&lt;&gt;"",INDIRECT(ADDRESS(ROW()-1,COLUMN()))+1,0)</f>
        <v/>
      </c>
      <c r="B114" s="555" t="n"/>
      <c r="C114" s="556" t="n"/>
      <c r="D114" s="557" t="n"/>
      <c r="E114" s="558" t="n"/>
      <c r="F114" s="568" t="n"/>
      <c r="G114" s="565" t="n"/>
      <c r="H114" s="566" t="n"/>
      <c r="I114" s="567" t="n"/>
      <c r="J114" s="566" t="n"/>
      <c r="K114" s="559" t="n"/>
      <c r="L114" s="560" t="n"/>
      <c r="M114" s="560" t="n"/>
      <c r="N114" s="561" t="n"/>
      <c r="O114" s="561" t="n"/>
      <c r="P114" s="770" t="n"/>
      <c r="Q114" s="562">
        <f>E114*L114*X114</f>
        <v/>
      </c>
      <c r="R114" s="771">
        <f>E114*I114*L114*X114</f>
        <v/>
      </c>
      <c r="S114" s="770" t="n"/>
      <c r="T114" s="771">
        <f>E114*I114*20*X114</f>
        <v/>
      </c>
      <c r="U114" s="0" t="n">
        <v>25.7</v>
      </c>
      <c r="V114" s="304" t="n">
        <v>20</v>
      </c>
      <c r="W114" s="304" t="n">
        <v>20</v>
      </c>
      <c r="X114" s="678" t="n">
        <v>2</v>
      </c>
      <c r="Y114" s="173">
        <f>X114*V114*E114*I114</f>
        <v/>
      </c>
      <c r="Z114" s="173">
        <f>X114*W114*E114*I114</f>
        <v/>
      </c>
      <c r="AB114" s="163">
        <f>MONTH(O114)</f>
        <v/>
      </c>
      <c r="AC114" s="654">
        <f>YEAR(O114)</f>
        <v/>
      </c>
      <c r="AD114" s="654">
        <f>AB114&amp;"-"&amp;AC114&amp;"-"&amp;C114</f>
        <v/>
      </c>
      <c r="AE114" s="654">
        <f>C114</f>
        <v/>
      </c>
      <c r="AF114" s="685">
        <f>MATCH(AE114,ALLM!$C$34:$C$43,)</f>
        <v/>
      </c>
      <c r="AH114" s="163">
        <f>IF(C114="2333",IF(X114=2,1,0),0)</f>
        <v/>
      </c>
      <c r="AI114" s="163">
        <f>IF(C114="2333",IF(X114=1,1,0),0)</f>
        <v/>
      </c>
    </row>
    <row r="115" hidden="1" ht="8.25" customHeight="1" s="671">
      <c r="A115" s="147" t="n"/>
      <c r="V115" s="280" t="n"/>
      <c r="W115" s="280" t="n"/>
    </row>
    <row r="116" hidden="1" s="671">
      <c r="L116" s="71" t="n"/>
      <c r="N116" s="453" t="n"/>
      <c r="O116" s="453" t="inlineStr">
        <is>
          <t>Total</t>
        </is>
      </c>
      <c r="P116" s="453" t="n"/>
      <c r="Q116" s="663">
        <f>SUM(Q113:Q115)</f>
        <v/>
      </c>
      <c r="R116" s="745">
        <f>SUM(R113:R115)</f>
        <v/>
      </c>
      <c r="S116" s="453" t="n"/>
      <c r="T116" s="745">
        <f>SUM(T113:T115)</f>
        <v/>
      </c>
    </row>
    <row r="117" hidden="1" s="671">
      <c r="A117" s="72" t="n"/>
      <c r="B117" s="448" t="n"/>
      <c r="C117" s="448" t="n"/>
      <c r="D117" s="449" t="n"/>
      <c r="E117" s="448" t="n"/>
      <c r="F117" s="448" t="n"/>
      <c r="G117" s="448" t="n"/>
      <c r="H117" s="299" t="n"/>
      <c r="I117" s="300" t="n"/>
      <c r="J117" s="299" t="n"/>
      <c r="K117" s="72" t="n"/>
      <c r="Q117" s="656" t="inlineStr">
        <is>
          <t>Shares</t>
        </is>
      </c>
      <c r="R117" s="656" t="inlineStr">
        <is>
          <t>HKD</t>
        </is>
      </c>
      <c r="S117" s="656" t="n"/>
      <c r="T117" s="656" t="inlineStr">
        <is>
          <t>HKD</t>
        </is>
      </c>
    </row>
    <row r="118" hidden="1" ht="15.75" customHeight="1" s="671">
      <c r="A118" s="76" t="inlineStr">
        <is>
          <t>Bank of Singapore</t>
        </is>
      </c>
      <c r="B118" s="75" t="n"/>
      <c r="C118" s="447" t="n"/>
      <c r="D118" s="447" t="n"/>
      <c r="E118" s="681" t="n"/>
      <c r="F118" s="681" t="n"/>
      <c r="G118" s="681" t="n"/>
      <c r="H118" s="285" t="n"/>
      <c r="I118" s="285" t="n"/>
      <c r="J118" s="286" t="n"/>
      <c r="K118" s="74" t="n"/>
      <c r="L118" s="74" t="n"/>
      <c r="M118" s="74" t="n"/>
      <c r="N118" s="445" t="n"/>
      <c r="O118" s="445" t="n"/>
      <c r="P118" s="445" t="n"/>
      <c r="Q118" s="445" t="n"/>
      <c r="R118" s="445" t="n"/>
    </row>
    <row r="119" hidden="1" ht="15" customHeight="1" s="671">
      <c r="B119" s="640" t="inlineStr">
        <is>
          <t>DECUMULATOR</t>
        </is>
      </c>
      <c r="C119" s="631" t="inlineStr">
        <is>
          <t>CODE</t>
        </is>
      </c>
      <c r="D119" s="631" t="n"/>
      <c r="E119" s="624" t="inlineStr">
        <is>
          <t>SHARES / DAY</t>
        </is>
      </c>
      <c r="F119" s="625" t="n"/>
      <c r="G119" s="626" t="n"/>
      <c r="H119" s="633" t="inlineStr">
        <is>
          <t>SPOT PRICE</t>
        </is>
      </c>
      <c r="I119" s="633" t="inlineStr">
        <is>
          <t>STRIKE PRICE</t>
        </is>
      </c>
      <c r="J119" s="633" t="inlineStr">
        <is>
          <t>K/O PRICE</t>
        </is>
      </c>
      <c r="K119" s="653" t="inlineStr">
        <is>
          <t>LIFE TERM OF CONTRACT</t>
        </is>
      </c>
      <c r="L119" s="638" t="n"/>
      <c r="M119" s="639" t="n"/>
      <c r="N119" s="622" t="inlineStr">
        <is>
          <t>START DATE</t>
        </is>
      </c>
      <c r="O119" s="622" t="inlineStr">
        <is>
          <t>END DATE</t>
        </is>
      </c>
      <c r="P119" s="682" t="n"/>
      <c r="Q119" s="632" t="inlineStr">
        <is>
          <t>Estimated  Shares to sell</t>
        </is>
      </c>
      <c r="R119" s="683" t="inlineStr">
        <is>
          <t>Estimated Amount</t>
        </is>
      </c>
      <c r="S119" s="682" t="n"/>
      <c r="T119" s="683" t="inlineStr">
        <is>
          <t>Estimated Amount per month</t>
        </is>
      </c>
      <c r="Y119" s="173" t="inlineStr">
        <is>
          <t>july</t>
        </is>
      </c>
      <c r="Z119" s="173" t="inlineStr">
        <is>
          <t>aug</t>
        </is>
      </c>
    </row>
    <row r="120" hidden="1" ht="10.5" customHeight="1" s="671">
      <c r="A120" s="77" t="n"/>
      <c r="B120" s="623" t="n"/>
      <c r="C120" s="623" t="n"/>
      <c r="D120" s="390" t="inlineStr">
        <is>
          <t>BOS</t>
        </is>
      </c>
      <c r="E120" s="627" t="n"/>
      <c r="F120" s="628" t="n"/>
      <c r="G120" s="629" t="n"/>
      <c r="H120" s="623" t="n"/>
      <c r="I120" s="623" t="n"/>
      <c r="J120" s="623" t="n"/>
      <c r="K120" s="637" t="inlineStr">
        <is>
          <t>RCVD DAYS</t>
        </is>
      </c>
      <c r="L120" s="637" t="inlineStr">
        <is>
          <t>REM DAYS</t>
        </is>
      </c>
      <c r="M120" s="637" t="inlineStr">
        <is>
          <t>Total DAYS</t>
        </is>
      </c>
      <c r="N120" s="623" t="n"/>
      <c r="O120" s="623" t="n"/>
      <c r="P120" s="682" t="n"/>
      <c r="Q120" s="623" t="n"/>
      <c r="R120" s="623" t="n"/>
      <c r="S120" s="682" t="n"/>
      <c r="T120" s="623" t="n"/>
      <c r="Y120" s="173" t="inlineStr">
        <is>
          <t>hkd</t>
        </is>
      </c>
      <c r="Z120" s="173" t="inlineStr">
        <is>
          <t>hkd</t>
        </is>
      </c>
    </row>
    <row r="121" hidden="1" s="671">
      <c r="A121" s="284">
        <f>IF(B121&lt;&gt;"",INDIRECT(ADDRESS(ROW()-1,COLUMN()))+1,0)</f>
        <v/>
      </c>
      <c r="B121" s="467" t="n"/>
      <c r="C121" s="318" t="n"/>
      <c r="D121" s="319" t="n"/>
      <c r="E121" s="320" t="n"/>
      <c r="F121" s="307" t="n"/>
      <c r="G121" s="315" t="n"/>
      <c r="H121" s="316" t="n"/>
      <c r="I121" s="317" t="n"/>
      <c r="J121" s="316" t="n"/>
      <c r="K121" s="308" t="n"/>
      <c r="L121" s="309" t="n"/>
      <c r="M121" s="309" t="n"/>
      <c r="N121" s="310" t="n"/>
      <c r="O121" s="310" t="n"/>
      <c r="P121" s="772" t="n"/>
      <c r="Q121" s="311">
        <f>E121*L121*X121</f>
        <v/>
      </c>
      <c r="R121" s="773">
        <f>E121*I121*L121*X121</f>
        <v/>
      </c>
      <c r="S121" s="772" t="n"/>
      <c r="T121" s="773">
        <f>E121*I121*20*X121</f>
        <v/>
      </c>
      <c r="U121" s="0" t="n">
        <v>11.64</v>
      </c>
      <c r="V121" s="304" t="n">
        <v>22</v>
      </c>
      <c r="W121" s="304" t="n">
        <v>42</v>
      </c>
      <c r="X121" s="678" t="n">
        <v>1</v>
      </c>
      <c r="Y121" s="173">
        <f>X121*V121*E121*I121</f>
        <v/>
      </c>
      <c r="Z121" s="173">
        <f>X121*W121*E121*I121</f>
        <v/>
      </c>
      <c r="AB121" s="163">
        <f>MONTH(O121)</f>
        <v/>
      </c>
      <c r="AC121" s="654">
        <f>YEAR(O121)</f>
        <v/>
      </c>
      <c r="AD121" s="654">
        <f>AB121&amp;"-"&amp;AC121&amp;"-"&amp;C121</f>
        <v/>
      </c>
      <c r="AE121" s="654">
        <f>C121</f>
        <v/>
      </c>
      <c r="AF121" s="685">
        <f>MATCH(AE121,ALLM!$C$34:$C$43,)</f>
        <v/>
      </c>
      <c r="AH121" s="163">
        <f>IF(C121="2333",IF(X121=2,1,0),0)</f>
        <v/>
      </c>
      <c r="AI121" s="163">
        <f>IF(C121="2333",IF(X121=1,1,0),0)</f>
        <v/>
      </c>
    </row>
    <row r="122" hidden="1" s="671">
      <c r="A122" s="147" t="n"/>
    </row>
    <row r="123" hidden="1" s="671">
      <c r="L123" s="71" t="n"/>
      <c r="N123" s="453" t="n"/>
      <c r="O123" s="453" t="inlineStr">
        <is>
          <t>Total</t>
        </is>
      </c>
      <c r="P123" s="453" t="n"/>
      <c r="Q123" s="663">
        <f>SUM(Q120:Q122)</f>
        <v/>
      </c>
      <c r="R123" s="745">
        <f>SUM(R120:R122)</f>
        <v/>
      </c>
      <c r="S123" s="453" t="n"/>
      <c r="T123" s="745">
        <f>SUM(T120:T122)</f>
        <v/>
      </c>
    </row>
    <row r="124" hidden="1" s="671">
      <c r="A124" s="72" t="n"/>
      <c r="B124" s="448" t="n"/>
      <c r="C124" s="448" t="n"/>
      <c r="D124" s="449" t="n"/>
      <c r="E124" s="448" t="n"/>
      <c r="F124" s="448" t="n"/>
      <c r="G124" s="448" t="n"/>
      <c r="H124" s="299" t="n"/>
      <c r="I124" s="300" t="n"/>
      <c r="J124" s="299" t="n"/>
      <c r="K124" s="72" t="n"/>
      <c r="Q124" s="656" t="inlineStr">
        <is>
          <t>Shares</t>
        </is>
      </c>
      <c r="R124" s="656" t="inlineStr">
        <is>
          <t>HKD</t>
        </is>
      </c>
      <c r="S124" s="656" t="n"/>
      <c r="T124" s="656" t="inlineStr">
        <is>
          <t>HKD</t>
        </is>
      </c>
    </row>
    <row r="125" ht="6" customHeight="1" s="671">
      <c r="A125" s="72" t="n"/>
      <c r="B125" s="448" t="n"/>
      <c r="C125" s="448" t="n"/>
      <c r="D125" s="449" t="n"/>
      <c r="E125" s="448" t="n"/>
      <c r="F125" s="448" t="n"/>
      <c r="G125" s="448" t="n"/>
      <c r="H125" s="299" t="n"/>
      <c r="I125" s="300" t="n"/>
      <c r="J125" s="299" t="n"/>
      <c r="K125" s="72" t="n"/>
      <c r="Q125" s="656" t="n"/>
      <c r="R125" s="656" t="n"/>
      <c r="S125" s="656" t="n"/>
      <c r="T125" s="656" t="n"/>
    </row>
    <row r="126" ht="15.75" customHeight="1" s="671">
      <c r="B126" s="444" t="n"/>
      <c r="C126" s="444" t="n"/>
      <c r="D126" s="659" t="n"/>
      <c r="E126" s="444" t="n"/>
      <c r="F126" s="444" t="n"/>
      <c r="G126" s="445" t="n"/>
      <c r="K126" s="78" t="n"/>
      <c r="L126" s="78" t="n"/>
      <c r="M126" s="41" t="n"/>
      <c r="N126" s="428" t="n"/>
      <c r="O126" s="429" t="inlineStr">
        <is>
          <t>Grand Total   (Personal)</t>
        </is>
      </c>
      <c r="P126" s="728" t="n"/>
      <c r="Q126" s="36">
        <f>SUM(Q9,Q18,Q37,Q53,Q86,Q116,Q123,Q108,Q67)</f>
        <v/>
      </c>
      <c r="R126" s="36">
        <f>SUM(R9,R18,R37,R53,R86,R116,R123,R108,R67)</f>
        <v/>
      </c>
      <c r="S126" s="728" t="n"/>
      <c r="T126" s="36">
        <f>SUM(T9,T18,T37,T53,T86,T116,T123,T108,T67)</f>
        <v/>
      </c>
    </row>
    <row r="127" ht="6.75" customHeight="1" s="671">
      <c r="B127" s="444" t="n"/>
      <c r="C127" s="444" t="n"/>
      <c r="D127" s="659" t="n"/>
      <c r="E127" s="444" t="n"/>
      <c r="F127" s="444" t="n"/>
      <c r="G127" s="445" t="n"/>
      <c r="K127" s="78" t="n"/>
      <c r="L127" s="78" t="n"/>
      <c r="M127" s="646" t="n"/>
      <c r="N127" s="642" t="n"/>
      <c r="O127" s="642" t="n"/>
      <c r="P127" s="642" t="n"/>
      <c r="Q127" s="642" t="n"/>
      <c r="R127" s="642" t="n"/>
      <c r="S127" s="642" t="n"/>
      <c r="T127" s="642" t="n"/>
    </row>
    <row r="128" ht="15.75" customHeight="1" s="671">
      <c r="B128" s="444" t="n"/>
      <c r="C128" s="444" t="n"/>
      <c r="D128" s="659" t="n"/>
      <c r="E128" s="444" t="n"/>
      <c r="F128" s="444" t="n"/>
      <c r="G128" s="445" t="n"/>
      <c r="K128" s="78" t="n"/>
      <c r="L128" s="78" t="n"/>
      <c r="M128" s="646" t="n"/>
      <c r="N128" s="642" t="n"/>
      <c r="O128" s="353" t="n"/>
      <c r="P128" s="432" t="n"/>
      <c r="Q128" s="353" t="n"/>
      <c r="R128" s="686">
        <f>R126/O161</f>
        <v/>
      </c>
      <c r="S128" s="394" t="n"/>
      <c r="T128" s="686">
        <f>T126/O161</f>
        <v/>
      </c>
    </row>
    <row r="129" ht="15.75" customHeight="1" s="671">
      <c r="B129" s="444" t="n"/>
      <c r="C129" s="444" t="n"/>
      <c r="D129" s="659" t="n"/>
      <c r="E129" s="444" t="n"/>
      <c r="F129" s="444" t="n"/>
      <c r="G129" s="445" t="n"/>
      <c r="K129" s="78" t="n"/>
      <c r="L129" s="78" t="n"/>
      <c r="M129" s="646" t="n"/>
      <c r="N129" s="642" t="n"/>
      <c r="O129" s="642" t="n"/>
      <c r="P129" s="642" t="n"/>
      <c r="Q129" s="642" t="n"/>
      <c r="R129" s="423" t="inlineStr">
        <is>
          <t>USD</t>
        </is>
      </c>
      <c r="S129" s="642" t="n"/>
      <c r="T129" s="423" t="inlineStr">
        <is>
          <t>USD</t>
        </is>
      </c>
    </row>
    <row r="130" hidden="1" ht="17.25" customHeight="1" s="671">
      <c r="A130" s="76" t="inlineStr">
        <is>
          <t>DEUTSCHE BANK (Perfect Legend)</t>
        </is>
      </c>
      <c r="K130" s="74" t="n"/>
      <c r="L130" s="74" t="n"/>
      <c r="M130" s="74" t="n"/>
      <c r="N130" s="445" t="n"/>
      <c r="O130" s="445" t="n"/>
      <c r="P130" s="445" t="n"/>
      <c r="Q130" s="445" t="n"/>
      <c r="R130" s="445" t="n"/>
      <c r="S130" s="682" t="n"/>
    </row>
    <row r="131" hidden="1" ht="11.25" customHeight="1" s="671">
      <c r="K131" s="74" t="n"/>
      <c r="L131" s="74" t="n"/>
      <c r="M131" s="74" t="n"/>
      <c r="N131" s="445" t="n"/>
      <c r="O131" s="445" t="n"/>
      <c r="P131" s="445" t="n"/>
      <c r="Q131" s="445" t="n"/>
      <c r="R131" s="445" t="n"/>
    </row>
    <row r="132" hidden="1" ht="13.5" customHeight="1" s="671">
      <c r="B132" s="640" t="inlineStr">
        <is>
          <t>DECUMULATOR</t>
        </is>
      </c>
      <c r="C132" s="631" t="inlineStr">
        <is>
          <t>CODE</t>
        </is>
      </c>
      <c r="D132" s="631" t="n"/>
      <c r="E132" s="624" t="inlineStr">
        <is>
          <t>SHARES / DAY</t>
        </is>
      </c>
      <c r="F132" s="625" t="n"/>
      <c r="G132" s="626" t="n"/>
      <c r="H132" s="633" t="inlineStr">
        <is>
          <t>SPOT PRICE</t>
        </is>
      </c>
      <c r="I132" s="633" t="inlineStr">
        <is>
          <t>STRIKE PRICE</t>
        </is>
      </c>
      <c r="J132" s="633" t="inlineStr">
        <is>
          <t>K/O PRICE</t>
        </is>
      </c>
      <c r="K132" s="653" t="inlineStr">
        <is>
          <t>LIFE TERM OF CONTRACT</t>
        </is>
      </c>
      <c r="L132" s="638" t="n"/>
      <c r="M132" s="639" t="n"/>
      <c r="N132" s="622" t="inlineStr">
        <is>
          <t>START DATE</t>
        </is>
      </c>
      <c r="O132" s="622" t="inlineStr">
        <is>
          <t>END DATE</t>
        </is>
      </c>
      <c r="P132" s="682" t="n"/>
      <c r="Q132" s="632" t="inlineStr">
        <is>
          <t>Estimated  Shares to sell</t>
        </is>
      </c>
      <c r="R132" s="683" t="inlineStr">
        <is>
          <t>Estimated Amount</t>
        </is>
      </c>
      <c r="S132" s="682" t="n"/>
      <c r="T132" s="683" t="inlineStr">
        <is>
          <t>Estimated Amount per month</t>
        </is>
      </c>
      <c r="Y132" s="173" t="inlineStr">
        <is>
          <t>july</t>
        </is>
      </c>
      <c r="Z132" s="173" t="inlineStr">
        <is>
          <t>aug</t>
        </is>
      </c>
    </row>
    <row r="133" hidden="1" ht="22.5" customHeight="1" s="671">
      <c r="A133" s="77" t="n"/>
      <c r="B133" s="623" t="n"/>
      <c r="C133" s="623" t="n"/>
      <c r="D133" s="390" t="inlineStr">
        <is>
          <t>DBPL</t>
        </is>
      </c>
      <c r="E133" s="627" t="n"/>
      <c r="F133" s="628" t="n"/>
      <c r="G133" s="629" t="n"/>
      <c r="H133" s="623" t="n"/>
      <c r="I133" s="623" t="n"/>
      <c r="J133" s="623" t="n"/>
      <c r="K133" s="637" t="inlineStr">
        <is>
          <t>RCVD DAYS</t>
        </is>
      </c>
      <c r="L133" s="637" t="inlineStr">
        <is>
          <t>REM DAYS</t>
        </is>
      </c>
      <c r="M133" s="637" t="inlineStr">
        <is>
          <t>Total DAYS</t>
        </is>
      </c>
      <c r="N133" s="623" t="n"/>
      <c r="O133" s="623" t="n"/>
      <c r="P133" s="682" t="n"/>
      <c r="Q133" s="623" t="n"/>
      <c r="R133" s="623" t="n"/>
      <c r="S133" s="682" t="n"/>
      <c r="T133" s="623" t="n"/>
      <c r="Y133" s="173" t="inlineStr">
        <is>
          <t>hkd</t>
        </is>
      </c>
      <c r="Z133" s="173" t="inlineStr">
        <is>
          <t>hkd</t>
        </is>
      </c>
    </row>
    <row r="134" hidden="1" s="671">
      <c r="A134" s="284">
        <f>IF(B134&lt;&gt;"",INDIRECT(ADDRESS(ROW()-1,COLUMN()))+1,0)</f>
        <v/>
      </c>
      <c r="B134" s="467" t="n"/>
      <c r="C134" s="318" t="n"/>
      <c r="D134" s="319" t="n"/>
      <c r="E134" s="321" t="n"/>
      <c r="F134" s="307" t="n"/>
      <c r="G134" s="315" t="n"/>
      <c r="H134" s="316" t="n"/>
      <c r="I134" s="317" t="n"/>
      <c r="J134" s="316" t="n"/>
      <c r="K134" s="308" t="n"/>
      <c r="L134" s="309" t="n"/>
      <c r="M134" s="309" t="n"/>
      <c r="N134" s="310" t="n"/>
      <c r="O134" s="310" t="n"/>
      <c r="P134" s="772" t="n"/>
      <c r="Q134" s="311">
        <f>E134*L134*X134</f>
        <v/>
      </c>
      <c r="R134" s="773">
        <f>E134*I134*L134*X134</f>
        <v/>
      </c>
      <c r="S134" s="772" t="n"/>
      <c r="T134" s="773">
        <f>E134*I134*20*X134</f>
        <v/>
      </c>
      <c r="U134" s="0" t="n">
        <v>3.08</v>
      </c>
      <c r="V134" s="280" t="n">
        <v>20</v>
      </c>
      <c r="W134" s="280" t="n">
        <v>38</v>
      </c>
      <c r="X134" s="678" t="n">
        <v>1</v>
      </c>
      <c r="Y134" s="173">
        <f>X134*V134*E134*I134</f>
        <v/>
      </c>
      <c r="Z134" s="173">
        <f>X134*W134*E134*I134</f>
        <v/>
      </c>
      <c r="AB134" s="163">
        <f>MONTH(O134)</f>
        <v/>
      </c>
      <c r="AC134" s="654">
        <f>YEAR(O134)</f>
        <v/>
      </c>
      <c r="AD134" s="654">
        <f>AB134&amp;"-"&amp;AC134&amp;"-"&amp;C134</f>
        <v/>
      </c>
      <c r="AE134" s="654">
        <f>C134</f>
        <v/>
      </c>
      <c r="AF134" s="685">
        <f>MATCH(AE134,ALLM!$C$34:$C$43,)</f>
        <v/>
      </c>
      <c r="AH134" s="163">
        <f>IF(C134="2333",IF(X134=2,1,0),0)</f>
        <v/>
      </c>
      <c r="AI134" s="163">
        <f>IF(C134="2333",IF(X134=1,1,0),0)</f>
        <v/>
      </c>
    </row>
    <row r="135" hidden="1" s="671"/>
    <row r="136" hidden="1" s="671">
      <c r="L136" s="71" t="n"/>
      <c r="N136" s="453" t="n"/>
      <c r="O136" s="453" t="inlineStr">
        <is>
          <t>Total</t>
        </is>
      </c>
      <c r="P136" s="453" t="n"/>
      <c r="Q136" s="663">
        <f>SUM(Q133:Q135)</f>
        <v/>
      </c>
      <c r="R136" s="745">
        <f>SUM(R133:R135)</f>
        <v/>
      </c>
      <c r="S136" s="453" t="n"/>
      <c r="T136" s="745">
        <f>SUM(T133:T135)</f>
        <v/>
      </c>
    </row>
    <row r="137" hidden="1" s="671">
      <c r="Q137" s="656" t="inlineStr">
        <is>
          <t>Shares</t>
        </is>
      </c>
      <c r="R137" s="656" t="inlineStr">
        <is>
          <t>HKD</t>
        </is>
      </c>
      <c r="S137" s="656" t="n"/>
      <c r="T137" s="656" t="inlineStr">
        <is>
          <t>HKD</t>
        </is>
      </c>
    </row>
    <row r="138" hidden="1" ht="15.75" customHeight="1" s="671">
      <c r="A138" s="76" t="inlineStr">
        <is>
          <t>Morgan Stanley    (Titan w/ Lucio)</t>
        </is>
      </c>
      <c r="B138" s="75" t="n"/>
      <c r="C138" s="447" t="n"/>
      <c r="D138" s="447" t="n"/>
      <c r="E138" s="681" t="n"/>
      <c r="F138" s="681" t="n"/>
      <c r="G138" s="681" t="n"/>
      <c r="H138" s="285" t="n"/>
      <c r="I138" s="285" t="n"/>
      <c r="J138" s="286" t="n"/>
      <c r="K138" s="74" t="n"/>
      <c r="L138" s="74" t="n"/>
      <c r="M138" s="74" t="n"/>
      <c r="N138" s="445" t="n"/>
      <c r="O138" s="445" t="n"/>
      <c r="P138" s="445" t="n"/>
      <c r="Q138" s="445" t="n"/>
      <c r="R138" s="445" t="n"/>
    </row>
    <row r="139" hidden="1" ht="9.75" customHeight="1" s="671">
      <c r="A139" s="72" t="n"/>
      <c r="B139" s="448" t="n"/>
      <c r="C139" s="448" t="n"/>
      <c r="D139" s="449" t="n"/>
      <c r="E139" s="448" t="n"/>
      <c r="F139" s="448" t="n"/>
      <c r="G139" s="448" t="n"/>
      <c r="H139" s="299" t="n"/>
      <c r="I139" s="300" t="n"/>
      <c r="J139" s="299" t="n"/>
      <c r="K139" s="74" t="n"/>
      <c r="L139" s="74" t="n"/>
      <c r="M139" s="74" t="n"/>
      <c r="N139" s="445" t="n"/>
      <c r="O139" s="445" t="n"/>
      <c r="P139" s="445" t="n"/>
      <c r="Q139" s="445" t="n"/>
      <c r="R139" s="445" t="n"/>
    </row>
    <row r="140" hidden="1" ht="13.5" customHeight="1" s="671">
      <c r="B140" s="640" t="inlineStr">
        <is>
          <t>DECUMULATOR</t>
        </is>
      </c>
      <c r="C140" s="631" t="inlineStr">
        <is>
          <t>CODE</t>
        </is>
      </c>
      <c r="D140" s="631" t="n"/>
      <c r="E140" s="624" t="inlineStr">
        <is>
          <t>SHARES / DAY</t>
        </is>
      </c>
      <c r="F140" s="625" t="n"/>
      <c r="G140" s="626" t="n"/>
      <c r="H140" s="633" t="inlineStr">
        <is>
          <t>SPOT PRICE</t>
        </is>
      </c>
      <c r="I140" s="633" t="inlineStr">
        <is>
          <t>STRIKE PRICE</t>
        </is>
      </c>
      <c r="J140" s="633" t="inlineStr">
        <is>
          <t>K/O PRICE</t>
        </is>
      </c>
      <c r="K140" s="653" t="inlineStr">
        <is>
          <t>LIFE TERM OF CONTRACT</t>
        </is>
      </c>
      <c r="L140" s="638" t="n"/>
      <c r="M140" s="639" t="n"/>
      <c r="N140" s="622" t="inlineStr">
        <is>
          <t>START DATE</t>
        </is>
      </c>
      <c r="O140" s="622" t="inlineStr">
        <is>
          <t>END DATE</t>
        </is>
      </c>
      <c r="P140" s="682" t="n"/>
      <c r="Q140" s="632" t="inlineStr">
        <is>
          <t>Estimated  Shares to sell</t>
        </is>
      </c>
      <c r="R140" s="683" t="inlineStr">
        <is>
          <t>Estimated Amount</t>
        </is>
      </c>
      <c r="S140" s="682" t="n"/>
      <c r="T140" s="683" t="inlineStr">
        <is>
          <t>Estimated Amount per month</t>
        </is>
      </c>
      <c r="Y140" s="173" t="inlineStr">
        <is>
          <t>july</t>
        </is>
      </c>
      <c r="Z140" s="173" t="inlineStr">
        <is>
          <t>aug</t>
        </is>
      </c>
    </row>
    <row r="141" hidden="1" ht="22.5" customHeight="1" s="671">
      <c r="A141" s="77" t="n"/>
      <c r="B141" s="623" t="n"/>
      <c r="C141" s="623" t="n"/>
      <c r="D141" s="390" t="inlineStr">
        <is>
          <t>MST1</t>
        </is>
      </c>
      <c r="E141" s="627" t="n"/>
      <c r="F141" s="628" t="n"/>
      <c r="G141" s="629" t="n"/>
      <c r="H141" s="623" t="n"/>
      <c r="I141" s="623" t="n"/>
      <c r="J141" s="623" t="n"/>
      <c r="K141" s="637" t="inlineStr">
        <is>
          <t>RCVD DAYS</t>
        </is>
      </c>
      <c r="L141" s="637" t="inlineStr">
        <is>
          <t>REM DAYS</t>
        </is>
      </c>
      <c r="M141" s="637" t="inlineStr">
        <is>
          <t>Total DAYS</t>
        </is>
      </c>
      <c r="N141" s="623" t="n"/>
      <c r="O141" s="623" t="n"/>
      <c r="P141" s="682" t="n"/>
      <c r="Q141" s="623" t="n"/>
      <c r="R141" s="623" t="n"/>
      <c r="S141" s="682" t="n"/>
      <c r="T141" s="623" t="n"/>
      <c r="Y141" s="173" t="inlineStr">
        <is>
          <t>hkd</t>
        </is>
      </c>
      <c r="Z141" s="173" t="inlineStr">
        <is>
          <t>hkd</t>
        </is>
      </c>
    </row>
    <row r="142" hidden="1" s="671">
      <c r="A142" s="508">
        <f>IF(B142&lt;&gt;"",INDIRECT(ADDRESS(ROW()-1,COLUMN()))+1,0)</f>
        <v/>
      </c>
      <c r="B142" s="516" t="n"/>
      <c r="C142" s="517" t="n"/>
      <c r="D142" s="518" t="n"/>
      <c r="E142" s="519" t="n"/>
      <c r="F142" s="509" t="n"/>
      <c r="G142" s="520" t="n"/>
      <c r="H142" s="521" t="n"/>
      <c r="I142" s="522" t="n"/>
      <c r="J142" s="521" t="n"/>
      <c r="K142" s="510" t="n"/>
      <c r="L142" s="511" t="n"/>
      <c r="M142" s="511" t="n"/>
      <c r="N142" s="512" t="n"/>
      <c r="O142" s="512" t="n"/>
      <c r="P142" s="774" t="n"/>
      <c r="Q142" s="513">
        <f>E142*L142*X142</f>
        <v/>
      </c>
      <c r="R142" s="775">
        <f>E142*I142*L142*X142</f>
        <v/>
      </c>
      <c r="S142" s="774" t="n"/>
      <c r="T142" s="775">
        <f>E142*I142*20*X142</f>
        <v/>
      </c>
      <c r="U142" s="0" t="n">
        <v>25.7</v>
      </c>
      <c r="V142" s="304" t="n">
        <v>0</v>
      </c>
      <c r="W142" s="304" t="n">
        <v>19</v>
      </c>
      <c r="X142" s="678" t="n">
        <v>2</v>
      </c>
      <c r="Y142" s="173">
        <f>X142*V142*E142*I142</f>
        <v/>
      </c>
      <c r="Z142" s="173">
        <f>X142*W142*E142*I142</f>
        <v/>
      </c>
      <c r="AB142" s="163">
        <f>MONTH(O142)</f>
        <v/>
      </c>
      <c r="AC142" s="654">
        <f>YEAR(O142)</f>
        <v/>
      </c>
      <c r="AD142" s="654">
        <f>AB142&amp;"-"&amp;AC142&amp;"-"&amp;C142</f>
        <v/>
      </c>
      <c r="AE142" s="654">
        <f>C142</f>
        <v/>
      </c>
      <c r="AF142" s="685">
        <f>MATCH(AE142,ALLM!$C$34:$C$43,)</f>
        <v/>
      </c>
      <c r="AH142" s="163">
        <f>IF(C142="2333",IF(X142=2,1,0),0)</f>
        <v/>
      </c>
      <c r="AI142" s="163">
        <f>IF(C142="2333",IF(X142=1,1,0),0)</f>
        <v/>
      </c>
    </row>
    <row r="143" hidden="1" ht="12" customHeight="1" s="671"/>
    <row r="144" hidden="1" s="671">
      <c r="L144" s="71" t="n"/>
      <c r="N144" s="453" t="n"/>
      <c r="O144" s="453" t="inlineStr">
        <is>
          <t>Total</t>
        </is>
      </c>
      <c r="P144" s="453" t="n"/>
      <c r="Q144" s="663">
        <f>SUM(Q141:Q143)</f>
        <v/>
      </c>
      <c r="R144" s="745">
        <f>SUM(R141:R143)</f>
        <v/>
      </c>
      <c r="S144" s="453" t="n"/>
      <c r="T144" s="745">
        <f>SUM(T141:T143)</f>
        <v/>
      </c>
    </row>
    <row r="145" hidden="1" s="671">
      <c r="A145" s="72" t="n"/>
      <c r="B145" s="448" t="n"/>
      <c r="C145" s="448" t="n"/>
      <c r="D145" s="449" t="n"/>
      <c r="E145" s="448" t="n"/>
      <c r="F145" s="448" t="n"/>
      <c r="G145" s="448" t="n"/>
      <c r="H145" s="299" t="n"/>
      <c r="I145" s="300" t="n"/>
      <c r="J145" s="299" t="n"/>
      <c r="K145" s="72" t="n"/>
      <c r="Q145" s="656" t="inlineStr">
        <is>
          <t>Shares</t>
        </is>
      </c>
      <c r="R145" s="656" t="inlineStr">
        <is>
          <t>HKD</t>
        </is>
      </c>
      <c r="S145" s="656" t="n"/>
      <c r="T145" s="656" t="inlineStr">
        <is>
          <t>HKD</t>
        </is>
      </c>
    </row>
    <row r="146" hidden="1" ht="15.75" customHeight="1" s="671">
      <c r="A146" s="76" t="inlineStr">
        <is>
          <t>Morgan Stanley    (Perfect Legend)</t>
        </is>
      </c>
      <c r="B146" s="75" t="n"/>
      <c r="C146" s="447" t="n"/>
      <c r="D146" s="447" t="n"/>
      <c r="E146" s="681" t="n"/>
      <c r="F146" s="681" t="n"/>
      <c r="G146" s="681" t="n"/>
      <c r="H146" s="285" t="n"/>
      <c r="I146" s="285" t="n"/>
      <c r="J146" s="286" t="n"/>
      <c r="K146" s="74" t="n"/>
      <c r="L146" s="74" t="n"/>
      <c r="M146" s="74" t="n"/>
      <c r="N146" s="445" t="n"/>
      <c r="O146" s="445" t="n"/>
      <c r="P146" s="445" t="n"/>
      <c r="Q146" s="445" t="n"/>
      <c r="R146" s="445" t="n"/>
    </row>
    <row r="147" hidden="1" ht="13.5" customHeight="1" s="671">
      <c r="B147" s="640" t="inlineStr">
        <is>
          <t>DECUMULATOR</t>
        </is>
      </c>
      <c r="C147" s="631" t="inlineStr">
        <is>
          <t>CODE</t>
        </is>
      </c>
      <c r="D147" s="631" t="n"/>
      <c r="E147" s="624" t="inlineStr">
        <is>
          <t>SHARES / DAY</t>
        </is>
      </c>
      <c r="F147" s="625" t="n"/>
      <c r="G147" s="626" t="n"/>
      <c r="H147" s="633" t="inlineStr">
        <is>
          <t>SPOT PRICE</t>
        </is>
      </c>
      <c r="I147" s="633" t="inlineStr">
        <is>
          <t>STRIKE PRICE</t>
        </is>
      </c>
      <c r="J147" s="633" t="inlineStr">
        <is>
          <t>K/O PRICE</t>
        </is>
      </c>
      <c r="K147" s="653" t="inlineStr">
        <is>
          <t>LIFE TERM OF CONTRACT</t>
        </is>
      </c>
      <c r="L147" s="638" t="n"/>
      <c r="M147" s="639" t="n"/>
      <c r="N147" s="622" t="inlineStr">
        <is>
          <t>START DATE</t>
        </is>
      </c>
      <c r="O147" s="622" t="inlineStr">
        <is>
          <t>END DATE</t>
        </is>
      </c>
      <c r="P147" s="682" t="n"/>
      <c r="Q147" s="632" t="inlineStr">
        <is>
          <t>Estimated  Shares to sell</t>
        </is>
      </c>
      <c r="R147" s="683" t="inlineStr">
        <is>
          <t>Estimated Amount</t>
        </is>
      </c>
      <c r="S147" s="682" t="n"/>
      <c r="T147" s="683" t="inlineStr">
        <is>
          <t>Estimated Amount per month</t>
        </is>
      </c>
      <c r="Y147" s="173" t="inlineStr">
        <is>
          <t>july</t>
        </is>
      </c>
      <c r="Z147" s="173" t="inlineStr">
        <is>
          <t>aug</t>
        </is>
      </c>
    </row>
    <row r="148" hidden="1" ht="22.5" customHeight="1" s="671">
      <c r="B148" s="623" t="n"/>
      <c r="C148" s="623" t="n"/>
      <c r="D148" s="390" t="inlineStr">
        <is>
          <t>MSPL</t>
        </is>
      </c>
      <c r="E148" s="627" t="n"/>
      <c r="F148" s="628" t="n"/>
      <c r="G148" s="629" t="n"/>
      <c r="H148" s="623" t="n"/>
      <c r="I148" s="623" t="n"/>
      <c r="J148" s="623" t="n"/>
      <c r="K148" s="637" t="inlineStr">
        <is>
          <t>RCVD DAYS</t>
        </is>
      </c>
      <c r="L148" s="637" t="inlineStr">
        <is>
          <t>REM DAYS</t>
        </is>
      </c>
      <c r="M148" s="637" t="inlineStr">
        <is>
          <t>Total DAYS</t>
        </is>
      </c>
      <c r="N148" s="623" t="n"/>
      <c r="O148" s="623" t="n"/>
      <c r="P148" s="682" t="n"/>
      <c r="Q148" s="623" t="n"/>
      <c r="R148" s="623" t="n"/>
      <c r="S148" s="682" t="n"/>
      <c r="T148" s="623" t="n"/>
      <c r="Y148" s="173" t="inlineStr">
        <is>
          <t>hkd</t>
        </is>
      </c>
      <c r="Z148" s="173" t="inlineStr">
        <is>
          <t>hkd</t>
        </is>
      </c>
    </row>
    <row r="149" hidden="1" s="671">
      <c r="A149" s="539">
        <f>IF(B149&lt;&gt;"",INDIRECT(ADDRESS(ROW()-1,COLUMN()))+1,0)</f>
        <v/>
      </c>
      <c r="B149" s="546" t="n"/>
      <c r="C149" s="547" t="n"/>
      <c r="D149" s="548" t="n"/>
      <c r="E149" s="553" t="n"/>
      <c r="F149" s="552" t="inlineStr">
        <is>
          <t>/</t>
        </is>
      </c>
      <c r="G149" s="549" t="n"/>
      <c r="H149" s="550" t="n"/>
      <c r="I149" s="551" t="n"/>
      <c r="J149" s="550" t="n"/>
      <c r="K149" s="540" t="n"/>
      <c r="L149" s="541" t="n"/>
      <c r="M149" s="541" t="n"/>
      <c r="N149" s="542" t="n"/>
      <c r="O149" s="542" t="n"/>
      <c r="P149" s="776" t="n"/>
      <c r="Q149" s="543">
        <f>E149*L149*X149</f>
        <v/>
      </c>
      <c r="R149" s="777">
        <f>E149*I149*L149*X149</f>
        <v/>
      </c>
      <c r="S149" s="776" t="n"/>
      <c r="T149" s="777">
        <f>E149*I149*20*X149</f>
        <v/>
      </c>
      <c r="U149" s="0" t="n">
        <v>25.7</v>
      </c>
      <c r="V149" s="304" t="n">
        <v>0</v>
      </c>
      <c r="W149" s="304" t="n">
        <v>19</v>
      </c>
      <c r="X149" s="678" t="n">
        <v>1</v>
      </c>
      <c r="Y149" s="173">
        <f>X149*V149*E149*I149</f>
        <v/>
      </c>
      <c r="Z149" s="173">
        <f>X149*W149*E149*I149</f>
        <v/>
      </c>
      <c r="AB149" s="163">
        <f>MONTH(O149)</f>
        <v/>
      </c>
      <c r="AC149" s="654">
        <f>YEAR(O149)</f>
        <v/>
      </c>
      <c r="AD149" s="654">
        <f>AB149&amp;"-"&amp;AC149&amp;"-"&amp;C149</f>
        <v/>
      </c>
      <c r="AE149" s="654">
        <f>C149</f>
        <v/>
      </c>
      <c r="AF149" s="685">
        <f>MATCH(AE149,ALLM!$C$34:$C$43,)</f>
        <v/>
      </c>
      <c r="AH149" s="163">
        <f>IF(C149="2333",IF(X149=2,1,0),0)</f>
        <v/>
      </c>
      <c r="AI149" s="163">
        <f>IF(C149="2333",IF(X149=1,1,0),0)</f>
        <v/>
      </c>
    </row>
    <row r="150" hidden="1" ht="10.5" customHeight="1" s="671">
      <c r="A150" s="147" t="n"/>
      <c r="V150" s="280" t="n"/>
      <c r="W150" s="280" t="n"/>
    </row>
    <row r="151" hidden="1" s="671">
      <c r="L151" s="71" t="n"/>
      <c r="N151" s="453" t="n"/>
      <c r="O151" s="453" t="inlineStr">
        <is>
          <t>Total</t>
        </is>
      </c>
      <c r="P151" s="453" t="n"/>
      <c r="Q151" s="663">
        <f>SUM(Q148:Q150)</f>
        <v/>
      </c>
      <c r="R151" s="745">
        <f>SUM(R148:R150)</f>
        <v/>
      </c>
      <c r="S151" s="453" t="n"/>
      <c r="T151" s="745">
        <f>SUM(T148:T150)</f>
        <v/>
      </c>
    </row>
    <row r="152" hidden="1" ht="9.75" customHeight="1" s="671">
      <c r="A152" s="72" t="n"/>
      <c r="B152" s="448" t="n"/>
      <c r="C152" s="448" t="n"/>
      <c r="D152" s="449" t="n"/>
      <c r="E152" s="448" t="n"/>
      <c r="F152" s="448" t="n"/>
      <c r="G152" s="448" t="n"/>
      <c r="H152" s="299" t="n"/>
      <c r="I152" s="300" t="n"/>
      <c r="J152" s="299" t="n"/>
      <c r="K152" s="72" t="n"/>
      <c r="Q152" s="656" t="inlineStr">
        <is>
          <t>Shares</t>
        </is>
      </c>
      <c r="R152" s="656" t="inlineStr">
        <is>
          <t>HKD</t>
        </is>
      </c>
      <c r="S152" s="656" t="n"/>
      <c r="T152" s="656" t="inlineStr">
        <is>
          <t>HKD</t>
        </is>
      </c>
    </row>
    <row r="153" ht="9" customHeight="1" s="671">
      <c r="A153" s="72" t="n"/>
      <c r="B153" s="448" t="n"/>
      <c r="C153" s="448" t="n"/>
      <c r="D153" s="449" t="n"/>
      <c r="E153" s="448" t="n"/>
      <c r="F153" s="448" t="n"/>
      <c r="G153" s="448" t="n"/>
      <c r="H153" s="299" t="n"/>
      <c r="I153" s="300" t="n"/>
      <c r="J153" s="299" t="n"/>
      <c r="K153" s="72" t="n"/>
      <c r="Q153" s="656" t="n"/>
      <c r="R153" s="656" t="n"/>
      <c r="S153" s="656" t="n"/>
      <c r="T153" s="656" t="n"/>
    </row>
    <row r="154" hidden="1" s="671">
      <c r="A154" s="72" t="n"/>
      <c r="B154" s="448" t="n"/>
      <c r="C154" s="448" t="n"/>
      <c r="D154" s="449" t="n"/>
      <c r="E154" s="448" t="n"/>
      <c r="F154" s="448" t="n"/>
      <c r="G154" s="448" t="n"/>
      <c r="H154" s="299" t="n"/>
      <c r="I154" s="300" t="n"/>
      <c r="J154" s="299" t="n"/>
      <c r="K154" s="72" t="n"/>
      <c r="Q154" s="468" t="inlineStr">
        <is>
          <t>Shares</t>
        </is>
      </c>
      <c r="R154" s="468" t="inlineStr">
        <is>
          <t>HKD</t>
        </is>
      </c>
      <c r="T154" s="468" t="inlineStr">
        <is>
          <t>HKD</t>
        </is>
      </c>
    </row>
    <row r="155" hidden="1" ht="17.25" customHeight="1" s="671">
      <c r="K155" s="105" t="n"/>
      <c r="L155" s="106" t="n"/>
      <c r="M155" s="107" t="inlineStr">
        <is>
          <t>Grand Total   (Larry w/  Lucio)</t>
        </is>
      </c>
      <c r="N155" s="469" t="n"/>
      <c r="O155" s="469" t="n"/>
      <c r="P155" s="469" t="n"/>
      <c r="Q155" s="69">
        <f>SUM(Q151,Q144,Q136)</f>
        <v/>
      </c>
      <c r="R155" s="740">
        <f>SUM(R151,R144,R136)</f>
        <v/>
      </c>
      <c r="S155" s="778" t="n"/>
      <c r="T155" s="740">
        <f>SUM(T151,T144,T136)</f>
        <v/>
      </c>
    </row>
    <row r="156" ht="12" customHeight="1" s="671">
      <c r="L156" s="71" t="n"/>
      <c r="M156" s="104" t="n"/>
      <c r="N156" s="453" t="n"/>
      <c r="O156" s="453" t="n"/>
      <c r="P156" s="453" t="n"/>
      <c r="Q156" s="70" t="n"/>
      <c r="R156" s="745" t="n"/>
      <c r="S156" s="453" t="n"/>
      <c r="T156" s="745" t="n"/>
    </row>
    <row r="157">
      <c r="H157" s="654" t="n"/>
      <c r="I157" s="654" t="n"/>
      <c r="J157" s="654" t="n"/>
      <c r="Q157" s="468" t="inlineStr">
        <is>
          <t>Shares</t>
        </is>
      </c>
      <c r="R157" s="468" t="inlineStr">
        <is>
          <t>HKD</t>
        </is>
      </c>
      <c r="T157" s="468" t="inlineStr">
        <is>
          <t>HKD</t>
        </is>
      </c>
    </row>
    <row r="158" ht="16.9" customHeight="1" s="671">
      <c r="H158" s="654" t="n"/>
      <c r="I158" s="654" t="n"/>
      <c r="J158" s="660" t="inlineStr">
        <is>
          <t>Grand Total - All Decu</t>
        </is>
      </c>
      <c r="N158" s="471" t="n"/>
      <c r="O158" s="471" t="n"/>
      <c r="P158" s="779" t="n"/>
      <c r="Q158" s="69">
        <f>SUM(Q9,Q136,Q144,Q151,Q18,Q53,Q116,Q37,Q123,Q86,Q28,Q108,Q67)</f>
        <v/>
      </c>
      <c r="R158" s="740">
        <f>SUM(R9,R136,R144,R151,R18,R53,R116,R37,R123,R86,R28,R108,R67)</f>
        <v/>
      </c>
      <c r="S158" s="778" t="n"/>
      <c r="T158" s="740">
        <f>SUM(T9,T136,T144,T151,T18,T53,T116,T37,T123,T86,T28,T108,T67)</f>
        <v/>
      </c>
    </row>
    <row r="159" ht="7.5" customHeight="1" s="671"/>
    <row r="160" ht="16.15" customHeight="1" s="671" thickBot="1">
      <c r="H160" s="654" t="n"/>
      <c r="I160" s="654" t="n"/>
      <c r="J160" s="654" t="n"/>
      <c r="P160" s="473" t="n"/>
      <c r="Q160" s="474" t="n"/>
      <c r="R160" s="780">
        <f>R158/O161</f>
        <v/>
      </c>
      <c r="T160" s="780">
        <f>T158/O161</f>
        <v/>
      </c>
    </row>
    <row r="161" ht="15" customHeight="1" s="671" thickBot="1">
      <c r="N161" s="476" t="inlineStr">
        <is>
          <t>RATE</t>
        </is>
      </c>
      <c r="O161" s="322" t="n">
        <v>7.755</v>
      </c>
      <c r="R161" s="477" t="inlineStr">
        <is>
          <t>USD</t>
        </is>
      </c>
      <c r="S161" s="478" t="n"/>
      <c r="T161" s="477" t="inlineStr">
        <is>
          <t>USD</t>
        </is>
      </c>
    </row>
    <row r="162" ht="10.5" customHeight="1" s="671">
      <c r="A162" s="654" t="n"/>
    </row>
    <row r="163" ht="9.75" customHeight="1" s="671">
      <c r="H163" s="654" t="n"/>
      <c r="I163" s="654" t="n"/>
      <c r="J163" s="654" t="n"/>
      <c r="Q163" s="468" t="n"/>
      <c r="R163" s="468" t="inlineStr">
        <is>
          <t>HKD</t>
        </is>
      </c>
      <c r="T163" s="468" t="inlineStr">
        <is>
          <t>USD</t>
        </is>
      </c>
    </row>
    <row r="164" ht="16.9" customHeight="1" s="671">
      <c r="H164" s="654" t="n"/>
      <c r="I164" s="654" t="n"/>
      <c r="J164" s="654" t="n"/>
      <c r="N164" s="661">
        <f>ACCU!N178</f>
        <v/>
      </c>
      <c r="R164" s="736">
        <f>R158-Y164</f>
        <v/>
      </c>
      <c r="S164" s="781" t="n"/>
      <c r="T164" s="736">
        <f>R164/O161</f>
        <v/>
      </c>
      <c r="Y164" s="173">
        <f>SUM(Y6:Y163)</f>
        <v/>
      </c>
      <c r="Z164" s="173">
        <f>SUM(Z6:Z163)</f>
        <v/>
      </c>
    </row>
    <row r="165" ht="16.5" customHeight="1" s="671">
      <c r="H165" s="654" t="n"/>
      <c r="I165" s="654" t="n"/>
      <c r="J165" s="654" t="n"/>
      <c r="N165" s="658">
        <f>ACCU!N179</f>
        <v/>
      </c>
      <c r="R165" s="738">
        <f>R164-T158</f>
        <v/>
      </c>
      <c r="S165" s="782" t="n"/>
      <c r="T165" s="738">
        <f>R165/O161</f>
        <v/>
      </c>
    </row>
    <row r="166" ht="16.5" customHeight="1" s="671">
      <c r="H166" s="654" t="n"/>
      <c r="I166" s="654" t="n"/>
      <c r="J166" s="654" t="n"/>
      <c r="N166" s="647">
        <f>ACCU!N180</f>
        <v/>
      </c>
      <c r="R166" s="740">
        <f>R165-T158</f>
        <v/>
      </c>
      <c r="S166" s="441" t="n"/>
      <c r="T166" s="740">
        <f>R166/O161</f>
        <v/>
      </c>
    </row>
    <row r="168">
      <c r="R168" s="685" t="n"/>
    </row>
  </sheetData>
  <mergeCells count="167">
    <mergeCell ref="Q71:Q72"/>
    <mergeCell ref="K119:M119"/>
    <mergeCell ref="I1:L1"/>
    <mergeCell ref="E47:G48"/>
    <mergeCell ref="H59:H60"/>
    <mergeCell ref="I147:I148"/>
    <mergeCell ref="R59:R60"/>
    <mergeCell ref="J59:J60"/>
    <mergeCell ref="B14:B15"/>
    <mergeCell ref="N5:N6"/>
    <mergeCell ref="K71:M71"/>
    <mergeCell ref="E24:G25"/>
    <mergeCell ref="C71:C72"/>
    <mergeCell ref="N14:N15"/>
    <mergeCell ref="O147:O148"/>
    <mergeCell ref="E147:G148"/>
    <mergeCell ref="C132:C133"/>
    <mergeCell ref="B119:B120"/>
    <mergeCell ref="E140:G141"/>
    <mergeCell ref="K147:M147"/>
    <mergeCell ref="H90:H91"/>
    <mergeCell ref="N119:N120"/>
    <mergeCell ref="I132:I133"/>
    <mergeCell ref="H47:H48"/>
    <mergeCell ref="B112:B113"/>
    <mergeCell ref="Q90:Q91"/>
    <mergeCell ref="J47:J48"/>
    <mergeCell ref="R71:R72"/>
    <mergeCell ref="N24:N25"/>
    <mergeCell ref="N90:N91"/>
    <mergeCell ref="J71:J72"/>
    <mergeCell ref="H24:H25"/>
    <mergeCell ref="O119:O120"/>
    <mergeCell ref="R33:R34"/>
    <mergeCell ref="Q119:Q120"/>
    <mergeCell ref="B1:E1"/>
    <mergeCell ref="K5:M5"/>
    <mergeCell ref="N1:Q1"/>
    <mergeCell ref="J140:J141"/>
    <mergeCell ref="C14:C15"/>
    <mergeCell ref="O5:O6"/>
    <mergeCell ref="B140:B141"/>
    <mergeCell ref="K47:M47"/>
    <mergeCell ref="Q5:Q6"/>
    <mergeCell ref="Q14:Q15"/>
    <mergeCell ref="N140:N141"/>
    <mergeCell ref="B90:B91"/>
    <mergeCell ref="T147:T148"/>
    <mergeCell ref="C112:C113"/>
    <mergeCell ref="Q147:Q148"/>
    <mergeCell ref="B132:B133"/>
    <mergeCell ref="T132:T133"/>
    <mergeCell ref="I71:I72"/>
    <mergeCell ref="C47:C48"/>
    <mergeCell ref="E14:G15"/>
    <mergeCell ref="N132:N133"/>
    <mergeCell ref="O112:O113"/>
    <mergeCell ref="K14:M14"/>
    <mergeCell ref="O47:O48"/>
    <mergeCell ref="I112:I113"/>
    <mergeCell ref="I33:I34"/>
    <mergeCell ref="H119:H120"/>
    <mergeCell ref="J119:J120"/>
    <mergeCell ref="O71:O72"/>
    <mergeCell ref="K3:R4"/>
    <mergeCell ref="T119:T120"/>
    <mergeCell ref="R47:R48"/>
    <mergeCell ref="C140:C141"/>
    <mergeCell ref="K33:M33"/>
    <mergeCell ref="H14:H15"/>
    <mergeCell ref="J14:J15"/>
    <mergeCell ref="I140:I141"/>
    <mergeCell ref="N166:Q166"/>
    <mergeCell ref="H147:H148"/>
    <mergeCell ref="C5:C6"/>
    <mergeCell ref="B71:B72"/>
    <mergeCell ref="T14:T15"/>
    <mergeCell ref="O33:O34"/>
    <mergeCell ref="Q33:Q34"/>
    <mergeCell ref="K31:R32"/>
    <mergeCell ref="T112:T113"/>
    <mergeCell ref="K140:M140"/>
    <mergeCell ref="N112:N113"/>
    <mergeCell ref="K59:M59"/>
    <mergeCell ref="C59:C60"/>
    <mergeCell ref="N33:N34"/>
    <mergeCell ref="H132:H133"/>
    <mergeCell ref="T71:T72"/>
    <mergeCell ref="J132:J133"/>
    <mergeCell ref="I47:I48"/>
    <mergeCell ref="J24:J25"/>
    <mergeCell ref="E5:G6"/>
    <mergeCell ref="E132:G133"/>
    <mergeCell ref="J147:J148"/>
    <mergeCell ref="K132:M132"/>
    <mergeCell ref="I24:I25"/>
    <mergeCell ref="N164:Q164"/>
    <mergeCell ref="N147:N148"/>
    <mergeCell ref="K112:M112"/>
    <mergeCell ref="E59:G60"/>
    <mergeCell ref="B33:B34"/>
    <mergeCell ref="T90:T91"/>
    <mergeCell ref="J90:J91"/>
    <mergeCell ref="N59:N60"/>
    <mergeCell ref="I90:I91"/>
    <mergeCell ref="K24:M24"/>
    <mergeCell ref="H5:H6"/>
    <mergeCell ref="R5:R6"/>
    <mergeCell ref="J5:J6"/>
    <mergeCell ref="R14:R15"/>
    <mergeCell ref="H33:H34"/>
    <mergeCell ref="O140:O141"/>
    <mergeCell ref="J33:J34"/>
    <mergeCell ref="Q140:Q141"/>
    <mergeCell ref="T33:T34"/>
    <mergeCell ref="O90:O91"/>
    <mergeCell ref="T5:T6"/>
    <mergeCell ref="Q112:Q113"/>
    <mergeCell ref="Q24:Q25"/>
    <mergeCell ref="K22:R23"/>
    <mergeCell ref="B47:B48"/>
    <mergeCell ref="R119:R120"/>
    <mergeCell ref="T47:T48"/>
    <mergeCell ref="K90:M90"/>
    <mergeCell ref="K12:R13"/>
    <mergeCell ref="C33:C34"/>
    <mergeCell ref="J158:M158"/>
    <mergeCell ref="N47:N48"/>
    <mergeCell ref="H112:H113"/>
    <mergeCell ref="E71:G72"/>
    <mergeCell ref="O24:O25"/>
    <mergeCell ref="O132:O133"/>
    <mergeCell ref="J112:J113"/>
    <mergeCell ref="T59:T60"/>
    <mergeCell ref="R24:R25"/>
    <mergeCell ref="R90:R91"/>
    <mergeCell ref="E112:G113"/>
    <mergeCell ref="N71:N72"/>
    <mergeCell ref="Q132:Q133"/>
    <mergeCell ref="C90:C91"/>
    <mergeCell ref="O59:O60"/>
    <mergeCell ref="E33:G34"/>
    <mergeCell ref="B24:B25"/>
    <mergeCell ref="Q59:Q60"/>
    <mergeCell ref="R147:R148"/>
    <mergeCell ref="I5:I6"/>
    <mergeCell ref="I14:I15"/>
    <mergeCell ref="C119:C120"/>
    <mergeCell ref="B147:B148"/>
    <mergeCell ref="H71:H72"/>
    <mergeCell ref="H140:H141"/>
    <mergeCell ref="R140:R141"/>
    <mergeCell ref="N165:Q165"/>
    <mergeCell ref="T140:T141"/>
    <mergeCell ref="R112:R113"/>
    <mergeCell ref="O14:O15"/>
    <mergeCell ref="I59:I60"/>
    <mergeCell ref="B5:B6"/>
    <mergeCell ref="I119:I120"/>
    <mergeCell ref="E90:G91"/>
    <mergeCell ref="R132:R133"/>
    <mergeCell ref="Q47:Q48"/>
    <mergeCell ref="E119:G120"/>
    <mergeCell ref="T24:T25"/>
    <mergeCell ref="C24:C25"/>
    <mergeCell ref="B59:B60"/>
    <mergeCell ref="C147:C148"/>
  </mergeCells>
  <conditionalFormatting sqref="D61:D65">
    <cfRule type="duplicateValues" priority="86" dxfId="0"/>
  </conditionalFormatting>
  <conditionalFormatting sqref="D142">
    <cfRule type="duplicateValues" priority="69" dxfId="0"/>
  </conditionalFormatting>
  <conditionalFormatting sqref="D149">
    <cfRule type="duplicateValues" priority="79" dxfId="0"/>
  </conditionalFormatting>
  <pageMargins left="0.2" right="0.2" top="0.2" bottom="0.2" header="0.3" footer="0.3"/>
  <pageSetup orientation="landscape" paperSize="10001" scale="64" fitToHeight="0" horizontalDpi="300" verticalDpi="300"/>
  <rowBreaks count="1" manualBreakCount="1">
    <brk id="88" min="0" max="19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19"/>
  <sheetViews>
    <sheetView view="pageBreakPreview" topLeftCell="A258" zoomScaleSheetLayoutView="100" workbookViewId="0">
      <selection activeCell="L265" sqref="L265"/>
    </sheetView>
  </sheetViews>
  <sheetFormatPr baseColWidth="8" defaultColWidth="9.140625" defaultRowHeight="15" outlineLevelCol="1"/>
  <cols>
    <col width="4.28515625" customWidth="1" style="652" min="1" max="1"/>
    <col width="26.7109375" customWidth="1" style="654" min="2" max="2"/>
    <col width="5.5703125" customWidth="1" style="654" min="3" max="3"/>
    <col hidden="1" outlineLevel="1" width="17" customWidth="1" style="656" min="4" max="4"/>
    <col collapsed="1" width="7.28515625" customWidth="1" style="654" min="5" max="5"/>
    <col width="1.42578125" customWidth="1" style="654" min="6" max="6"/>
    <col width="7.28515625" customWidth="1" style="654" min="7" max="7"/>
    <col width="9" customWidth="1" style="651" min="8" max="8"/>
    <col width="10.28515625" customWidth="1" style="298" min="9" max="9"/>
    <col width="8.5703125" customWidth="1" style="651" min="10" max="10"/>
    <col width="9.42578125" customWidth="1" style="652" min="11" max="13"/>
    <col width="9.28515625" customWidth="1" style="654" min="14" max="14"/>
    <col width="9.140625" customWidth="1" style="654" min="15" max="15"/>
    <col width="2.7109375" customWidth="1" style="654" min="16" max="16"/>
    <col width="17.7109375" customWidth="1" style="654" min="17" max="17"/>
    <col width="21.140625" customWidth="1" style="654" min="18" max="18"/>
    <col width="6.7109375" bestFit="1" customWidth="1" style="654" min="19" max="19"/>
    <col width="19.42578125" customWidth="1" style="654" min="20" max="20"/>
    <col width="29" bestFit="1" customWidth="1" style="654" min="21" max="21"/>
    <col outlineLevel="1" width="9.140625" customWidth="1" style="652" min="22" max="24"/>
    <col outlineLevel="1" width="14.28515625" customWidth="1" style="173" min="25" max="26"/>
    <col width="9.140625" customWidth="1" style="654" min="27" max="27"/>
    <col outlineLevel="1" width="9.140625" customWidth="1" style="163" min="28" max="28"/>
    <col outlineLevel="1" width="9.140625" customWidth="1" style="654" min="29" max="29"/>
    <col outlineLevel="1" width="12.42578125" customWidth="1" style="654" min="30" max="30"/>
    <col outlineLevel="1" width="15.28515625" bestFit="1" customWidth="1" style="654" min="31" max="31"/>
    <col width="15.28515625" bestFit="1" customWidth="1" style="654" min="32" max="32"/>
    <col width="9.140625" customWidth="1" style="654" min="33" max="703"/>
    <col width="9.140625" customWidth="1" style="654" min="704" max="16384"/>
  </cols>
  <sheetData>
    <row r="1" ht="15.75" customHeight="1" s="671">
      <c r="A1" s="76" t="inlineStr">
        <is>
          <t>Collateral Needed</t>
        </is>
      </c>
    </row>
    <row r="2" ht="15.75" customHeight="1" s="671">
      <c r="A2" s="76" t="inlineStr">
        <is>
          <t>Great Wall Motor (2333)</t>
        </is>
      </c>
    </row>
    <row r="3" ht="18" customHeight="1" s="671">
      <c r="A3" s="783">
        <f>"As of "&amp;TEXT(ALLHKD!C1,"mmmm d, yyyy")</f>
        <v/>
      </c>
      <c r="F3" s="444" t="n"/>
      <c r="G3" s="445" t="n"/>
      <c r="J3" s="298" t="n"/>
      <c r="K3" s="298" t="n"/>
      <c r="L3" s="298" t="n"/>
      <c r="M3" s="298" t="n"/>
      <c r="N3" s="298" t="n"/>
      <c r="O3" s="298" t="n"/>
      <c r="P3" s="298" t="n"/>
      <c r="Q3" s="298" t="n"/>
      <c r="R3" s="298" t="n"/>
      <c r="U3" s="654" t="inlineStr">
        <is>
          <t>market price</t>
        </is>
      </c>
    </row>
    <row r="4" ht="18" customHeight="1" s="671">
      <c r="B4" s="444" t="n"/>
      <c r="C4" s="444" t="n"/>
      <c r="D4" s="659" t="n"/>
      <c r="E4" s="444" t="n"/>
      <c r="F4" s="444" t="n"/>
      <c r="G4" s="82" t="n"/>
      <c r="J4" s="298" t="n"/>
      <c r="K4" s="298" t="n"/>
      <c r="L4" s="298" t="n"/>
      <c r="M4" s="298" t="n"/>
      <c r="N4" s="298" t="n"/>
      <c r="O4" s="298" t="n"/>
      <c r="P4" s="298" t="n"/>
      <c r="Q4" s="298" t="n"/>
      <c r="R4" s="298" t="n"/>
      <c r="U4" s="654" t="n">
        <v>9.199999999999999</v>
      </c>
    </row>
    <row r="5" ht="15.75" customHeight="1" s="671">
      <c r="A5" s="76" t="inlineStr">
        <is>
          <t>CITIBANK  Account No.  1</t>
        </is>
      </c>
      <c r="B5" s="75" t="n"/>
      <c r="C5" s="447" t="n"/>
      <c r="D5" s="447" t="n"/>
      <c r="E5" s="681" t="n"/>
      <c r="F5" s="681" t="n"/>
      <c r="G5" s="681" t="n"/>
      <c r="H5" s="285" t="n"/>
      <c r="I5" s="285" t="n"/>
      <c r="J5" s="286" t="n"/>
      <c r="K5" s="298" t="n"/>
      <c r="L5" s="298" t="n"/>
      <c r="M5" s="298" t="n"/>
      <c r="N5" s="298" t="n"/>
      <c r="O5" s="298" t="n"/>
      <c r="P5" s="298" t="n"/>
      <c r="Q5" s="298" t="n"/>
      <c r="R5" s="298" t="n"/>
    </row>
    <row r="6" ht="9.75" customHeight="1" s="671">
      <c r="A6" s="72" t="n"/>
      <c r="B6" s="448" t="n"/>
      <c r="C6" s="448" t="n"/>
      <c r="D6" s="449" t="n"/>
      <c r="E6" s="448" t="inlineStr">
        <is>
          <t>`</t>
        </is>
      </c>
      <c r="F6" s="448" t="n"/>
      <c r="G6" s="448" t="n"/>
      <c r="H6" s="299" t="n"/>
      <c r="I6" s="300" t="inlineStr">
        <is>
          <t>`</t>
        </is>
      </c>
      <c r="J6" s="299" t="n"/>
      <c r="K6" s="298" t="n"/>
      <c r="L6" s="298" t="n"/>
      <c r="M6" s="298" t="n"/>
      <c r="N6" s="298" t="n"/>
      <c r="O6" s="298" t="n"/>
      <c r="P6" s="298" t="n"/>
      <c r="Q6" s="298" t="n"/>
      <c r="R6" s="298" t="n"/>
    </row>
    <row r="7" ht="15" customFormat="1" customHeight="1" s="642">
      <c r="A7" s="646" t="n"/>
      <c r="B7" s="640" t="inlineStr">
        <is>
          <t>ACCUMULATOR</t>
        </is>
      </c>
      <c r="C7" s="631" t="inlineStr">
        <is>
          <t>CODE</t>
        </is>
      </c>
      <c r="D7" s="631" t="n"/>
      <c r="E7" s="624" t="inlineStr">
        <is>
          <t>SHARES / DAY</t>
        </is>
      </c>
      <c r="F7" s="625" t="n"/>
      <c r="G7" s="626" t="n"/>
      <c r="H7" s="633" t="inlineStr">
        <is>
          <t>SPOT PRICE</t>
        </is>
      </c>
      <c r="I7" s="633" t="inlineStr">
        <is>
          <t>STRIKE PRICE</t>
        </is>
      </c>
      <c r="J7" s="633" t="inlineStr">
        <is>
          <t>K/O PRICE</t>
        </is>
      </c>
      <c r="K7" s="637" t="inlineStr">
        <is>
          <t>LIFE TERM OF CONTRACT</t>
        </is>
      </c>
      <c r="L7" s="638" t="n"/>
      <c r="M7" s="639" t="n"/>
      <c r="N7" s="622" t="inlineStr">
        <is>
          <t>START DATE</t>
        </is>
      </c>
      <c r="O7" s="622" t="inlineStr">
        <is>
          <t>END DATE</t>
        </is>
      </c>
      <c r="P7" s="682" t="n"/>
      <c r="Q7" s="632" t="inlineStr">
        <is>
          <t>Estimated Total Shares Remaining</t>
        </is>
      </c>
      <c r="R7" s="683" t="inlineStr">
        <is>
          <t>Estimated Amount</t>
        </is>
      </c>
      <c r="S7" s="682" t="n"/>
      <c r="T7" s="683" t="inlineStr">
        <is>
          <t>Estimated Amount per month</t>
        </is>
      </c>
      <c r="V7" s="678" t="n"/>
      <c r="W7" s="678" t="n"/>
      <c r="X7" s="155" t="n"/>
      <c r="Y7" s="154" t="inlineStr">
        <is>
          <t>Month 1</t>
        </is>
      </c>
      <c r="Z7" s="154" t="inlineStr">
        <is>
          <t>Month 2</t>
        </is>
      </c>
    </row>
    <row r="8" ht="20.45" customFormat="1" customHeight="1" s="642">
      <c r="A8" s="646" t="n"/>
      <c r="B8" s="623" t="n"/>
      <c r="C8" s="623" t="n"/>
      <c r="D8" s="390" t="inlineStr">
        <is>
          <t>CB1</t>
        </is>
      </c>
      <c r="E8" s="627" t="n"/>
      <c r="F8" s="628" t="n"/>
      <c r="G8" s="629" t="n"/>
      <c r="H8" s="623" t="n"/>
      <c r="I8" s="623" t="n"/>
      <c r="J8" s="623" t="n"/>
      <c r="K8" s="637" t="inlineStr">
        <is>
          <t>RCVD mos.</t>
        </is>
      </c>
      <c r="L8" s="637" t="inlineStr">
        <is>
          <t>REM mos.</t>
        </is>
      </c>
      <c r="M8" s="637" t="inlineStr">
        <is>
          <t>Total mos.</t>
        </is>
      </c>
      <c r="N8" s="623" t="n"/>
      <c r="O8" s="623" t="n"/>
      <c r="P8" s="682" t="n"/>
      <c r="Q8" s="623" t="n"/>
      <c r="R8" s="623" t="n"/>
      <c r="S8" s="682" t="n"/>
      <c r="T8" s="623" t="n"/>
      <c r="U8" s="642" t="inlineStr">
        <is>
          <t>Price</t>
        </is>
      </c>
      <c r="V8" s="678" t="inlineStr">
        <is>
          <t>NOW</t>
        </is>
      </c>
      <c r="W8" s="678" t="inlineStr">
        <is>
          <t>NEXT</t>
        </is>
      </c>
      <c r="X8" s="155" t="inlineStr">
        <is>
          <t>sd</t>
        </is>
      </c>
      <c r="Y8" s="154" t="inlineStr">
        <is>
          <t>hkd</t>
        </is>
      </c>
      <c r="Z8" s="154" t="inlineStr">
        <is>
          <t>hkd</t>
        </is>
      </c>
    </row>
    <row r="9" customFormat="1" s="642">
      <c r="A9" s="158">
        <f>INDIRECT(ADDRESS(ROW()-1,COLUMN()))+1</f>
        <v/>
      </c>
      <c r="B9" s="416" t="inlineStr">
        <is>
          <t>Great Wall Motor</t>
        </is>
      </c>
      <c r="C9" s="148" t="inlineStr">
        <is>
          <t>2333</t>
        </is>
      </c>
      <c r="D9" s="141" t="inlineStr">
        <is>
          <t>GREATWALL - 41</t>
        </is>
      </c>
      <c r="E9" s="118" t="n">
        <v>5000</v>
      </c>
      <c r="F9" s="277" t="inlineStr">
        <is>
          <t>/</t>
        </is>
      </c>
      <c r="G9" s="119" t="n">
        <v>10000</v>
      </c>
      <c r="H9" s="273" t="n">
        <v>9.1347</v>
      </c>
      <c r="I9" s="274" t="n">
        <v>7.675</v>
      </c>
      <c r="J9" s="273" t="n">
        <v>10.0482</v>
      </c>
      <c r="K9" s="152" t="n">
        <v>0</v>
      </c>
      <c r="L9" s="152">
        <f>M9-K9</f>
        <v/>
      </c>
      <c r="M9" s="152" t="n">
        <v>9</v>
      </c>
      <c r="N9" s="143" t="n">
        <v>44076</v>
      </c>
      <c r="O9" s="143" t="n">
        <v>44348</v>
      </c>
      <c r="Q9" s="153">
        <f>E9*L9*20*X9</f>
        <v/>
      </c>
      <c r="R9" s="784">
        <f>E9*I9*L9*20*X9</f>
        <v/>
      </c>
      <c r="T9" s="784">
        <f>E9*I9*20*X9</f>
        <v/>
      </c>
      <c r="U9" s="0" t="n">
        <v>9.119999999999999</v>
      </c>
      <c r="V9" s="280" t="n">
        <v>0</v>
      </c>
      <c r="W9" s="280" t="n">
        <v>1</v>
      </c>
      <c r="X9" s="0" t="n">
        <v>1</v>
      </c>
      <c r="Y9" s="154">
        <f>X9*V9*E9*I9*20</f>
        <v/>
      </c>
      <c r="Z9" s="154">
        <f>X9*W9*E9*I9*20</f>
        <v/>
      </c>
      <c r="AB9" s="642">
        <f>MONTH(O9)</f>
        <v/>
      </c>
      <c r="AC9" s="642">
        <f>YEAR(O9)</f>
        <v/>
      </c>
      <c r="AD9" s="642">
        <f>AB9&amp;"-"&amp;AC9&amp;"-"&amp;C9</f>
        <v/>
      </c>
      <c r="AE9" s="642">
        <f>C9</f>
        <v/>
      </c>
      <c r="AF9" s="685">
        <f>MATCH(AE9,ALLM!C$2:C$13,)</f>
        <v/>
      </c>
    </row>
    <row r="10" ht="15.6" customFormat="1" customHeight="1" s="642">
      <c r="A10" s="64" t="n"/>
      <c r="B10" s="388" t="n"/>
      <c r="C10" s="388" t="n"/>
      <c r="D10" s="388" t="n"/>
      <c r="E10" s="388" t="n"/>
      <c r="F10" s="388" t="n"/>
      <c r="G10" s="388" t="n"/>
      <c r="H10" s="247" t="n"/>
      <c r="I10" s="248" t="n"/>
      <c r="J10" s="247" t="n"/>
      <c r="K10" s="64" t="n"/>
      <c r="L10" s="646" t="n"/>
      <c r="M10" s="646" t="n"/>
      <c r="N10" s="394" t="n"/>
      <c r="O10" s="394" t="n"/>
      <c r="V10" s="678" t="n"/>
      <c r="W10" s="678" t="n"/>
      <c r="X10" s="155" t="n"/>
      <c r="Y10" s="154" t="n"/>
      <c r="Z10" s="154" t="n"/>
    </row>
    <row r="11" ht="15.6" customFormat="1" customHeight="1" s="353">
      <c r="A11" s="66" t="n"/>
      <c r="B11" s="395" t="n"/>
      <c r="C11" s="395" t="n"/>
      <c r="D11" s="395" t="n"/>
      <c r="E11" s="395" t="n"/>
      <c r="F11" s="395" t="n"/>
      <c r="G11" s="395" t="n"/>
      <c r="H11" s="251" t="n"/>
      <c r="I11" s="252" t="n"/>
      <c r="J11" s="251" t="n"/>
      <c r="K11" s="66" t="n"/>
      <c r="L11" s="54" t="n"/>
      <c r="M11" s="54" t="n"/>
      <c r="N11" s="394" t="n"/>
      <c r="O11" s="394" t="inlineStr">
        <is>
          <t>Total</t>
        </is>
      </c>
      <c r="P11" s="686" t="n"/>
      <c r="Q11" s="44">
        <f>SUM(Q8:Q10)</f>
        <v/>
      </c>
      <c r="R11" s="686">
        <f>SUM(R8:R10)</f>
        <v/>
      </c>
      <c r="S11" s="686" t="n"/>
      <c r="T11" s="686">
        <f>SUM(T8:T10)</f>
        <v/>
      </c>
      <c r="V11" s="687" t="n"/>
      <c r="W11" s="687" t="n"/>
      <c r="X11" s="102" t="n"/>
      <c r="Y11" s="43" t="n"/>
      <c r="Z11" s="43" t="n"/>
    </row>
    <row r="12" ht="15.6" customFormat="1" customHeight="1" s="353">
      <c r="A12" s="66" t="n"/>
      <c r="B12" s="395" t="n"/>
      <c r="C12" s="395" t="n"/>
      <c r="D12" s="395" t="n"/>
      <c r="E12" s="395" t="n"/>
      <c r="F12" s="395" t="n"/>
      <c r="G12" s="395" t="n"/>
      <c r="H12" s="251" t="n"/>
      <c r="I12" s="252" t="n"/>
      <c r="J12" s="251" t="n"/>
      <c r="K12" s="66" t="n"/>
      <c r="L12" s="54" t="n"/>
      <c r="M12" s="54" t="n"/>
      <c r="N12" s="394" t="n"/>
      <c r="O12" s="394" t="n"/>
      <c r="P12" s="686" t="n"/>
      <c r="Q12" s="44" t="n"/>
      <c r="R12" s="688" t="inlineStr">
        <is>
          <t>HKD</t>
        </is>
      </c>
      <c r="S12" s="688" t="n"/>
      <c r="T12" s="688" t="inlineStr">
        <is>
          <t>HKD</t>
        </is>
      </c>
      <c r="V12" s="687" t="n"/>
      <c r="W12" s="687" t="n"/>
      <c r="X12" s="102" t="n"/>
      <c r="Y12" s="43" t="n"/>
      <c r="Z12" s="43" t="n"/>
    </row>
    <row r="13" ht="15.6" customFormat="1" customHeight="1" s="353">
      <c r="A13" s="66" t="n"/>
      <c r="B13" s="395" t="n"/>
      <c r="C13" s="395" t="n"/>
      <c r="D13" s="395" t="n"/>
      <c r="E13" s="395" t="n"/>
      <c r="F13" s="395" t="n"/>
      <c r="G13" s="395" t="n"/>
      <c r="H13" s="251" t="n"/>
      <c r="I13" s="252" t="n"/>
      <c r="J13" s="251" t="n"/>
      <c r="K13" s="66" t="n"/>
      <c r="L13" s="54" t="n"/>
      <c r="M13" s="54" t="n"/>
      <c r="N13" s="394" t="n"/>
      <c r="O13" s="394" t="n"/>
      <c r="P13" s="686" t="n"/>
      <c r="Q13" s="44" t="n"/>
      <c r="R13" s="95" t="n"/>
      <c r="S13" s="686" t="n"/>
      <c r="T13" s="95" t="n"/>
      <c r="V13" s="687" t="n"/>
      <c r="W13" s="687" t="n"/>
      <c r="X13" s="102" t="n"/>
      <c r="Y13" s="43" t="n"/>
      <c r="Z13" s="43" t="n"/>
    </row>
    <row r="14" ht="18.75" customHeight="1" s="671">
      <c r="A14" s="72" t="n"/>
      <c r="B14" s="448" t="n"/>
      <c r="C14" s="448" t="n"/>
      <c r="D14" s="449" t="n"/>
      <c r="E14" s="448" t="n"/>
      <c r="F14" s="448" t="n"/>
      <c r="G14" s="448" t="n"/>
      <c r="H14" s="299" t="n"/>
      <c r="I14" s="300" t="n"/>
      <c r="J14" s="299" t="n"/>
      <c r="K14" s="72" t="n"/>
      <c r="L14" s="71" t="n"/>
      <c r="M14" s="71" t="n"/>
      <c r="N14" s="666" t="n"/>
      <c r="P14" s="462" t="n"/>
      <c r="R14" s="663" t="inlineStr">
        <is>
          <t>Estimated Amount</t>
        </is>
      </c>
      <c r="S14" s="109" t="n">
        <v>0.3</v>
      </c>
      <c r="T14" s="663" t="inlineStr">
        <is>
          <t>Margin requirement</t>
        </is>
      </c>
    </row>
    <row r="15" ht="18.75" customHeight="1" s="671">
      <c r="A15" s="72" t="n"/>
      <c r="B15" s="448" t="n"/>
      <c r="C15" s="448" t="n"/>
      <c r="D15" s="449" t="n"/>
      <c r="E15" s="448" t="n"/>
      <c r="F15" s="448" t="n"/>
      <c r="G15" s="448" t="n"/>
      <c r="H15" s="116" t="inlineStr">
        <is>
          <t>Collateral 1: 30% x Estimated Amount Total</t>
        </is>
      </c>
      <c r="I15" s="481" t="n"/>
      <c r="J15" s="117" t="n"/>
      <c r="K15" s="481" t="n"/>
      <c r="L15" s="481" t="n"/>
      <c r="M15" s="71" t="n"/>
      <c r="N15" s="666" t="n"/>
      <c r="O15" s="666" t="n"/>
      <c r="P15" s="462" t="n"/>
      <c r="R15" s="663">
        <f>R11</f>
        <v/>
      </c>
      <c r="S15" s="750" t="n"/>
      <c r="T15" s="323">
        <f>-R15*S14</f>
        <v/>
      </c>
    </row>
    <row r="16" ht="18.75" customHeight="1" s="671">
      <c r="A16" s="72" t="n"/>
      <c r="B16" s="448" t="n"/>
      <c r="C16" s="448" t="n"/>
      <c r="D16" s="449" t="n"/>
      <c r="E16" s="448" t="n"/>
      <c r="F16" s="448" t="n"/>
      <c r="G16" s="448" t="n"/>
      <c r="H16" s="71" t="n"/>
      <c r="I16" s="654" t="n"/>
      <c r="J16" s="72" t="n"/>
      <c r="K16" s="654" t="n"/>
      <c r="L16" s="654" t="n"/>
      <c r="M16" s="71" t="n"/>
      <c r="N16" s="666" t="n"/>
      <c r="O16" s="666" t="n"/>
      <c r="P16" s="462" t="n"/>
      <c r="Q16" s="663" t="n"/>
      <c r="R16" s="482" t="n"/>
      <c r="S16" s="750" t="n"/>
      <c r="T16" s="750" t="n"/>
    </row>
    <row r="17" ht="15" customHeight="1" s="671">
      <c r="B17" s="640" t="inlineStr">
        <is>
          <t>DECUMULATOR</t>
        </is>
      </c>
      <c r="C17" s="631" t="inlineStr">
        <is>
          <t>CODE</t>
        </is>
      </c>
      <c r="D17" s="631" t="n"/>
      <c r="E17" s="624" t="inlineStr">
        <is>
          <t>SHARES / DAY</t>
        </is>
      </c>
      <c r="F17" s="625" t="n"/>
      <c r="G17" s="626" t="n"/>
      <c r="H17" s="633" t="inlineStr">
        <is>
          <t>SPOT PRICE</t>
        </is>
      </c>
      <c r="I17" s="633" t="inlineStr">
        <is>
          <t>STRIKE PRICE</t>
        </is>
      </c>
      <c r="J17" s="633" t="inlineStr">
        <is>
          <t>K/O PRICE</t>
        </is>
      </c>
      <c r="K17" s="637" t="inlineStr">
        <is>
          <t>LIFE TERM OF CONTRACT</t>
        </is>
      </c>
      <c r="L17" s="638" t="n"/>
      <c r="M17" s="639" t="n"/>
      <c r="N17" s="622" t="inlineStr">
        <is>
          <t>START DATE</t>
        </is>
      </c>
      <c r="O17" s="622" t="inlineStr">
        <is>
          <t>END DATE</t>
        </is>
      </c>
      <c r="P17" s="682" t="n"/>
      <c r="Q17" s="632" t="inlineStr">
        <is>
          <t>Estimated  Shares to sell</t>
        </is>
      </c>
      <c r="R17" s="683" t="inlineStr">
        <is>
          <t>Estimated Amount</t>
        </is>
      </c>
      <c r="S17" s="682" t="n"/>
      <c r="T17" s="683" t="inlineStr">
        <is>
          <t>Estimated Amount per month</t>
        </is>
      </c>
      <c r="Y17" s="173" t="inlineStr">
        <is>
          <t>july</t>
        </is>
      </c>
      <c r="Z17" s="173" t="inlineStr">
        <is>
          <t>aug</t>
        </is>
      </c>
      <c r="AH17" s="163">
        <f>SUM(AH24:AH1048576)</f>
        <v/>
      </c>
      <c r="AI17" s="163">
        <f>SUM(AI24:AI1048576)</f>
        <v/>
      </c>
    </row>
    <row r="18" ht="22.5" customHeight="1" s="671">
      <c r="B18" s="623" t="n"/>
      <c r="C18" s="623" t="n"/>
      <c r="D18" s="390" t="inlineStr">
        <is>
          <t>CB1</t>
        </is>
      </c>
      <c r="E18" s="627" t="n"/>
      <c r="F18" s="628" t="n"/>
      <c r="G18" s="629" t="n"/>
      <c r="H18" s="623" t="n"/>
      <c r="I18" s="623" t="n"/>
      <c r="J18" s="623" t="n"/>
      <c r="K18" s="637" t="inlineStr">
        <is>
          <t>RCVD mos.</t>
        </is>
      </c>
      <c r="L18" s="637" t="inlineStr">
        <is>
          <t>REM mos.</t>
        </is>
      </c>
      <c r="M18" s="637" t="inlineStr">
        <is>
          <t>Total mos.</t>
        </is>
      </c>
      <c r="N18" s="623" t="n"/>
      <c r="O18" s="623" t="n"/>
      <c r="P18" s="682" t="n"/>
      <c r="Q18" s="623" t="n"/>
      <c r="R18" s="623" t="n"/>
      <c r="S18" s="682" t="n"/>
      <c r="T18" s="623" t="n"/>
      <c r="U18" s="654" t="inlineStr">
        <is>
          <t>Closing</t>
        </is>
      </c>
      <c r="V18" s="652" t="inlineStr">
        <is>
          <t>Current</t>
        </is>
      </c>
      <c r="W18" s="652" t="inlineStr">
        <is>
          <t>Next</t>
        </is>
      </c>
      <c r="X18" s="652" t="inlineStr">
        <is>
          <t>sd</t>
        </is>
      </c>
      <c r="Y18" s="173" t="inlineStr">
        <is>
          <t>hkd</t>
        </is>
      </c>
      <c r="Z18" s="173" t="inlineStr">
        <is>
          <t>hkd</t>
        </is>
      </c>
      <c r="AH18" s="654" t="inlineStr">
        <is>
          <t>Double</t>
        </is>
      </c>
      <c r="AI18" s="654" t="inlineStr">
        <is>
          <t>Single</t>
        </is>
      </c>
    </row>
    <row r="19">
      <c r="A19" s="147">
        <f>INDIRECT(ADDRESS(ROW()-1,COLUMN()))+1</f>
        <v/>
      </c>
      <c r="B19" s="483" t="inlineStr">
        <is>
          <t>Great Wall Motor</t>
        </is>
      </c>
      <c r="C19" s="167" t="inlineStr">
        <is>
          <t>2333</t>
        </is>
      </c>
      <c r="D19" s="168" t="inlineStr">
        <is>
          <t>GREATWALL - 57</t>
        </is>
      </c>
      <c r="E19" s="124" t="n">
        <v>5000</v>
      </c>
      <c r="F19" s="169" t="inlineStr">
        <is>
          <t>/</t>
        </is>
      </c>
      <c r="G19" s="125" t="n">
        <v>10000</v>
      </c>
      <c r="H19" s="324" t="n">
        <v>4.09</v>
      </c>
      <c r="I19" s="325" t="n">
        <v>5.6017</v>
      </c>
      <c r="J19" s="324" t="n">
        <v>3.8855</v>
      </c>
      <c r="K19" s="170" t="n">
        <v>5</v>
      </c>
      <c r="L19" s="171">
        <f>M19-K19</f>
        <v/>
      </c>
      <c r="M19" s="171" t="n">
        <v>12</v>
      </c>
      <c r="N19" s="172" t="n">
        <v>43915</v>
      </c>
      <c r="O19" s="172" t="n">
        <v>44279</v>
      </c>
      <c r="P19" s="682" t="n"/>
      <c r="Q19" s="162">
        <f>E19*L19*20*X19</f>
        <v/>
      </c>
      <c r="R19" s="785">
        <f>E19*I19*L19*20*X19</f>
        <v/>
      </c>
      <c r="S19" s="682" t="n"/>
      <c r="T19" s="785">
        <f>E19*I19*20*X19</f>
        <v/>
      </c>
      <c r="U19" s="0" t="n">
        <v>9.119999999999999</v>
      </c>
      <c r="V19" s="304" t="n">
        <v>1</v>
      </c>
      <c r="W19" s="304" t="n">
        <v>2</v>
      </c>
      <c r="X19" s="678" t="n">
        <v>2</v>
      </c>
      <c r="Y19" s="173">
        <f>X19*V19*E19*I19*20</f>
        <v/>
      </c>
      <c r="Z19" s="173">
        <f>X19*W19*E19*I19*20</f>
        <v/>
      </c>
      <c r="AB19" s="163">
        <f>MONTH(O19)</f>
        <v/>
      </c>
      <c r="AC19" s="654">
        <f>YEAR(O19)</f>
        <v/>
      </c>
      <c r="AD19" s="654">
        <f>AB19&amp;"-"&amp;AC19&amp;"-"&amp;C19</f>
        <v/>
      </c>
      <c r="AE19" s="654">
        <f>C19</f>
        <v/>
      </c>
      <c r="AF19" s="685">
        <f>MATCH(AE19,ALLM!$C$34:$C$43,)</f>
        <v/>
      </c>
      <c r="AH19" s="163">
        <f>IF(C19="2333",IF(X19=2,1,0),0)</f>
        <v/>
      </c>
      <c r="AI19" s="163">
        <f>IF(C19="2333",IF(X19=1,1,0),0)</f>
        <v/>
      </c>
    </row>
    <row r="20">
      <c r="A20" s="147">
        <f>INDIRECT(ADDRESS(ROW()-1,COLUMN()))+1</f>
        <v/>
      </c>
      <c r="B20" s="483" t="inlineStr">
        <is>
          <t>Great Wall Motor</t>
        </is>
      </c>
      <c r="C20" s="167" t="inlineStr">
        <is>
          <t>2333</t>
        </is>
      </c>
      <c r="D20" s="168" t="inlineStr">
        <is>
          <t>GREATWALL - 58</t>
        </is>
      </c>
      <c r="E20" s="124" t="n">
        <v>3000</v>
      </c>
      <c r="F20" s="169" t="inlineStr">
        <is>
          <t>/</t>
        </is>
      </c>
      <c r="G20" s="125" t="n">
        <v>6000</v>
      </c>
      <c r="H20" s="324" t="n">
        <v>4.6771</v>
      </c>
      <c r="I20" s="325" t="n">
        <v>6.3599</v>
      </c>
      <c r="J20" s="324" t="n">
        <v>4.4432</v>
      </c>
      <c r="K20" s="170" t="n">
        <v>5</v>
      </c>
      <c r="L20" s="171">
        <f>M20-K20</f>
        <v/>
      </c>
      <c r="M20" s="171" t="n">
        <v>12</v>
      </c>
      <c r="N20" s="172" t="n">
        <v>43916</v>
      </c>
      <c r="O20" s="172" t="n">
        <v>44280</v>
      </c>
      <c r="P20" s="682" t="n"/>
      <c r="Q20" s="162">
        <f>E20*L20*20*X20</f>
        <v/>
      </c>
      <c r="R20" s="785">
        <f>E20*I20*L20*20*X20</f>
        <v/>
      </c>
      <c r="S20" s="682" t="n"/>
      <c r="T20" s="785">
        <f>E20*I20*20*X20</f>
        <v/>
      </c>
      <c r="U20" s="0" t="n">
        <v>9.119999999999999</v>
      </c>
      <c r="V20" s="304" t="n">
        <v>1</v>
      </c>
      <c r="W20" s="304" t="n">
        <v>2</v>
      </c>
      <c r="X20" s="678" t="n">
        <v>2</v>
      </c>
      <c r="Y20" s="173">
        <f>X20*V20*E20*I20*20</f>
        <v/>
      </c>
      <c r="Z20" s="173">
        <f>X20*W20*E20*I20*20</f>
        <v/>
      </c>
      <c r="AB20" s="163">
        <f>MONTH(O20)</f>
        <v/>
      </c>
      <c r="AC20" s="654">
        <f>YEAR(O20)</f>
        <v/>
      </c>
      <c r="AD20" s="654">
        <f>AB20&amp;"-"&amp;AC20&amp;"-"&amp;C20</f>
        <v/>
      </c>
      <c r="AE20" s="654">
        <f>C20</f>
        <v/>
      </c>
      <c r="AF20" s="685">
        <f>MATCH(AE20,ALLM!$C$34:$C$43,)</f>
        <v/>
      </c>
      <c r="AH20" s="163">
        <f>IF(C20="2333",IF(X20=2,1,0),0)</f>
        <v/>
      </c>
      <c r="AI20" s="163">
        <f>IF(C20="2333",IF(X20=1,1,0),0)</f>
        <v/>
      </c>
    </row>
    <row r="21">
      <c r="A21" s="147">
        <f>INDIRECT(ADDRESS(ROW()-1,COLUMN()))+1</f>
        <v/>
      </c>
      <c r="B21" s="483" t="inlineStr">
        <is>
          <t>Great Wall Motor</t>
        </is>
      </c>
      <c r="C21" s="167" t="inlineStr">
        <is>
          <t>2333</t>
        </is>
      </c>
      <c r="D21" s="168" t="inlineStr">
        <is>
          <t>GREATWALL - 59</t>
        </is>
      </c>
      <c r="E21" s="124" t="n">
        <v>5000</v>
      </c>
      <c r="F21" s="169" t="inlineStr">
        <is>
          <t>/</t>
        </is>
      </c>
      <c r="G21" s="125" t="n">
        <v>10000</v>
      </c>
      <c r="H21" s="324" t="n">
        <v>4.936</v>
      </c>
      <c r="I21" s="325" t="n">
        <v>6.2796</v>
      </c>
      <c r="J21" s="324" t="n">
        <v>4.6892</v>
      </c>
      <c r="K21" s="170" t="n">
        <v>5</v>
      </c>
      <c r="L21" s="171">
        <f>M21-K21</f>
        <v/>
      </c>
      <c r="M21" s="171" t="n">
        <v>9</v>
      </c>
      <c r="N21" s="172" t="n">
        <v>43922</v>
      </c>
      <c r="O21" s="172" t="n">
        <v>44196</v>
      </c>
      <c r="P21" s="682" t="n"/>
      <c r="Q21" s="162">
        <f>E21*L21*20*X21</f>
        <v/>
      </c>
      <c r="R21" s="785">
        <f>E21*I21*L21*20*X21</f>
        <v/>
      </c>
      <c r="S21" s="682" t="n"/>
      <c r="T21" s="785">
        <f>E21*I21*20*X21</f>
        <v/>
      </c>
      <c r="U21" s="0" t="n">
        <v>9.119999999999999</v>
      </c>
      <c r="V21" s="304" t="n">
        <v>1</v>
      </c>
      <c r="W21" s="304" t="n">
        <v>0</v>
      </c>
      <c r="X21" s="678" t="n">
        <v>2</v>
      </c>
      <c r="Y21" s="173">
        <f>X21*V21*E21*I21*20</f>
        <v/>
      </c>
      <c r="Z21" s="173">
        <f>X21*W21*E21*I21*20</f>
        <v/>
      </c>
      <c r="AB21" s="163">
        <f>MONTH(O21)</f>
        <v/>
      </c>
      <c r="AC21" s="654">
        <f>YEAR(O21)</f>
        <v/>
      </c>
      <c r="AD21" s="654">
        <f>AB21&amp;"-"&amp;AC21&amp;"-"&amp;C21</f>
        <v/>
      </c>
      <c r="AE21" s="654">
        <f>C21</f>
        <v/>
      </c>
      <c r="AF21" s="685">
        <f>MATCH(AE21,ALLM!$C$34:$C$43,)</f>
        <v/>
      </c>
      <c r="AH21" s="163">
        <f>IF(C21="2333",IF(X21=2,1,0),0)</f>
        <v/>
      </c>
      <c r="AI21" s="163">
        <f>IF(C21="2333",IF(X21=1,1,0),0)</f>
        <v/>
      </c>
    </row>
    <row r="22">
      <c r="A22" s="147">
        <f>INDIRECT(ADDRESS(ROW()-1,COLUMN()))+1</f>
        <v/>
      </c>
      <c r="B22" s="483" t="inlineStr">
        <is>
          <t>Great Wall Motor</t>
        </is>
      </c>
      <c r="C22" s="167" t="inlineStr">
        <is>
          <t>2333</t>
        </is>
      </c>
      <c r="D22" s="168" t="inlineStr">
        <is>
          <t>GREATWALL - 60</t>
        </is>
      </c>
      <c r="E22" s="124" t="n">
        <v>2100</v>
      </c>
      <c r="F22" s="169" t="inlineStr">
        <is>
          <t>/</t>
        </is>
      </c>
      <c r="G22" s="125" t="n">
        <v>4200</v>
      </c>
      <c r="H22" s="324" t="n">
        <v>5.02</v>
      </c>
      <c r="I22" s="325" t="n">
        <v>6.271</v>
      </c>
      <c r="J22" s="324" t="n">
        <v>4.769</v>
      </c>
      <c r="K22" s="170" t="n">
        <v>4</v>
      </c>
      <c r="L22" s="171">
        <f>M22-K22</f>
        <v/>
      </c>
      <c r="M22" s="171" t="n">
        <v>12</v>
      </c>
      <c r="N22" s="172" t="n">
        <v>43936</v>
      </c>
      <c r="O22" s="172" t="n">
        <v>44300</v>
      </c>
      <c r="P22" s="682" t="n"/>
      <c r="Q22" s="162">
        <f>E22*L22*20*X22</f>
        <v/>
      </c>
      <c r="R22" s="785">
        <f>E22*I22*L22*20*X22</f>
        <v/>
      </c>
      <c r="S22" s="682" t="n"/>
      <c r="T22" s="785">
        <f>E22*I22*20*X22</f>
        <v/>
      </c>
      <c r="U22" s="0" t="n">
        <v>9.119999999999999</v>
      </c>
      <c r="V22" s="304" t="n">
        <v>1</v>
      </c>
      <c r="W22" s="304" t="n">
        <v>2</v>
      </c>
      <c r="X22" s="678" t="n">
        <v>2</v>
      </c>
      <c r="Y22" s="173">
        <f>X22*V22*E22*I22*20</f>
        <v/>
      </c>
      <c r="Z22" s="173">
        <f>X22*W22*E22*I22*20</f>
        <v/>
      </c>
      <c r="AB22" s="163">
        <f>MONTH(O22)</f>
        <v/>
      </c>
      <c r="AC22" s="654">
        <f>YEAR(O22)</f>
        <v/>
      </c>
      <c r="AD22" s="654">
        <f>AB22&amp;"-"&amp;AC22&amp;"-"&amp;C22</f>
        <v/>
      </c>
      <c r="AE22" s="654">
        <f>C22</f>
        <v/>
      </c>
      <c r="AF22" s="685">
        <f>MATCH(AE22,ALLM!$C$34:$C$43,)</f>
        <v/>
      </c>
      <c r="AH22" s="163">
        <f>IF(C22="2333",IF(X22=2,1,0),0)</f>
        <v/>
      </c>
      <c r="AI22" s="163">
        <f>IF(C22="2333",IF(X22=1,1,0),0)</f>
        <v/>
      </c>
    </row>
    <row r="23">
      <c r="A23" s="147">
        <f>INDIRECT(ADDRESS(ROW()-1,COLUMN()))+1</f>
        <v/>
      </c>
      <c r="B23" s="483" t="inlineStr">
        <is>
          <t>Great Wall Motor</t>
        </is>
      </c>
      <c r="C23" s="167" t="inlineStr">
        <is>
          <t>2333</t>
        </is>
      </c>
      <c r="D23" s="168" t="inlineStr">
        <is>
          <t>GREATWALL - 62</t>
        </is>
      </c>
      <c r="E23" s="124" t="n">
        <v>5000</v>
      </c>
      <c r="F23" s="169" t="inlineStr">
        <is>
          <t>/</t>
        </is>
      </c>
      <c r="G23" s="125" t="n">
        <v>10000</v>
      </c>
      <c r="H23" s="324" t="n">
        <v>5.19</v>
      </c>
      <c r="I23" s="325" t="n">
        <v>6.1771</v>
      </c>
      <c r="J23" s="324" t="n">
        <v>4.9305</v>
      </c>
      <c r="K23" s="170" t="n">
        <v>2</v>
      </c>
      <c r="L23" s="171">
        <f>M23-K23</f>
        <v/>
      </c>
      <c r="M23" s="171" t="n">
        <v>12</v>
      </c>
      <c r="N23" s="172" t="n">
        <v>44018</v>
      </c>
      <c r="O23" s="172" t="n">
        <v>44382</v>
      </c>
      <c r="P23" s="682" t="n"/>
      <c r="Q23" s="162">
        <f>E23*L23*20*X23</f>
        <v/>
      </c>
      <c r="R23" s="785">
        <f>E23*I23*L23*20*X23</f>
        <v/>
      </c>
      <c r="S23" s="682" t="n"/>
      <c r="T23" s="785">
        <f>E23*I23*20*X23</f>
        <v/>
      </c>
      <c r="U23" s="0" t="n">
        <v>9.119999999999999</v>
      </c>
      <c r="V23" s="304" t="n">
        <v>0</v>
      </c>
      <c r="W23" s="304" t="n">
        <v>1</v>
      </c>
      <c r="X23" s="678" t="n">
        <v>2</v>
      </c>
      <c r="Y23" s="173">
        <f>X23*V23*E23*I23*20</f>
        <v/>
      </c>
      <c r="Z23" s="173">
        <f>X23*W23*E23*I23*20</f>
        <v/>
      </c>
      <c r="AB23" s="163">
        <f>MONTH(O23)</f>
        <v/>
      </c>
      <c r="AC23" s="654">
        <f>YEAR(O23)</f>
        <v/>
      </c>
      <c r="AD23" s="654">
        <f>AB23&amp;"-"&amp;AC23&amp;"-"&amp;C23</f>
        <v/>
      </c>
      <c r="AE23" s="654">
        <f>C23</f>
        <v/>
      </c>
      <c r="AF23" s="685">
        <f>MATCH(AE23,ALLM!$C$34:$C$43,)</f>
        <v/>
      </c>
      <c r="AH23" s="163">
        <f>IF(C23="2333",IF(X23=2,1,0),0)</f>
        <v/>
      </c>
      <c r="AI23" s="163">
        <f>IF(C23="2333",IF(X23=1,1,0),0)</f>
        <v/>
      </c>
    </row>
    <row r="24">
      <c r="A24" s="147" t="n"/>
    </row>
    <row r="25">
      <c r="L25" s="71" t="n"/>
      <c r="N25" s="453" t="n"/>
      <c r="O25" s="453" t="inlineStr">
        <is>
          <t>Total</t>
        </is>
      </c>
      <c r="P25" s="453" t="n"/>
      <c r="Q25" s="663">
        <f>SUM(Q18:Q24)</f>
        <v/>
      </c>
      <c r="R25" s="94">
        <f>SUM(R18:R24)</f>
        <v/>
      </c>
      <c r="S25" s="453" t="n"/>
      <c r="T25" s="745">
        <f>SUM(T18:T24)</f>
        <v/>
      </c>
    </row>
    <row r="26">
      <c r="A26" s="72" t="n"/>
      <c r="B26" s="448" t="n"/>
      <c r="C26" s="448" t="n"/>
      <c r="D26" s="449" t="n"/>
      <c r="E26" s="448" t="n"/>
      <c r="F26" s="448" t="n"/>
      <c r="G26" s="448" t="n"/>
      <c r="H26" s="299" t="n"/>
      <c r="I26" s="300" t="n"/>
      <c r="J26" s="299" t="n"/>
      <c r="K26" s="72" t="n"/>
      <c r="Q26" s="656" t="inlineStr">
        <is>
          <t>Shares</t>
        </is>
      </c>
      <c r="R26" s="656" t="inlineStr">
        <is>
          <t>HKD</t>
        </is>
      </c>
      <c r="S26" s="656" t="n"/>
      <c r="T26" s="656" t="inlineStr">
        <is>
          <t>HKD</t>
        </is>
      </c>
    </row>
    <row r="27">
      <c r="A27" s="72" t="n"/>
      <c r="B27" s="448" t="n"/>
      <c r="C27" s="448" t="n"/>
      <c r="D27" s="449" t="n"/>
      <c r="E27" s="448" t="n"/>
      <c r="F27" s="448" t="n"/>
      <c r="G27" s="448" t="n"/>
      <c r="H27" s="299" t="n"/>
      <c r="I27" s="300" t="n"/>
      <c r="J27" s="299" t="n"/>
      <c r="K27" s="72" t="n"/>
      <c r="P27" s="682" t="n"/>
      <c r="Q27" s="682" t="n"/>
      <c r="R27" s="682" t="n"/>
      <c r="S27" s="682" t="n"/>
    </row>
    <row r="28" ht="18.75" customHeight="1" s="671">
      <c r="A28" s="72" t="n"/>
      <c r="B28" s="448" t="n"/>
      <c r="C28" s="448" t="n"/>
      <c r="D28" s="449" t="n"/>
      <c r="E28" s="448" t="n"/>
      <c r="F28" s="448" t="n"/>
      <c r="G28" s="448" t="n"/>
      <c r="H28" s="299" t="n"/>
      <c r="I28" s="300" t="n"/>
      <c r="J28" s="71" t="inlineStr">
        <is>
          <t>Total Shares to sell</t>
        </is>
      </c>
      <c r="K28" s="72" t="n"/>
      <c r="L28" s="654" t="n"/>
      <c r="M28" s="462" t="n"/>
      <c r="O28" s="462" t="n"/>
      <c r="P28" s="462" t="n"/>
      <c r="Q28" s="663">
        <f>Q25</f>
        <v/>
      </c>
      <c r="R28" s="750" t="n"/>
      <c r="S28" s="750" t="n"/>
      <c r="T28" s="750" t="n"/>
    </row>
    <row r="29" ht="18.75" customHeight="1" s="671">
      <c r="A29" s="72" t="n"/>
      <c r="B29" s="448" t="n"/>
      <c r="C29" s="448" t="n"/>
      <c r="D29" s="449" t="n"/>
      <c r="E29" s="448" t="n"/>
      <c r="F29" s="448" t="n"/>
      <c r="G29" s="448" t="n"/>
      <c r="H29" s="299" t="n"/>
      <c r="I29" s="300" t="n"/>
      <c r="J29" s="71" t="inlineStr">
        <is>
          <t>On hand</t>
        </is>
      </c>
      <c r="K29" s="72" t="n"/>
      <c r="L29" s="654" t="n"/>
      <c r="M29" s="71" t="n"/>
      <c r="N29" s="666" t="n"/>
      <c r="P29" s="462" t="n"/>
      <c r="Q29" s="663" t="n">
        <v>1187350</v>
      </c>
      <c r="R29" s="750" t="n"/>
      <c r="S29" s="750" t="n"/>
      <c r="T29" s="750" t="n"/>
    </row>
    <row r="30" ht="18.75" customHeight="1" s="671">
      <c r="A30" s="72" t="n"/>
      <c r="B30" s="448" t="n"/>
      <c r="C30" s="448" t="n"/>
      <c r="D30" s="449" t="n"/>
      <c r="E30" s="448" t="n"/>
      <c r="F30" s="448" t="n"/>
      <c r="G30" s="448" t="n"/>
      <c r="H30" s="299" t="n"/>
      <c r="I30" s="300" t="n"/>
      <c r="J30" s="71" t="inlineStr">
        <is>
          <t>Balance shares for decu</t>
        </is>
      </c>
      <c r="K30" s="72" t="n"/>
      <c r="L30" s="654" t="n"/>
      <c r="M30" s="71" t="n"/>
      <c r="N30" s="666" t="n"/>
      <c r="O30" s="666" t="n"/>
      <c r="P30" s="462" t="n"/>
      <c r="Q30" s="110">
        <f>Q28-Q29</f>
        <v/>
      </c>
      <c r="R30" s="750" t="n"/>
      <c r="S30" s="750" t="n"/>
      <c r="T30" s="750" t="n"/>
    </row>
    <row r="31" ht="18.75" customHeight="1" s="671">
      <c r="A31" s="72" t="n"/>
      <c r="B31" s="448" t="n"/>
      <c r="C31" s="448" t="n"/>
      <c r="D31" s="449" t="n"/>
      <c r="E31" s="448" t="n"/>
      <c r="F31" s="448" t="n"/>
      <c r="G31" s="448" t="n"/>
      <c r="H31" s="299" t="n"/>
      <c r="I31" s="300" t="n"/>
      <c r="J31" s="71" t="n"/>
      <c r="K31" s="72" t="n"/>
      <c r="L31" s="654" t="n"/>
      <c r="M31" s="71" t="n"/>
      <c r="N31" s="666" t="n"/>
      <c r="O31" s="666" t="n"/>
      <c r="P31" s="462" t="n"/>
      <c r="Q31" s="663" t="n"/>
      <c r="R31" s="750" t="n"/>
      <c r="S31" s="750" t="n"/>
      <c r="T31" s="750" t="n"/>
    </row>
    <row r="32" ht="18.75" customHeight="1" s="671">
      <c r="A32" s="72" t="n"/>
      <c r="B32" s="448" t="n"/>
      <c r="C32" s="448" t="n"/>
      <c r="D32" s="449" t="n"/>
      <c r="E32" s="448" t="n"/>
      <c r="F32" s="448" t="n"/>
      <c r="G32" s="448" t="n"/>
      <c r="H32" s="299" t="n"/>
      <c r="I32" s="300" t="n"/>
      <c r="J32" s="299" t="n"/>
      <c r="K32" s="72" t="n"/>
      <c r="L32" s="71" t="n"/>
      <c r="M32" s="71" t="n"/>
      <c r="N32" s="666" t="n"/>
      <c r="P32" s="462" t="n"/>
      <c r="R32" s="663" t="inlineStr">
        <is>
          <t>Estimated Amount</t>
        </is>
      </c>
      <c r="S32" s="109" t="n">
        <v>0.3</v>
      </c>
      <c r="T32" s="663" t="inlineStr">
        <is>
          <t>Margin requirement</t>
        </is>
      </c>
    </row>
    <row r="33" ht="18.75" customHeight="1" s="671">
      <c r="A33" s="72" t="n"/>
      <c r="B33" s="448" t="n"/>
      <c r="C33" s="448" t="n"/>
      <c r="D33" s="449" t="n"/>
      <c r="E33" s="448" t="n"/>
      <c r="F33" s="448" t="n"/>
      <c r="G33" s="448" t="n"/>
      <c r="H33" s="116" t="inlineStr">
        <is>
          <t>Collateral 2: 30% x Estimated Amount Total</t>
        </is>
      </c>
      <c r="I33" s="481" t="n"/>
      <c r="J33" s="117" t="n"/>
      <c r="K33" s="481" t="n"/>
      <c r="L33" s="481" t="n"/>
      <c r="M33" s="71" t="n"/>
      <c r="N33" s="666" t="n"/>
      <c r="O33" s="666" t="n"/>
      <c r="P33" s="462" t="n"/>
      <c r="R33" s="663">
        <f>R25</f>
        <v/>
      </c>
      <c r="S33" s="750" t="n"/>
      <c r="T33" s="323">
        <f>-R33*S32</f>
        <v/>
      </c>
    </row>
    <row r="34" ht="18.75" customHeight="1" s="671">
      <c r="A34" s="72" t="n"/>
      <c r="B34" s="448" t="n"/>
      <c r="C34" s="448" t="n"/>
      <c r="D34" s="449" t="n"/>
      <c r="E34" s="448" t="n"/>
      <c r="F34" s="448" t="n"/>
      <c r="G34" s="448" t="n"/>
      <c r="H34" s="71" t="n"/>
      <c r="I34" s="654" t="n"/>
      <c r="J34" s="72" t="n"/>
      <c r="K34" s="654" t="n"/>
      <c r="L34" s="654" t="n"/>
      <c r="M34" s="71" t="n"/>
      <c r="N34" s="666" t="n"/>
      <c r="O34" s="666" t="n"/>
      <c r="P34" s="462" t="n"/>
      <c r="Q34" s="663" t="n"/>
      <c r="R34" s="482" t="n"/>
      <c r="S34" s="750" t="n"/>
      <c r="T34" s="750" t="n"/>
    </row>
    <row r="35" ht="18.75" customHeight="1" s="671">
      <c r="A35" s="72" t="n"/>
      <c r="B35" s="448" t="n"/>
      <c r="C35" s="448" t="n"/>
      <c r="D35" s="449" t="n"/>
      <c r="E35" s="448" t="n"/>
      <c r="F35" s="448" t="n"/>
      <c r="G35" s="448" t="n"/>
      <c r="H35" s="299" t="n"/>
      <c r="I35" s="654" t="n"/>
      <c r="J35" s="72" t="n"/>
      <c r="K35" s="654" t="n"/>
      <c r="L35" s="71" t="n"/>
      <c r="M35" s="71" t="n"/>
      <c r="N35" s="666" t="n"/>
      <c r="O35" s="666" t="n"/>
      <c r="P35" s="462" t="n"/>
      <c r="Q35" s="750" t="inlineStr">
        <is>
          <t>Market Price</t>
        </is>
      </c>
      <c r="R35" s="485">
        <f>market_price</f>
        <v/>
      </c>
    </row>
    <row r="36" ht="30" customFormat="1" customHeight="1" s="665">
      <c r="A36" s="112" t="n"/>
      <c r="B36" s="487" t="n"/>
      <c r="C36" s="487" t="n"/>
      <c r="D36" s="487" t="n"/>
      <c r="E36" s="487" t="n"/>
      <c r="F36" s="487" t="n"/>
      <c r="G36" s="487" t="n"/>
      <c r="H36" s="326" t="n"/>
      <c r="J36" s="112" t="n"/>
      <c r="L36" s="664" t="inlineStr">
        <is>
          <t>Estimated Shares</t>
        </is>
      </c>
      <c r="N36" s="670" t="inlineStr">
        <is>
          <t>On Hand</t>
        </is>
      </c>
      <c r="P36" s="489" t="n"/>
      <c r="Q36" s="670" t="inlineStr">
        <is>
          <t>Balance shares for decu</t>
        </is>
      </c>
      <c r="R36" s="490" t="inlineStr">
        <is>
          <t>Strike Price minus Market Price</t>
        </is>
      </c>
      <c r="S36" s="786" t="n"/>
      <c r="T36" s="111" t="inlineStr">
        <is>
          <t>Collateral needed</t>
        </is>
      </c>
      <c r="W36" s="113" t="n"/>
      <c r="X36" s="113" t="n"/>
      <c r="Y36" s="114" t="n"/>
      <c r="Z36" s="114" t="n"/>
      <c r="AB36" s="115" t="n"/>
    </row>
    <row r="37" ht="18.75" customHeight="1" s="671">
      <c r="A37" s="72" t="n"/>
      <c r="B37" s="448" t="n"/>
      <c r="C37" s="448" t="n"/>
      <c r="D37" s="449" t="n"/>
      <c r="E37" s="448" t="n"/>
      <c r="F37" s="448" t="n"/>
      <c r="G37" s="448" t="n"/>
      <c r="H37" s="116" t="inlineStr">
        <is>
          <t xml:space="preserve">Collateral 3: </t>
        </is>
      </c>
      <c r="I37" s="481" t="n"/>
      <c r="J37" s="666" t="inlineStr">
        <is>
          <t>Strike 1</t>
        </is>
      </c>
      <c r="K37" s="654" t="n"/>
      <c r="L37" s="662">
        <f>I19</f>
        <v/>
      </c>
      <c r="N37" s="663">
        <f>Q29</f>
        <v/>
      </c>
      <c r="P37" s="462" t="n"/>
      <c r="Q37" s="663">
        <f>Q19-N37</f>
        <v/>
      </c>
      <c r="R37" s="327">
        <f>L37-market_price</f>
        <v/>
      </c>
      <c r="S37" s="750" t="n"/>
      <c r="T37" s="328">
        <f>Q37*R37</f>
        <v/>
      </c>
    </row>
    <row r="38" ht="18.75" customHeight="1" s="671">
      <c r="A38" s="72" t="n"/>
      <c r="B38" s="448" t="n"/>
      <c r="C38" s="448" t="n"/>
      <c r="D38" s="449" t="n"/>
      <c r="E38" s="448" t="n"/>
      <c r="F38" s="448" t="n"/>
      <c r="G38" s="448" t="n"/>
      <c r="H38" s="300" t="n"/>
      <c r="I38" s="299" t="n"/>
      <c r="J38" s="666" t="inlineStr">
        <is>
          <t>Strike 2</t>
        </is>
      </c>
      <c r="K38" s="654" t="n"/>
      <c r="L38" s="662">
        <f>I20</f>
        <v/>
      </c>
      <c r="N38" s="663" t="n">
        <v>0</v>
      </c>
      <c r="P38" s="462" t="n"/>
      <c r="Q38" s="663">
        <f>Q20</f>
        <v/>
      </c>
      <c r="R38" s="327">
        <f>L38-market_price</f>
        <v/>
      </c>
      <c r="S38" s="750" t="n"/>
      <c r="T38" s="328">
        <f>Q38*R38</f>
        <v/>
      </c>
    </row>
    <row r="39" ht="18.75" customHeight="1" s="671">
      <c r="A39" s="72" t="n"/>
      <c r="B39" s="448" t="n"/>
      <c r="C39" s="448" t="n"/>
      <c r="D39" s="449" t="n"/>
      <c r="E39" s="448" t="n"/>
      <c r="F39" s="448" t="n"/>
      <c r="G39" s="448" t="n"/>
      <c r="H39" s="300" t="n"/>
      <c r="I39" s="299" t="n"/>
      <c r="J39" s="666" t="inlineStr">
        <is>
          <t>Strike 3</t>
        </is>
      </c>
      <c r="K39" s="654" t="n"/>
      <c r="L39" s="662">
        <f>I21</f>
        <v/>
      </c>
      <c r="N39" s="663" t="n">
        <v>0</v>
      </c>
      <c r="P39" s="462" t="n"/>
      <c r="Q39" s="663">
        <f>Q21</f>
        <v/>
      </c>
      <c r="R39" s="327">
        <f>L39-market_price</f>
        <v/>
      </c>
      <c r="S39" s="750" t="n"/>
      <c r="T39" s="328">
        <f>Q39*R39</f>
        <v/>
      </c>
    </row>
    <row r="40" ht="18.75" customHeight="1" s="671">
      <c r="A40" s="72" t="n"/>
      <c r="B40" s="448" t="n"/>
      <c r="C40" s="448" t="n"/>
      <c r="D40" s="449" t="n"/>
      <c r="E40" s="448" t="n"/>
      <c r="F40" s="448" t="n"/>
      <c r="G40" s="448" t="n"/>
      <c r="H40" s="300" t="n"/>
      <c r="I40" s="299" t="n"/>
      <c r="J40" s="666" t="inlineStr">
        <is>
          <t>Strike 4</t>
        </is>
      </c>
      <c r="K40" s="654" t="n"/>
      <c r="L40" s="662">
        <f>I22</f>
        <v/>
      </c>
      <c r="N40" s="663" t="n">
        <v>0</v>
      </c>
      <c r="P40" s="462" t="n"/>
      <c r="Q40" s="663">
        <f>Q22</f>
        <v/>
      </c>
      <c r="R40" s="327">
        <f>L40-market_price</f>
        <v/>
      </c>
      <c r="S40" s="750" t="n"/>
      <c r="T40" s="328">
        <f>Q40*R40</f>
        <v/>
      </c>
    </row>
    <row r="41" ht="18.75" customHeight="1" s="671">
      <c r="A41" s="72" t="n"/>
      <c r="B41" s="448" t="n"/>
      <c r="C41" s="448" t="n"/>
      <c r="D41" s="449" t="n"/>
      <c r="E41" s="448" t="n"/>
      <c r="F41" s="448" t="n"/>
      <c r="G41" s="448" t="n"/>
      <c r="H41" s="300" t="n"/>
      <c r="I41" s="299" t="n"/>
      <c r="J41" s="666" t="inlineStr">
        <is>
          <t>Strike 5</t>
        </is>
      </c>
      <c r="K41" s="654" t="n"/>
      <c r="L41" s="662">
        <f>I23</f>
        <v/>
      </c>
      <c r="N41" s="668" t="n">
        <v>0</v>
      </c>
      <c r="O41" s="628" t="n"/>
      <c r="P41" s="492" t="n"/>
      <c r="Q41" s="663">
        <f>Q23</f>
        <v/>
      </c>
      <c r="R41" s="329">
        <f>L41-market_price</f>
        <v/>
      </c>
      <c r="S41" s="787" t="n"/>
      <c r="T41" s="330">
        <f>Q41*R41</f>
        <v/>
      </c>
    </row>
    <row r="42" ht="18.75" customHeight="1" s="671">
      <c r="A42" s="72" t="n"/>
      <c r="B42" s="448" t="n"/>
      <c r="C42" s="448" t="n"/>
      <c r="D42" s="449" t="n"/>
      <c r="E42" s="448" t="n"/>
      <c r="F42" s="448" t="n"/>
      <c r="G42" s="448" t="n"/>
      <c r="H42" s="300" t="n"/>
      <c r="I42" s="71" t="inlineStr">
        <is>
          <t>Sub Total</t>
        </is>
      </c>
      <c r="J42" s="654" t="n"/>
      <c r="K42" s="654" t="n"/>
      <c r="L42" s="666" t="n"/>
      <c r="M42" s="654" t="n"/>
      <c r="N42" s="663">
        <f>SUM(N37:O41)</f>
        <v/>
      </c>
      <c r="P42" s="462" t="n"/>
      <c r="Q42" s="667">
        <f>SUM(Q37:Q41)</f>
        <v/>
      </c>
      <c r="R42" s="750" t="n"/>
      <c r="S42" s="750" t="n"/>
      <c r="T42" s="323">
        <f>SUM(T37:T41)</f>
        <v/>
      </c>
    </row>
    <row r="43" ht="18.75" customHeight="1" s="671">
      <c r="A43" s="72" t="n"/>
      <c r="B43" s="448" t="n"/>
      <c r="C43" s="448" t="n"/>
      <c r="D43" s="449" t="n"/>
      <c r="E43" s="448" t="n"/>
      <c r="F43" s="448" t="n"/>
      <c r="G43" s="448" t="n"/>
      <c r="H43" s="299" t="n"/>
      <c r="I43" s="300" t="n"/>
      <c r="J43" s="299" t="n"/>
      <c r="K43" s="72" t="n"/>
      <c r="L43" s="71" t="n"/>
      <c r="M43" s="71" t="n"/>
      <c r="N43" s="666" t="n"/>
      <c r="O43" s="666" t="n"/>
      <c r="P43" s="462" t="n"/>
      <c r="Q43" s="663" t="n"/>
      <c r="R43" s="750" t="n"/>
      <c r="S43" s="750" t="n"/>
      <c r="T43" s="750" t="n"/>
    </row>
    <row r="44" ht="18.75" customHeight="1" s="671">
      <c r="A44" s="72" t="n"/>
      <c r="B44" s="448" t="n"/>
      <c r="C44" s="448" t="n"/>
      <c r="D44" s="449" t="n"/>
      <c r="E44" s="448" t="n"/>
      <c r="F44" s="448" t="n"/>
      <c r="G44" s="448" t="n"/>
      <c r="H44" s="116" t="inlineStr">
        <is>
          <t>Total collateral needed</t>
        </is>
      </c>
      <c r="I44" s="331" t="n"/>
      <c r="J44" s="481" t="n"/>
      <c r="K44" s="72" t="n"/>
      <c r="L44" s="654" t="n"/>
      <c r="M44" s="71" t="n"/>
      <c r="N44" s="666" t="n"/>
      <c r="O44" s="666" t="n"/>
      <c r="P44" s="462" t="n"/>
      <c r="Q44" s="663" t="n"/>
      <c r="R44" s="750" t="n"/>
      <c r="S44" s="750" t="n"/>
      <c r="T44" s="323">
        <f>T33+T42+T15</f>
        <v/>
      </c>
    </row>
    <row r="45" ht="18.75" customHeight="1" s="671">
      <c r="A45" s="72" t="n"/>
      <c r="B45" s="448" t="n"/>
      <c r="C45" s="448" t="n"/>
      <c r="D45" s="449" t="n"/>
      <c r="E45" s="448" t="n"/>
      <c r="F45" s="448" t="n"/>
      <c r="G45" s="448" t="n"/>
      <c r="H45" s="71" t="n"/>
      <c r="I45" s="300" t="n"/>
      <c r="J45" s="654" t="n"/>
      <c r="K45" s="72" t="n"/>
      <c r="L45" s="654" t="n"/>
      <c r="M45" s="71" t="n"/>
      <c r="N45" s="666" t="n"/>
      <c r="O45" s="666" t="n"/>
      <c r="P45" s="462" t="n"/>
      <c r="Q45" s="663" t="n"/>
      <c r="R45" s="663" t="inlineStr">
        <is>
          <t>USD Rate 7.75</t>
        </is>
      </c>
      <c r="S45" s="750" t="n"/>
      <c r="T45" s="332">
        <f>T44/7.75</f>
        <v/>
      </c>
    </row>
    <row r="48" ht="15.75" customHeight="1" s="671">
      <c r="A48" s="76" t="inlineStr">
        <is>
          <t>CITIBANK  Account No.  2</t>
        </is>
      </c>
      <c r="B48" s="75" t="n"/>
      <c r="C48" s="447" t="n"/>
      <c r="D48" s="447" t="n"/>
      <c r="E48" s="681" t="n"/>
      <c r="F48" s="681" t="n"/>
      <c r="G48" s="681" t="n"/>
      <c r="H48" s="285" t="n"/>
      <c r="I48" s="285" t="n"/>
      <c r="J48" s="286" t="n"/>
      <c r="K48" s="298" t="n"/>
      <c r="L48" s="298" t="n"/>
      <c r="M48" s="298" t="n"/>
      <c r="N48" s="298" t="n"/>
      <c r="O48" s="298" t="n"/>
      <c r="P48" s="298" t="n"/>
      <c r="Q48" s="298" t="n"/>
      <c r="R48" s="298" t="n"/>
    </row>
    <row r="49" ht="9.75" customHeight="1" s="671">
      <c r="A49" s="72" t="n"/>
      <c r="B49" s="448" t="n"/>
      <c r="C49" s="448" t="n"/>
      <c r="D49" s="449" t="n"/>
      <c r="E49" s="448" t="inlineStr">
        <is>
          <t>`</t>
        </is>
      </c>
      <c r="F49" s="448" t="n"/>
      <c r="G49" s="448" t="n"/>
      <c r="H49" s="299" t="n"/>
      <c r="I49" s="300" t="inlineStr">
        <is>
          <t>`</t>
        </is>
      </c>
      <c r="J49" s="299" t="n"/>
      <c r="K49" s="298" t="n"/>
      <c r="L49" s="298" t="n"/>
      <c r="M49" s="298" t="n"/>
      <c r="N49" s="298" t="n"/>
      <c r="O49" s="298" t="n"/>
      <c r="P49" s="298" t="n"/>
      <c r="Q49" s="298" t="n"/>
      <c r="R49" s="298" t="n"/>
    </row>
    <row r="50" ht="15" customFormat="1" customHeight="1" s="642">
      <c r="A50" s="646" t="n"/>
      <c r="B50" s="640" t="inlineStr">
        <is>
          <t>ACCUMULATOR</t>
        </is>
      </c>
      <c r="C50" s="631" t="inlineStr">
        <is>
          <t>CODE</t>
        </is>
      </c>
      <c r="D50" s="631" t="n"/>
      <c r="E50" s="624" t="inlineStr">
        <is>
          <t>SHARES / DAY</t>
        </is>
      </c>
      <c r="F50" s="625" t="n"/>
      <c r="G50" s="626" t="n"/>
      <c r="H50" s="633" t="inlineStr">
        <is>
          <t>SPOT PRICE</t>
        </is>
      </c>
      <c r="I50" s="633" t="inlineStr">
        <is>
          <t>STRIKE PRICE</t>
        </is>
      </c>
      <c r="J50" s="633" t="inlineStr">
        <is>
          <t>K/O PRICE</t>
        </is>
      </c>
      <c r="K50" s="637" t="inlineStr">
        <is>
          <t>LIFE TERM OF CONTRACT</t>
        </is>
      </c>
      <c r="L50" s="638" t="n"/>
      <c r="M50" s="639" t="n"/>
      <c r="N50" s="622" t="inlineStr">
        <is>
          <t>START DATE</t>
        </is>
      </c>
      <c r="O50" s="622" t="inlineStr">
        <is>
          <t>END DATE</t>
        </is>
      </c>
      <c r="P50" s="682" t="n"/>
      <c r="Q50" s="632" t="inlineStr">
        <is>
          <t>Estimated Total Shares Remaining</t>
        </is>
      </c>
      <c r="R50" s="683" t="inlineStr">
        <is>
          <t>Estimated Amount</t>
        </is>
      </c>
      <c r="S50" s="682" t="n"/>
      <c r="T50" s="683" t="inlineStr">
        <is>
          <t>Estimated Amount per month</t>
        </is>
      </c>
      <c r="V50" s="678" t="n"/>
      <c r="W50" s="678" t="n"/>
      <c r="X50" s="155" t="n"/>
      <c r="Y50" s="154" t="inlineStr">
        <is>
          <t>Month 1</t>
        </is>
      </c>
      <c r="Z50" s="154" t="inlineStr">
        <is>
          <t>Month 2</t>
        </is>
      </c>
    </row>
    <row r="51" ht="20.45" customFormat="1" customHeight="1" s="642">
      <c r="A51" s="646" t="n"/>
      <c r="B51" s="623" t="n"/>
      <c r="C51" s="623" t="n"/>
      <c r="D51" s="390" t="inlineStr">
        <is>
          <t>CB1</t>
        </is>
      </c>
      <c r="E51" s="627" t="n"/>
      <c r="F51" s="628" t="n"/>
      <c r="G51" s="629" t="n"/>
      <c r="H51" s="623" t="n"/>
      <c r="I51" s="623" t="n"/>
      <c r="J51" s="623" t="n"/>
      <c r="K51" s="637" t="inlineStr">
        <is>
          <t>RCVD mos.</t>
        </is>
      </c>
      <c r="L51" s="637" t="inlineStr">
        <is>
          <t>REM mos.</t>
        </is>
      </c>
      <c r="M51" s="637" t="inlineStr">
        <is>
          <t>Total mos.</t>
        </is>
      </c>
      <c r="N51" s="623" t="n"/>
      <c r="O51" s="623" t="n"/>
      <c r="P51" s="682" t="n"/>
      <c r="Q51" s="623" t="n"/>
      <c r="R51" s="623" t="n"/>
      <c r="S51" s="682" t="n"/>
      <c r="T51" s="623" t="n"/>
      <c r="U51" s="642" t="inlineStr">
        <is>
          <t>Price</t>
        </is>
      </c>
      <c r="V51" s="678" t="inlineStr">
        <is>
          <t>NOW</t>
        </is>
      </c>
      <c r="W51" s="678" t="inlineStr">
        <is>
          <t>NEXT</t>
        </is>
      </c>
      <c r="X51" s="155" t="inlineStr">
        <is>
          <t>sd</t>
        </is>
      </c>
      <c r="Y51" s="154" t="inlineStr">
        <is>
          <t>hkd</t>
        </is>
      </c>
      <c r="Z51" s="154" t="inlineStr">
        <is>
          <t>hkd</t>
        </is>
      </c>
    </row>
    <row r="52" customFormat="1" s="642">
      <c r="A52" s="158">
        <f>INDIRECT(ADDRESS(ROW()-1,COLUMN()))+1</f>
        <v/>
      </c>
      <c r="B52" s="416" t="inlineStr">
        <is>
          <t>Great Wall Motor</t>
        </is>
      </c>
      <c r="C52" s="148" t="inlineStr">
        <is>
          <t>2333</t>
        </is>
      </c>
      <c r="D52" s="141" t="inlineStr">
        <is>
          <t>GREATWALL - 58</t>
        </is>
      </c>
      <c r="E52" s="118" t="n">
        <v>2500</v>
      </c>
      <c r="F52" s="277" t="inlineStr">
        <is>
          <t>/</t>
        </is>
      </c>
      <c r="G52" s="119" t="n">
        <v>5000</v>
      </c>
      <c r="H52" s="273" t="n">
        <v>8.5</v>
      </c>
      <c r="I52" s="274" t="n">
        <v>6.9258</v>
      </c>
      <c r="J52" s="273" t="n">
        <v>9.35</v>
      </c>
      <c r="K52" s="152" t="n">
        <v>0</v>
      </c>
      <c r="L52" s="152">
        <f>M52-K52</f>
        <v/>
      </c>
      <c r="M52" s="152" t="n">
        <v>12</v>
      </c>
      <c r="N52" s="143" t="n">
        <v>44075</v>
      </c>
      <c r="O52" s="143" t="n">
        <v>44439</v>
      </c>
      <c r="Q52" s="153">
        <f>E52*L52*20*X52</f>
        <v/>
      </c>
      <c r="R52" s="784">
        <f>E52*I52*L52*20*X52</f>
        <v/>
      </c>
      <c r="T52" s="784">
        <f>E52*I52*20*X52</f>
        <v/>
      </c>
      <c r="U52" s="0" t="n">
        <v>9.119999999999999</v>
      </c>
      <c r="V52" s="282" t="n">
        <v>1</v>
      </c>
      <c r="W52" s="282" t="n">
        <v>0</v>
      </c>
      <c r="X52" s="0" t="n">
        <v>1</v>
      </c>
      <c r="Y52" s="154">
        <f>X52*V52*E52*I52*20</f>
        <v/>
      </c>
      <c r="Z52" s="154">
        <f>X52*W52*E52*I52*20</f>
        <v/>
      </c>
      <c r="AB52" s="642">
        <f>MONTH(O52)</f>
        <v/>
      </c>
      <c r="AC52" s="642">
        <f>YEAR(O52)</f>
        <v/>
      </c>
      <c r="AD52" s="642">
        <f>AB52&amp;"-"&amp;AC52&amp;"-"&amp;C52</f>
        <v/>
      </c>
      <c r="AE52" s="642">
        <f>C52</f>
        <v/>
      </c>
      <c r="AF52" s="685">
        <f>MATCH(AE52,ALLM!C$2:C$13,)</f>
        <v/>
      </c>
    </row>
    <row r="53" customFormat="1" s="642">
      <c r="A53" s="158">
        <f>INDIRECT(ADDRESS(ROW()-1,COLUMN()))+1</f>
        <v/>
      </c>
      <c r="B53" s="416" t="inlineStr">
        <is>
          <t>Great Wall Motor</t>
        </is>
      </c>
      <c r="C53" s="148" t="inlineStr">
        <is>
          <t>2333</t>
        </is>
      </c>
      <c r="D53" s="141" t="inlineStr">
        <is>
          <t>GREATWALL - 59</t>
        </is>
      </c>
      <c r="E53" s="118" t="n">
        <v>7000</v>
      </c>
      <c r="F53" s="277" t="inlineStr">
        <is>
          <t>/</t>
        </is>
      </c>
      <c r="G53" s="119" t="n">
        <v>14000</v>
      </c>
      <c r="H53" s="273" t="n">
        <v>9.0944</v>
      </c>
      <c r="I53" s="274" t="n">
        <v>7.9558</v>
      </c>
      <c r="J53" s="273" t="n">
        <v>10.0038</v>
      </c>
      <c r="K53" s="152" t="n">
        <v>0</v>
      </c>
      <c r="L53" s="152">
        <f>M53-K53</f>
        <v/>
      </c>
      <c r="M53" s="152" t="n">
        <v>6</v>
      </c>
      <c r="N53" s="143" t="n">
        <v>44076</v>
      </c>
      <c r="O53" s="143" t="n">
        <v>44256</v>
      </c>
      <c r="Q53" s="153">
        <f>E53*L53*20*X53</f>
        <v/>
      </c>
      <c r="R53" s="784">
        <f>E53*I53*L53*20*X53</f>
        <v/>
      </c>
      <c r="T53" s="784">
        <f>E53*I53*20*X53</f>
        <v/>
      </c>
      <c r="U53" s="0" t="n">
        <v>9.119999999999999</v>
      </c>
      <c r="V53" s="282" t="n">
        <v>0</v>
      </c>
      <c r="W53" s="282" t="n">
        <v>1</v>
      </c>
      <c r="X53" s="0" t="n">
        <v>1</v>
      </c>
      <c r="Y53" s="154">
        <f>X53*V53*E53*I53*20</f>
        <v/>
      </c>
      <c r="Z53" s="154">
        <f>X53*W53*E53*I53*20</f>
        <v/>
      </c>
      <c r="AB53" s="642">
        <f>MONTH(O53)</f>
        <v/>
      </c>
      <c r="AC53" s="642">
        <f>YEAR(O53)</f>
        <v/>
      </c>
      <c r="AD53" s="642">
        <f>AB53&amp;"-"&amp;AC53&amp;"-"&amp;C53</f>
        <v/>
      </c>
      <c r="AE53" s="642">
        <f>C53</f>
        <v/>
      </c>
      <c r="AF53" s="685">
        <f>MATCH(AE53,ALLM!C$2:C$13,)</f>
        <v/>
      </c>
    </row>
    <row r="54" ht="15.6" customFormat="1" customHeight="1" s="642">
      <c r="A54" s="64" t="n"/>
      <c r="B54" s="388" t="n"/>
      <c r="C54" s="388" t="n"/>
      <c r="D54" s="388" t="n"/>
      <c r="E54" s="388" t="n"/>
      <c r="F54" s="388" t="n"/>
      <c r="G54" s="388" t="n"/>
      <c r="H54" s="247" t="n"/>
      <c r="I54" s="248" t="n"/>
      <c r="J54" s="247" t="n"/>
      <c r="K54" s="64" t="n"/>
      <c r="L54" s="646" t="n"/>
      <c r="M54" s="646" t="n"/>
      <c r="N54" s="394" t="n"/>
      <c r="O54" s="394" t="n"/>
      <c r="V54" s="678" t="n"/>
      <c r="W54" s="678" t="n"/>
      <c r="X54" s="155" t="n"/>
      <c r="Y54" s="154" t="n"/>
      <c r="Z54" s="154" t="n"/>
    </row>
    <row r="55" ht="15.6" customFormat="1" customHeight="1" s="353">
      <c r="A55" s="66" t="n"/>
      <c r="B55" s="395" t="n"/>
      <c r="C55" s="395" t="n"/>
      <c r="D55" s="395" t="n"/>
      <c r="E55" s="395" t="n"/>
      <c r="F55" s="395" t="n"/>
      <c r="G55" s="395" t="n"/>
      <c r="H55" s="251" t="n"/>
      <c r="I55" s="252" t="n"/>
      <c r="J55" s="251" t="n"/>
      <c r="K55" s="66" t="n"/>
      <c r="L55" s="54" t="n"/>
      <c r="M55" s="54" t="n"/>
      <c r="N55" s="394" t="n"/>
      <c r="O55" s="394" t="inlineStr">
        <is>
          <t>Total</t>
        </is>
      </c>
      <c r="P55" s="686" t="n"/>
      <c r="Q55" s="44">
        <f>SUM(Q51:Q54)</f>
        <v/>
      </c>
      <c r="R55" s="686">
        <f>SUM(R51:R54)</f>
        <v/>
      </c>
      <c r="S55" s="686" t="n"/>
      <c r="T55" s="686">
        <f>SUM(T51:T54)</f>
        <v/>
      </c>
      <c r="V55" s="687" t="n"/>
      <c r="W55" s="687" t="n"/>
      <c r="X55" s="102" t="n"/>
      <c r="Y55" s="43" t="n"/>
      <c r="Z55" s="43" t="n"/>
    </row>
    <row r="56" ht="15.6" customFormat="1" customHeight="1" s="353">
      <c r="A56" s="66" t="n"/>
      <c r="B56" s="395" t="n"/>
      <c r="C56" s="395" t="n"/>
      <c r="D56" s="395" t="n"/>
      <c r="E56" s="395" t="n"/>
      <c r="F56" s="395" t="n"/>
      <c r="G56" s="395" t="n"/>
      <c r="H56" s="251" t="n"/>
      <c r="I56" s="252" t="n"/>
      <c r="J56" s="251" t="n"/>
      <c r="K56" s="66" t="n"/>
      <c r="L56" s="54" t="n"/>
      <c r="M56" s="54" t="n"/>
      <c r="N56" s="394" t="n"/>
      <c r="O56" s="394" t="n"/>
      <c r="P56" s="686" t="n"/>
      <c r="Q56" s="44" t="n"/>
      <c r="R56" s="688" t="inlineStr">
        <is>
          <t>HKD</t>
        </is>
      </c>
      <c r="S56" s="688" t="n"/>
      <c r="T56" s="688" t="inlineStr">
        <is>
          <t>HKD</t>
        </is>
      </c>
      <c r="V56" s="687" t="n"/>
      <c r="W56" s="687" t="n"/>
      <c r="X56" s="102" t="n"/>
      <c r="Y56" s="43" t="n"/>
      <c r="Z56" s="43" t="n"/>
    </row>
    <row r="57" ht="15.6" customFormat="1" customHeight="1" s="353">
      <c r="A57" s="66" t="n"/>
      <c r="B57" s="395" t="n"/>
      <c r="C57" s="395" t="n"/>
      <c r="D57" s="395" t="n"/>
      <c r="E57" s="395" t="n"/>
      <c r="F57" s="395" t="n"/>
      <c r="G57" s="395" t="n"/>
      <c r="H57" s="251" t="n"/>
      <c r="I57" s="252" t="n"/>
      <c r="J57" s="251" t="n"/>
      <c r="K57" s="66" t="n"/>
      <c r="L57" s="54" t="n"/>
      <c r="M57" s="54" t="n"/>
      <c r="N57" s="394" t="n"/>
      <c r="O57" s="394" t="n"/>
      <c r="P57" s="686" t="n"/>
      <c r="Q57" s="44" t="n"/>
      <c r="R57" s="95" t="n"/>
      <c r="S57" s="686" t="n"/>
      <c r="T57" s="95" t="n"/>
      <c r="V57" s="687" t="n"/>
      <c r="W57" s="687" t="n"/>
      <c r="X57" s="102" t="n"/>
      <c r="Y57" s="43" t="n"/>
      <c r="Z57" s="43" t="n"/>
    </row>
    <row r="58" ht="18.75" customHeight="1" s="671">
      <c r="A58" s="72" t="n"/>
      <c r="B58" s="448" t="n"/>
      <c r="C58" s="448" t="n"/>
      <c r="D58" s="449" t="n"/>
      <c r="E58" s="448" t="n"/>
      <c r="F58" s="448" t="n"/>
      <c r="G58" s="448" t="n"/>
      <c r="H58" s="299" t="n"/>
      <c r="I58" s="300" t="n"/>
      <c r="J58" s="299" t="n"/>
      <c r="K58" s="72" t="n"/>
      <c r="L58" s="71" t="n"/>
      <c r="M58" s="71" t="n"/>
      <c r="N58" s="666" t="n"/>
      <c r="P58" s="462" t="n"/>
      <c r="R58" s="663" t="inlineStr">
        <is>
          <t>Estimated Amount</t>
        </is>
      </c>
      <c r="S58" s="109" t="n">
        <v>0.3</v>
      </c>
      <c r="T58" s="663" t="inlineStr">
        <is>
          <t>Margin requirement</t>
        </is>
      </c>
    </row>
    <row r="59" ht="18.75" customHeight="1" s="671">
      <c r="A59" s="72" t="n"/>
      <c r="B59" s="448" t="n"/>
      <c r="C59" s="448" t="n"/>
      <c r="D59" s="449" t="n"/>
      <c r="E59" s="448" t="n"/>
      <c r="F59" s="448" t="n"/>
      <c r="G59" s="448" t="n"/>
      <c r="H59" s="116" t="inlineStr">
        <is>
          <t>Collateral 1: 30% x Estimated Amount Total</t>
        </is>
      </c>
      <c r="I59" s="481" t="n"/>
      <c r="J59" s="117" t="n"/>
      <c r="K59" s="481" t="n"/>
      <c r="L59" s="481" t="n"/>
      <c r="M59" s="71" t="n"/>
      <c r="N59" s="666" t="n"/>
      <c r="O59" s="666" t="n"/>
      <c r="P59" s="462" t="n"/>
      <c r="R59" s="663">
        <f>R55</f>
        <v/>
      </c>
      <c r="S59" s="750" t="n"/>
      <c r="T59" s="323">
        <f>-R59*S58</f>
        <v/>
      </c>
    </row>
    <row r="60" ht="18.75" customHeight="1" s="671">
      <c r="A60" s="72" t="n"/>
      <c r="B60" s="448" t="n"/>
      <c r="C60" s="448" t="n"/>
      <c r="D60" s="449" t="n"/>
      <c r="E60" s="448" t="n"/>
      <c r="F60" s="448" t="n"/>
      <c r="G60" s="448" t="n"/>
      <c r="H60" s="71" t="n"/>
      <c r="I60" s="654" t="n"/>
      <c r="J60" s="72" t="n"/>
      <c r="K60" s="654" t="n"/>
      <c r="L60" s="654" t="n"/>
      <c r="M60" s="71" t="n"/>
      <c r="N60" s="666" t="n"/>
      <c r="O60" s="666" t="n"/>
      <c r="P60" s="462" t="n"/>
      <c r="Q60" s="663" t="n"/>
      <c r="R60" s="482" t="n"/>
      <c r="S60" s="750" t="n"/>
      <c r="T60" s="750" t="n"/>
    </row>
    <row r="61" ht="15" customHeight="1" s="671">
      <c r="B61" s="640" t="inlineStr">
        <is>
          <t>DECUMULATOR</t>
        </is>
      </c>
      <c r="C61" s="631" t="inlineStr">
        <is>
          <t>CODE</t>
        </is>
      </c>
      <c r="D61" s="631" t="n"/>
      <c r="E61" s="624" t="inlineStr">
        <is>
          <t>SHARES / DAY</t>
        </is>
      </c>
      <c r="F61" s="625" t="n"/>
      <c r="G61" s="626" t="n"/>
      <c r="H61" s="633" t="inlineStr">
        <is>
          <t>SPOT PRICE</t>
        </is>
      </c>
      <c r="I61" s="633" t="inlineStr">
        <is>
          <t>STRIKE PRICE</t>
        </is>
      </c>
      <c r="J61" s="633" t="inlineStr">
        <is>
          <t>K/O PRICE</t>
        </is>
      </c>
      <c r="K61" s="637" t="inlineStr">
        <is>
          <t>LIFE TERM OF CONTRACT</t>
        </is>
      </c>
      <c r="L61" s="638" t="n"/>
      <c r="M61" s="639" t="n"/>
      <c r="N61" s="622" t="inlineStr">
        <is>
          <t>START DATE</t>
        </is>
      </c>
      <c r="O61" s="622" t="inlineStr">
        <is>
          <t>END DATE</t>
        </is>
      </c>
      <c r="P61" s="682" t="n"/>
      <c r="Q61" s="632" t="inlineStr">
        <is>
          <t>Estimated  Shares to sell</t>
        </is>
      </c>
      <c r="R61" s="683" t="inlineStr">
        <is>
          <t>Estimated Amount</t>
        </is>
      </c>
      <c r="S61" s="682" t="n"/>
      <c r="T61" s="683" t="inlineStr">
        <is>
          <t>Estimated Amount per month</t>
        </is>
      </c>
      <c r="Y61" s="173" t="inlineStr">
        <is>
          <t>july</t>
        </is>
      </c>
      <c r="Z61" s="173" t="inlineStr">
        <is>
          <t>aug</t>
        </is>
      </c>
      <c r="AH61" s="163">
        <f>SUM(#REF!)</f>
        <v/>
      </c>
      <c r="AI61" s="163">
        <f>SUM(#REF!)</f>
        <v/>
      </c>
    </row>
    <row r="62" ht="22.5" customHeight="1" s="671">
      <c r="B62" s="623" t="n"/>
      <c r="C62" s="623" t="n"/>
      <c r="D62" s="390" t="inlineStr">
        <is>
          <t>CB1</t>
        </is>
      </c>
      <c r="E62" s="627" t="n"/>
      <c r="F62" s="628" t="n"/>
      <c r="G62" s="629" t="n"/>
      <c r="H62" s="623" t="n"/>
      <c r="I62" s="623" t="n"/>
      <c r="J62" s="623" t="n"/>
      <c r="K62" s="637" t="inlineStr">
        <is>
          <t>RCVD mos.</t>
        </is>
      </c>
      <c r="L62" s="637" t="inlineStr">
        <is>
          <t>REM mos.</t>
        </is>
      </c>
      <c r="M62" s="637" t="inlineStr">
        <is>
          <t>Total mos.</t>
        </is>
      </c>
      <c r="N62" s="623" t="n"/>
      <c r="O62" s="623" t="n"/>
      <c r="P62" s="682" t="n"/>
      <c r="Q62" s="623" t="n"/>
      <c r="R62" s="623" t="n"/>
      <c r="S62" s="682" t="n"/>
      <c r="T62" s="623" t="n"/>
      <c r="U62" s="654" t="inlineStr">
        <is>
          <t>Closing</t>
        </is>
      </c>
      <c r="V62" s="652" t="inlineStr">
        <is>
          <t>Current</t>
        </is>
      </c>
      <c r="W62" s="652" t="inlineStr">
        <is>
          <t>Next</t>
        </is>
      </c>
      <c r="X62" s="652" t="inlineStr">
        <is>
          <t>sd</t>
        </is>
      </c>
      <c r="Y62" s="173" t="inlineStr">
        <is>
          <t>hkd</t>
        </is>
      </c>
      <c r="Z62" s="173" t="inlineStr">
        <is>
          <t>hkd</t>
        </is>
      </c>
      <c r="AH62" s="654" t="inlineStr">
        <is>
          <t>Double</t>
        </is>
      </c>
      <c r="AI62" s="654" t="inlineStr">
        <is>
          <t>Single</t>
        </is>
      </c>
    </row>
    <row r="63" ht="15" customHeight="1" s="671">
      <c r="A63" s="147">
        <f>INDIRECT(ADDRESS(ROW()-1,COLUMN()))+1</f>
        <v/>
      </c>
      <c r="B63" s="483" t="inlineStr">
        <is>
          <t>Great Wall Motor</t>
        </is>
      </c>
      <c r="C63" s="167" t="inlineStr">
        <is>
          <t>2333</t>
        </is>
      </c>
      <c r="D63" s="168" t="inlineStr">
        <is>
          <t>GREATWALL - 51</t>
        </is>
      </c>
      <c r="E63" s="124" t="n">
        <v>4000</v>
      </c>
      <c r="F63" s="169" t="inlineStr">
        <is>
          <t>/</t>
        </is>
      </c>
      <c r="G63" s="126" t="n">
        <v>8000</v>
      </c>
      <c r="H63" s="324" t="n">
        <v>4.98</v>
      </c>
      <c r="I63" s="325" t="n">
        <v>6.468</v>
      </c>
      <c r="J63" s="324" t="n">
        <v>4.731</v>
      </c>
      <c r="K63" s="170" t="n">
        <v>4</v>
      </c>
      <c r="L63" s="171">
        <f>M63-K63</f>
        <v/>
      </c>
      <c r="M63" s="171" t="n">
        <v>12</v>
      </c>
      <c r="N63" s="172" t="n">
        <v>43929</v>
      </c>
      <c r="O63" s="172" t="n">
        <v>44293</v>
      </c>
      <c r="P63" s="682" t="n"/>
      <c r="Q63" s="162">
        <f>E63*L63*20*X63</f>
        <v/>
      </c>
      <c r="R63" s="785">
        <f>E63*I63*L63*20*X63</f>
        <v/>
      </c>
      <c r="S63" s="682" t="n"/>
      <c r="T63" s="785">
        <f>E63*I63*20*X63</f>
        <v/>
      </c>
      <c r="U63" s="0" t="n">
        <v>9.119999999999999</v>
      </c>
      <c r="V63" s="304" t="n">
        <v>1</v>
      </c>
      <c r="W63" s="304" t="n">
        <v>2</v>
      </c>
      <c r="X63" s="678" t="n">
        <v>2</v>
      </c>
      <c r="Y63" s="173">
        <f>X63*V63*E63*I63*20</f>
        <v/>
      </c>
      <c r="Z63" s="173">
        <f>X63*W63*E63*I63*20</f>
        <v/>
      </c>
      <c r="AB63" s="163">
        <f>MONTH(O63)</f>
        <v/>
      </c>
      <c r="AC63" s="654">
        <f>YEAR(O63)</f>
        <v/>
      </c>
      <c r="AD63" s="654">
        <f>AB63&amp;"-"&amp;AC63&amp;"-"&amp;C63</f>
        <v/>
      </c>
      <c r="AE63" s="654">
        <f>C63</f>
        <v/>
      </c>
      <c r="AF63" s="685">
        <f>MATCH(AE63,ALLM!$C$34:$C$43,)</f>
        <v/>
      </c>
      <c r="AH63" s="163">
        <f>IF(C63="2333",IF(X63=2,1,0),0)</f>
        <v/>
      </c>
      <c r="AI63" s="163">
        <f>IF(C63="2333",IF(X63=1,1,0),0)</f>
        <v/>
      </c>
    </row>
    <row r="64" ht="15" customHeight="1" s="671">
      <c r="A64" s="147">
        <f>INDIRECT(ADDRESS(ROW()-1,COLUMN()))+1</f>
        <v/>
      </c>
      <c r="B64" s="483" t="inlineStr">
        <is>
          <t>Great Wall Motor</t>
        </is>
      </c>
      <c r="C64" s="167" t="inlineStr">
        <is>
          <t>2333</t>
        </is>
      </c>
      <c r="D64" s="168" t="inlineStr">
        <is>
          <t>GREATWALL - 52</t>
        </is>
      </c>
      <c r="E64" s="124" t="n">
        <v>5000</v>
      </c>
      <c r="F64" s="169" t="inlineStr">
        <is>
          <t>/</t>
        </is>
      </c>
      <c r="G64" s="126" t="n">
        <v>10000</v>
      </c>
      <c r="H64" s="324" t="n">
        <v>4.94</v>
      </c>
      <c r="I64" s="325" t="n">
        <v>6.4235</v>
      </c>
      <c r="J64" s="324" t="n">
        <v>4.693</v>
      </c>
      <c r="K64" s="170" t="n">
        <v>4</v>
      </c>
      <c r="L64" s="171">
        <f>M64-K64</f>
        <v/>
      </c>
      <c r="M64" s="171" t="n">
        <v>12</v>
      </c>
      <c r="N64" s="172" t="n">
        <v>43930</v>
      </c>
      <c r="O64" s="172" t="n">
        <v>44294</v>
      </c>
      <c r="P64" s="682" t="n"/>
      <c r="Q64" s="162">
        <f>E64*L64*20*X64</f>
        <v/>
      </c>
      <c r="R64" s="785">
        <f>E64*I64*L64*20*X64</f>
        <v/>
      </c>
      <c r="S64" s="682" t="n"/>
      <c r="T64" s="785">
        <f>E64*I64*20*X64</f>
        <v/>
      </c>
      <c r="U64" s="0" t="n">
        <v>9.119999999999999</v>
      </c>
      <c r="V64" s="304" t="n">
        <v>1</v>
      </c>
      <c r="W64" s="304" t="n">
        <v>2</v>
      </c>
      <c r="X64" s="678" t="n">
        <v>2</v>
      </c>
      <c r="Y64" s="173">
        <f>X64*V64*E64*I64*20</f>
        <v/>
      </c>
      <c r="Z64" s="173">
        <f>X64*W64*E64*I64*20</f>
        <v/>
      </c>
      <c r="AB64" s="163">
        <f>MONTH(O64)</f>
        <v/>
      </c>
      <c r="AC64" s="654">
        <f>YEAR(O64)</f>
        <v/>
      </c>
      <c r="AD64" s="654">
        <f>AB64&amp;"-"&amp;AC64&amp;"-"&amp;C64</f>
        <v/>
      </c>
      <c r="AE64" s="654">
        <f>C64</f>
        <v/>
      </c>
      <c r="AF64" s="685">
        <f>MATCH(AE64,ALLM!$C$34:$C$43,)</f>
        <v/>
      </c>
      <c r="AH64" s="163">
        <f>IF(C64="2333",IF(X64=2,1,0),0)</f>
        <v/>
      </c>
      <c r="AI64" s="163">
        <f>IF(C64="2333",IF(X64=1,1,0),0)</f>
        <v/>
      </c>
    </row>
    <row r="65" ht="15" customHeight="1" s="671">
      <c r="A65" s="147">
        <f>INDIRECT(ADDRESS(ROW()-1,COLUMN()))+1</f>
        <v/>
      </c>
      <c r="B65" s="483" t="inlineStr">
        <is>
          <t>Great Wall Motor</t>
        </is>
      </c>
      <c r="C65" s="167" t="inlineStr">
        <is>
          <t>2333</t>
        </is>
      </c>
      <c r="D65" s="168" t="inlineStr">
        <is>
          <t>GREATWALL - 54</t>
        </is>
      </c>
      <c r="E65" s="124" t="n">
        <v>5000</v>
      </c>
      <c r="F65" s="169" t="inlineStr">
        <is>
          <t>/</t>
        </is>
      </c>
      <c r="G65" s="126" t="n">
        <v>10000</v>
      </c>
      <c r="H65" s="324" t="n">
        <v>5.19</v>
      </c>
      <c r="I65" s="325" t="n">
        <v>6.1771</v>
      </c>
      <c r="J65" s="324" t="n">
        <v>4.9305</v>
      </c>
      <c r="K65" s="170" t="n">
        <v>2</v>
      </c>
      <c r="L65" s="171">
        <f>M65-K65</f>
        <v/>
      </c>
      <c r="M65" s="171" t="n">
        <v>12</v>
      </c>
      <c r="N65" s="172" t="n">
        <v>44018</v>
      </c>
      <c r="O65" s="172" t="n">
        <v>44382</v>
      </c>
      <c r="P65" s="682" t="n"/>
      <c r="Q65" s="162">
        <f>E65*L65*20*X65</f>
        <v/>
      </c>
      <c r="R65" s="785">
        <f>E65*I65*L65*20*X65</f>
        <v/>
      </c>
      <c r="S65" s="682" t="n"/>
      <c r="T65" s="785">
        <f>E65*I65*20*X65</f>
        <v/>
      </c>
      <c r="U65" s="0" t="n">
        <v>9.119999999999999</v>
      </c>
      <c r="V65" s="304" t="n">
        <v>0</v>
      </c>
      <c r="W65" s="304" t="n">
        <v>1</v>
      </c>
      <c r="X65" s="678" t="n">
        <v>2</v>
      </c>
      <c r="Y65" s="173">
        <f>X65*V65*E65*I65*20</f>
        <v/>
      </c>
      <c r="Z65" s="173">
        <f>X65*W65*E65*I65*20</f>
        <v/>
      </c>
      <c r="AB65" s="163">
        <f>MONTH(O65)</f>
        <v/>
      </c>
      <c r="AC65" s="654">
        <f>YEAR(O65)</f>
        <v/>
      </c>
      <c r="AD65" s="654">
        <f>AB65&amp;"-"&amp;AC65&amp;"-"&amp;C65</f>
        <v/>
      </c>
      <c r="AE65" s="654">
        <f>C65</f>
        <v/>
      </c>
      <c r="AF65" s="685">
        <f>MATCH(AE65,ALLM!$C$34:$C$43,)</f>
        <v/>
      </c>
      <c r="AH65" s="163">
        <f>IF(C65="2333",IF(X65=2,1,0),0)</f>
        <v/>
      </c>
      <c r="AI65" s="163">
        <f>IF(C65="2333",IF(X65=1,1,0),0)</f>
        <v/>
      </c>
    </row>
    <row r="66">
      <c r="A66" s="147" t="n"/>
    </row>
    <row r="67">
      <c r="L67" s="71" t="n"/>
      <c r="N67" s="453" t="n"/>
      <c r="O67" s="453" t="inlineStr">
        <is>
          <t>Total</t>
        </is>
      </c>
      <c r="P67" s="453" t="n"/>
      <c r="Q67" s="663">
        <f>SUM(Q62:Q66)</f>
        <v/>
      </c>
      <c r="R67" s="94">
        <f>SUM(R62:R66)</f>
        <v/>
      </c>
      <c r="S67" s="453" t="n"/>
      <c r="T67" s="745">
        <f>SUM(T62:T66)</f>
        <v/>
      </c>
    </row>
    <row r="68">
      <c r="A68" s="72" t="n"/>
      <c r="B68" s="448" t="n"/>
      <c r="C68" s="448" t="n"/>
      <c r="D68" s="449" t="n"/>
      <c r="E68" s="448" t="n"/>
      <c r="F68" s="448" t="n"/>
      <c r="G68" s="448" t="n"/>
      <c r="H68" s="299" t="n"/>
      <c r="I68" s="300" t="n"/>
      <c r="J68" s="299" t="n"/>
      <c r="K68" s="72" t="n"/>
      <c r="Q68" s="656" t="inlineStr">
        <is>
          <t>Shares</t>
        </is>
      </c>
      <c r="R68" s="656" t="inlineStr">
        <is>
          <t>HKD</t>
        </is>
      </c>
      <c r="S68" s="656" t="n"/>
      <c r="T68" s="656" t="inlineStr">
        <is>
          <t>HKD</t>
        </is>
      </c>
    </row>
    <row r="69">
      <c r="A69" s="72" t="n"/>
      <c r="B69" s="448" t="n"/>
      <c r="C69" s="448" t="n"/>
      <c r="D69" s="449" t="n"/>
      <c r="E69" s="448" t="n"/>
      <c r="F69" s="448" t="n"/>
      <c r="G69" s="448" t="n"/>
      <c r="H69" s="299" t="n"/>
      <c r="I69" s="300" t="n"/>
      <c r="J69" s="299" t="n"/>
      <c r="K69" s="72" t="n"/>
      <c r="P69" s="682" t="n"/>
      <c r="Q69" s="682" t="n"/>
      <c r="R69" s="682" t="n"/>
      <c r="S69" s="682" t="n"/>
    </row>
    <row r="70" ht="18.75" customHeight="1" s="671">
      <c r="A70" s="72" t="n"/>
      <c r="B70" s="448" t="n"/>
      <c r="C70" s="448" t="n"/>
      <c r="D70" s="449" t="n"/>
      <c r="E70" s="448" t="n"/>
      <c r="F70" s="448" t="n"/>
      <c r="G70" s="448" t="n"/>
      <c r="H70" s="299" t="n"/>
      <c r="I70" s="300" t="n"/>
      <c r="J70" s="71" t="inlineStr">
        <is>
          <t>Total Shares to sell</t>
        </is>
      </c>
      <c r="K70" s="72" t="n"/>
      <c r="L70" s="654" t="n"/>
      <c r="M70" s="462" t="n"/>
      <c r="O70" s="462" t="n"/>
      <c r="P70" s="462" t="n"/>
      <c r="Q70" s="663">
        <f>Q67</f>
        <v/>
      </c>
      <c r="R70" s="750" t="n"/>
      <c r="S70" s="750" t="n"/>
      <c r="T70" s="750" t="n"/>
    </row>
    <row r="71" ht="18.75" customHeight="1" s="671">
      <c r="A71" s="72" t="n"/>
      <c r="B71" s="448" t="n"/>
      <c r="C71" s="448" t="n"/>
      <c r="D71" s="449" t="n"/>
      <c r="E71" s="448" t="n"/>
      <c r="F71" s="448" t="n"/>
      <c r="G71" s="448" t="n"/>
      <c r="H71" s="299" t="n"/>
      <c r="I71" s="300" t="n"/>
      <c r="J71" s="71" t="inlineStr">
        <is>
          <t>On hand</t>
        </is>
      </c>
      <c r="K71" s="72" t="n"/>
      <c r="L71" s="654" t="n"/>
      <c r="M71" s="71" t="n"/>
      <c r="N71" s="666" t="n"/>
      <c r="P71" s="462" t="n"/>
      <c r="Q71" s="663" t="n">
        <v>1822550</v>
      </c>
      <c r="R71" s="750" t="n"/>
      <c r="S71" s="750" t="n"/>
      <c r="T71" s="750" t="n"/>
    </row>
    <row r="72" ht="18.75" customHeight="1" s="671">
      <c r="A72" s="72" t="n"/>
      <c r="B72" s="448" t="n"/>
      <c r="C72" s="448" t="n"/>
      <c r="D72" s="449" t="n"/>
      <c r="E72" s="448" t="n"/>
      <c r="F72" s="448" t="n"/>
      <c r="G72" s="448" t="n"/>
      <c r="H72" s="299" t="n"/>
      <c r="I72" s="300" t="n"/>
      <c r="J72" s="71" t="inlineStr">
        <is>
          <t>Balance shares for decu</t>
        </is>
      </c>
      <c r="K72" s="72" t="n"/>
      <c r="L72" s="654" t="n"/>
      <c r="M72" s="71" t="n"/>
      <c r="N72" s="666" t="n"/>
      <c r="O72" s="666" t="n"/>
      <c r="P72" s="462" t="n"/>
      <c r="Q72" s="110">
        <f>Q70-Q71</f>
        <v/>
      </c>
      <c r="R72" s="750" t="n"/>
      <c r="S72" s="750" t="n"/>
      <c r="T72" s="750" t="n"/>
    </row>
    <row r="73" ht="18.75" customHeight="1" s="671">
      <c r="A73" s="72" t="n"/>
      <c r="B73" s="448" t="n"/>
      <c r="C73" s="448" t="n"/>
      <c r="D73" s="449" t="n"/>
      <c r="E73" s="448" t="n"/>
      <c r="F73" s="448" t="n"/>
      <c r="G73" s="448" t="n"/>
      <c r="H73" s="299" t="n"/>
      <c r="I73" s="300" t="n"/>
      <c r="J73" s="71" t="n"/>
      <c r="K73" s="72" t="n"/>
      <c r="L73" s="654" t="n"/>
      <c r="M73" s="71" t="n"/>
      <c r="N73" s="666" t="n"/>
      <c r="O73" s="666" t="n"/>
      <c r="P73" s="462" t="n"/>
      <c r="Q73" s="663" t="n"/>
      <c r="R73" s="750" t="n"/>
      <c r="S73" s="750" t="n"/>
      <c r="T73" s="750" t="n"/>
    </row>
    <row r="74" ht="18.75" customHeight="1" s="671">
      <c r="A74" s="72" t="n"/>
      <c r="B74" s="448" t="n"/>
      <c r="C74" s="448" t="n"/>
      <c r="D74" s="449" t="n"/>
      <c r="E74" s="448" t="n"/>
      <c r="F74" s="448" t="n"/>
      <c r="G74" s="448" t="n"/>
      <c r="H74" s="299" t="n"/>
      <c r="I74" s="300" t="n"/>
      <c r="J74" s="299" t="n"/>
      <c r="K74" s="72" t="n"/>
      <c r="L74" s="71" t="n"/>
      <c r="M74" s="71" t="n"/>
      <c r="N74" s="666" t="n"/>
      <c r="P74" s="462" t="n"/>
      <c r="R74" s="663" t="inlineStr">
        <is>
          <t>Estimated Amount</t>
        </is>
      </c>
      <c r="S74" s="109" t="n">
        <v>0.3</v>
      </c>
      <c r="T74" s="663" t="inlineStr">
        <is>
          <t>Margin requirement</t>
        </is>
      </c>
    </row>
    <row r="75" ht="18.75" customHeight="1" s="671">
      <c r="A75" s="72" t="n"/>
      <c r="B75" s="448" t="n"/>
      <c r="C75" s="448" t="n"/>
      <c r="D75" s="449" t="n"/>
      <c r="E75" s="448" t="n"/>
      <c r="F75" s="448" t="n"/>
      <c r="G75" s="448" t="n"/>
      <c r="H75" s="116" t="inlineStr">
        <is>
          <t>Collateral 2: 30% x Estimated Amount Total</t>
        </is>
      </c>
      <c r="I75" s="481" t="n"/>
      <c r="J75" s="117" t="n"/>
      <c r="K75" s="481" t="n"/>
      <c r="L75" s="481" t="n"/>
      <c r="M75" s="71" t="n"/>
      <c r="N75" s="666" t="n"/>
      <c r="O75" s="666" t="n"/>
      <c r="P75" s="462" t="n"/>
      <c r="R75" s="663">
        <f>R67</f>
        <v/>
      </c>
      <c r="S75" s="750" t="n"/>
      <c r="T75" s="323">
        <f>-R75*S74</f>
        <v/>
      </c>
    </row>
    <row r="76" ht="18.75" customHeight="1" s="671">
      <c r="A76" s="72" t="n"/>
      <c r="B76" s="448" t="n"/>
      <c r="C76" s="448" t="n"/>
      <c r="D76" s="449" t="n"/>
      <c r="E76" s="448" t="n"/>
      <c r="F76" s="448" t="n"/>
      <c r="G76" s="448" t="n"/>
      <c r="H76" s="71" t="n"/>
      <c r="I76" s="654" t="n"/>
      <c r="J76" s="72" t="n"/>
      <c r="K76" s="654" t="n"/>
      <c r="L76" s="654" t="n"/>
      <c r="M76" s="71" t="n"/>
      <c r="N76" s="666" t="n"/>
      <c r="O76" s="666" t="n"/>
      <c r="P76" s="462" t="n"/>
      <c r="Q76" s="663" t="n"/>
      <c r="R76" s="482" t="n"/>
      <c r="S76" s="750" t="n"/>
      <c r="T76" s="750" t="n"/>
    </row>
    <row r="77" ht="18.75" customHeight="1" s="671">
      <c r="A77" s="72" t="n"/>
      <c r="B77" s="448" t="n"/>
      <c r="C77" s="448" t="n"/>
      <c r="D77" s="449" t="n"/>
      <c r="E77" s="448" t="n"/>
      <c r="F77" s="448" t="n"/>
      <c r="G77" s="448" t="n"/>
      <c r="H77" s="299" t="n"/>
      <c r="I77" s="654" t="n"/>
      <c r="J77" s="72" t="n"/>
      <c r="K77" s="654" t="n"/>
      <c r="L77" s="71" t="n"/>
      <c r="M77" s="71" t="n"/>
      <c r="N77" s="666" t="n"/>
      <c r="O77" s="666" t="n"/>
      <c r="P77" s="462" t="n"/>
      <c r="Q77" s="750" t="inlineStr">
        <is>
          <t>Market Price</t>
        </is>
      </c>
      <c r="R77" s="485">
        <f>market_price</f>
        <v/>
      </c>
    </row>
    <row r="78" ht="30" customFormat="1" customHeight="1" s="665">
      <c r="A78" s="112" t="n"/>
      <c r="B78" s="487" t="n"/>
      <c r="C78" s="487" t="n"/>
      <c r="D78" s="487" t="n"/>
      <c r="E78" s="487" t="n"/>
      <c r="F78" s="487" t="n"/>
      <c r="G78" s="487" t="n"/>
      <c r="H78" s="326" t="n"/>
      <c r="J78" s="112" t="n"/>
      <c r="L78" s="664" t="inlineStr">
        <is>
          <t>Estimated Shares</t>
        </is>
      </c>
      <c r="N78" s="670" t="inlineStr">
        <is>
          <t>On Hand</t>
        </is>
      </c>
      <c r="P78" s="489" t="n"/>
      <c r="Q78" s="670" t="inlineStr">
        <is>
          <t>Balance shares for decu</t>
        </is>
      </c>
      <c r="R78" s="490" t="inlineStr">
        <is>
          <t>Strike Price minus Market Price</t>
        </is>
      </c>
      <c r="S78" s="786" t="n"/>
      <c r="T78" s="111" t="inlineStr">
        <is>
          <t>Collateral needed</t>
        </is>
      </c>
      <c r="W78" s="113" t="n"/>
      <c r="X78" s="113" t="n"/>
      <c r="Y78" s="114" t="n"/>
      <c r="Z78" s="114" t="n"/>
      <c r="AB78" s="115" t="n"/>
    </row>
    <row r="79" ht="18.75" customHeight="1" s="671">
      <c r="A79" s="72" t="n"/>
      <c r="B79" s="448" t="n"/>
      <c r="C79" s="448" t="n"/>
      <c r="D79" s="449" t="n"/>
      <c r="E79" s="448" t="n"/>
      <c r="F79" s="448" t="n"/>
      <c r="G79" s="448" t="n"/>
      <c r="H79" s="116" t="inlineStr">
        <is>
          <t xml:space="preserve">Collateral 3: </t>
        </is>
      </c>
      <c r="I79" s="481" t="n"/>
      <c r="J79" s="666" t="inlineStr">
        <is>
          <t>Strike 1</t>
        </is>
      </c>
      <c r="K79" s="654" t="n"/>
      <c r="L79" s="662">
        <f>I63</f>
        <v/>
      </c>
      <c r="N79" s="663">
        <f>Q63</f>
        <v/>
      </c>
      <c r="P79" s="462" t="n"/>
      <c r="Q79" s="663">
        <f>Q63-N79</f>
        <v/>
      </c>
      <c r="R79" s="327">
        <f>L79-market_price</f>
        <v/>
      </c>
      <c r="S79" s="750" t="n"/>
      <c r="T79" s="328">
        <f>Q79*R79</f>
        <v/>
      </c>
    </row>
    <row r="80" ht="18.75" customHeight="1" s="671">
      <c r="A80" s="72" t="n"/>
      <c r="B80" s="448" t="n"/>
      <c r="C80" s="448" t="n"/>
      <c r="D80" s="449" t="n"/>
      <c r="E80" s="448" t="n"/>
      <c r="F80" s="448" t="n"/>
      <c r="G80" s="448" t="n"/>
      <c r="H80" s="300" t="n"/>
      <c r="I80" s="299" t="n"/>
      <c r="J80" s="666" t="inlineStr">
        <is>
          <t>Strike 2</t>
        </is>
      </c>
      <c r="K80" s="654" t="n"/>
      <c r="L80" s="662">
        <f>I64</f>
        <v/>
      </c>
      <c r="N80" s="663">
        <f>Q71-N79</f>
        <v/>
      </c>
      <c r="P80" s="462" t="n"/>
      <c r="Q80" s="663">
        <f>Q64-N80</f>
        <v/>
      </c>
      <c r="R80" s="327">
        <f>L80-market_price</f>
        <v/>
      </c>
      <c r="S80" s="750" t="n"/>
      <c r="T80" s="328">
        <f>Q80*R80</f>
        <v/>
      </c>
    </row>
    <row r="81" ht="18.75" customHeight="1" s="671">
      <c r="A81" s="72" t="n"/>
      <c r="B81" s="448" t="n"/>
      <c r="C81" s="448" t="n"/>
      <c r="D81" s="449" t="n"/>
      <c r="E81" s="448" t="n"/>
      <c r="F81" s="448" t="n"/>
      <c r="G81" s="448" t="n"/>
      <c r="H81" s="300" t="n"/>
      <c r="I81" s="299" t="n"/>
      <c r="J81" s="666" t="inlineStr">
        <is>
          <t>Strike 3</t>
        </is>
      </c>
      <c r="K81" s="654" t="n"/>
      <c r="L81" s="662">
        <f>I65</f>
        <v/>
      </c>
      <c r="N81" s="663" t="n">
        <v>0</v>
      </c>
      <c r="P81" s="462" t="n"/>
      <c r="Q81" s="663">
        <f>Q65</f>
        <v/>
      </c>
      <c r="R81" s="327">
        <f>L81-market_price</f>
        <v/>
      </c>
      <c r="S81" s="750" t="n"/>
      <c r="T81" s="328">
        <f>Q81*R81</f>
        <v/>
      </c>
    </row>
    <row r="82" ht="18.75" customHeight="1" s="671">
      <c r="A82" s="72" t="n"/>
      <c r="B82" s="448" t="n"/>
      <c r="C82" s="448" t="n"/>
      <c r="D82" s="449" t="n"/>
      <c r="E82" s="448" t="n"/>
      <c r="F82" s="448" t="n"/>
      <c r="G82" s="448" t="n"/>
      <c r="H82" s="300" t="n"/>
      <c r="I82" s="71" t="inlineStr">
        <is>
          <t>Sub Total</t>
        </is>
      </c>
      <c r="J82" s="654" t="n"/>
      <c r="K82" s="654" t="n"/>
      <c r="L82" s="666" t="n"/>
      <c r="M82" s="654" t="n"/>
      <c r="N82" s="667">
        <f>SUM(N79:O81)</f>
        <v/>
      </c>
      <c r="O82" s="625" t="n"/>
      <c r="P82" s="462" t="n"/>
      <c r="Q82" s="667">
        <f>SUM(Q79:Q81)</f>
        <v/>
      </c>
      <c r="R82" s="788" t="n"/>
      <c r="S82" s="788" t="n"/>
      <c r="T82" s="333">
        <f>SUM(T79:T81)</f>
        <v/>
      </c>
    </row>
    <row r="83" ht="18.75" customHeight="1" s="671">
      <c r="A83" s="72" t="n"/>
      <c r="B83" s="448" t="n"/>
      <c r="C83" s="448" t="n"/>
      <c r="D83" s="449" t="n"/>
      <c r="E83" s="448" t="n"/>
      <c r="F83" s="448" t="n"/>
      <c r="G83" s="448" t="n"/>
      <c r="H83" s="299" t="n"/>
      <c r="I83" s="300" t="n"/>
      <c r="J83" s="299" t="n"/>
      <c r="K83" s="72" t="n"/>
      <c r="L83" s="71" t="n"/>
      <c r="M83" s="71" t="n"/>
      <c r="N83" s="666" t="n"/>
      <c r="O83" s="666" t="n"/>
      <c r="P83" s="462" t="n"/>
      <c r="Q83" s="663" t="n"/>
      <c r="R83" s="750" t="n"/>
      <c r="S83" s="750" t="n"/>
      <c r="T83" s="750" t="n"/>
    </row>
    <row r="84" ht="18.75" customHeight="1" s="671">
      <c r="A84" s="72" t="n"/>
      <c r="B84" s="448" t="n"/>
      <c r="C84" s="448" t="n"/>
      <c r="D84" s="449" t="n"/>
      <c r="E84" s="448" t="n"/>
      <c r="F84" s="448" t="n"/>
      <c r="G84" s="448" t="n"/>
      <c r="H84" s="116" t="inlineStr">
        <is>
          <t>Total collateral needed</t>
        </is>
      </c>
      <c r="I84" s="331" t="n"/>
      <c r="J84" s="481" t="n"/>
      <c r="K84" s="72" t="n"/>
      <c r="L84" s="654" t="n"/>
      <c r="M84" s="71" t="n"/>
      <c r="N84" s="666" t="n"/>
      <c r="O84" s="666" t="n"/>
      <c r="P84" s="462" t="n"/>
      <c r="Q84" s="663" t="n"/>
      <c r="R84" s="750" t="n"/>
      <c r="S84" s="750" t="n"/>
      <c r="T84" s="323">
        <f>T75+T82+T59</f>
        <v/>
      </c>
    </row>
    <row r="85" ht="18.75" customHeight="1" s="671">
      <c r="A85" s="72" t="n"/>
      <c r="B85" s="448" t="n"/>
      <c r="C85" s="448" t="n"/>
      <c r="D85" s="449" t="n"/>
      <c r="E85" s="448" t="n"/>
      <c r="F85" s="448" t="n"/>
      <c r="G85" s="448" t="n"/>
      <c r="H85" s="71" t="n"/>
      <c r="I85" s="300" t="n"/>
      <c r="J85" s="654" t="n"/>
      <c r="K85" s="72" t="n"/>
      <c r="L85" s="654" t="n"/>
      <c r="M85" s="71" t="n"/>
      <c r="N85" s="666" t="n"/>
      <c r="O85" s="666" t="n"/>
      <c r="P85" s="462" t="n"/>
      <c r="Q85" s="663" t="n"/>
      <c r="R85" s="663" t="inlineStr">
        <is>
          <t>USD Rate 7.75</t>
        </is>
      </c>
      <c r="S85" s="750" t="n"/>
      <c r="T85" s="332">
        <f>T84/7.75</f>
        <v/>
      </c>
    </row>
    <row r="88" ht="15.75" customHeight="1" s="671">
      <c r="A88" s="76" t="inlineStr">
        <is>
          <t>CITIBANK  Berry Hill</t>
        </is>
      </c>
      <c r="B88" s="75" t="n"/>
      <c r="C88" s="447" t="n"/>
      <c r="D88" s="447" t="n"/>
      <c r="E88" s="681" t="n"/>
      <c r="F88" s="681" t="n"/>
      <c r="G88" s="681" t="n"/>
      <c r="H88" s="285" t="n"/>
      <c r="I88" s="285" t="n"/>
      <c r="J88" s="286" t="n"/>
      <c r="K88" s="298" t="n"/>
      <c r="L88" s="298" t="n"/>
      <c r="M88" s="298" t="n"/>
      <c r="N88" s="298" t="n"/>
      <c r="O88" s="298" t="n"/>
      <c r="P88" s="298" t="n"/>
      <c r="Q88" s="298" t="n"/>
      <c r="R88" s="298" t="n"/>
    </row>
    <row r="89" ht="9.75" customHeight="1" s="671">
      <c r="A89" s="72" t="n"/>
      <c r="B89" s="448" t="n"/>
      <c r="C89" s="448" t="n"/>
      <c r="D89" s="449" t="n"/>
      <c r="E89" s="448" t="inlineStr">
        <is>
          <t>`</t>
        </is>
      </c>
      <c r="F89" s="448" t="n"/>
      <c r="G89" s="448" t="n"/>
      <c r="H89" s="299" t="n"/>
      <c r="I89" s="300" t="inlineStr">
        <is>
          <t>`</t>
        </is>
      </c>
      <c r="J89" s="299" t="n"/>
      <c r="K89" s="298" t="n"/>
      <c r="L89" s="298" t="n"/>
      <c r="M89" s="298" t="n"/>
      <c r="N89" s="298" t="n"/>
      <c r="O89" s="298" t="n"/>
      <c r="P89" s="298" t="n"/>
      <c r="Q89" s="298" t="n"/>
      <c r="R89" s="298" t="n"/>
    </row>
    <row r="90" ht="15" customFormat="1" customHeight="1" s="642">
      <c r="A90" s="646" t="n"/>
      <c r="B90" s="640" t="inlineStr">
        <is>
          <t>ACCUMULATOR</t>
        </is>
      </c>
      <c r="C90" s="631" t="inlineStr">
        <is>
          <t>CODE</t>
        </is>
      </c>
      <c r="D90" s="631" t="n"/>
      <c r="E90" s="624" t="inlineStr">
        <is>
          <t>SHARES / DAY</t>
        </is>
      </c>
      <c r="F90" s="625" t="n"/>
      <c r="G90" s="626" t="n"/>
      <c r="H90" s="633" t="inlineStr">
        <is>
          <t>SPOT PRICE</t>
        </is>
      </c>
      <c r="I90" s="633" t="inlineStr">
        <is>
          <t>STRIKE PRICE</t>
        </is>
      </c>
      <c r="J90" s="633" t="inlineStr">
        <is>
          <t>K/O PRICE</t>
        </is>
      </c>
      <c r="K90" s="637" t="inlineStr">
        <is>
          <t>LIFE TERM OF CONTRACT</t>
        </is>
      </c>
      <c r="L90" s="638" t="n"/>
      <c r="M90" s="639" t="n"/>
      <c r="N90" s="622" t="inlineStr">
        <is>
          <t>START DATE</t>
        </is>
      </c>
      <c r="O90" s="622" t="inlineStr">
        <is>
          <t>END DATE</t>
        </is>
      </c>
      <c r="P90" s="682" t="n"/>
      <c r="Q90" s="632" t="inlineStr">
        <is>
          <t>Estimated Total Shares Remaining</t>
        </is>
      </c>
      <c r="R90" s="683" t="inlineStr">
        <is>
          <t>Estimated Amount</t>
        </is>
      </c>
      <c r="S90" s="682" t="n"/>
      <c r="T90" s="683" t="inlineStr">
        <is>
          <t>Estimated Amount per month</t>
        </is>
      </c>
      <c r="V90" s="678" t="n"/>
      <c r="W90" s="678" t="n"/>
      <c r="X90" s="155" t="n"/>
      <c r="Y90" s="154" t="inlineStr">
        <is>
          <t>Month 1</t>
        </is>
      </c>
      <c r="Z90" s="154" t="inlineStr">
        <is>
          <t>Month 2</t>
        </is>
      </c>
    </row>
    <row r="91" ht="20.45" customFormat="1" customHeight="1" s="642">
      <c r="A91" s="646" t="n"/>
      <c r="B91" s="623" t="n"/>
      <c r="C91" s="623" t="n"/>
      <c r="D91" s="390" t="inlineStr">
        <is>
          <t>CB1</t>
        </is>
      </c>
      <c r="E91" s="627" t="n"/>
      <c r="F91" s="628" t="n"/>
      <c r="G91" s="629" t="n"/>
      <c r="H91" s="623" t="n"/>
      <c r="I91" s="623" t="n"/>
      <c r="J91" s="623" t="n"/>
      <c r="K91" s="637" t="inlineStr">
        <is>
          <t>RCVD mos.</t>
        </is>
      </c>
      <c r="L91" s="637" t="inlineStr">
        <is>
          <t>REM mos.</t>
        </is>
      </c>
      <c r="M91" s="637" t="inlineStr">
        <is>
          <t>Total mos.</t>
        </is>
      </c>
      <c r="N91" s="623" t="n"/>
      <c r="O91" s="623" t="n"/>
      <c r="P91" s="682" t="n"/>
      <c r="Q91" s="623" t="n"/>
      <c r="R91" s="623" t="n"/>
      <c r="S91" s="682" t="n"/>
      <c r="T91" s="623" t="n"/>
      <c r="U91" s="642" t="inlineStr">
        <is>
          <t>Price</t>
        </is>
      </c>
      <c r="V91" s="678" t="inlineStr">
        <is>
          <t>NOW</t>
        </is>
      </c>
      <c r="W91" s="678" t="inlineStr">
        <is>
          <t>NEXT</t>
        </is>
      </c>
      <c r="X91" s="155" t="inlineStr">
        <is>
          <t>sd</t>
        </is>
      </c>
      <c r="Y91" s="154" t="inlineStr">
        <is>
          <t>hkd</t>
        </is>
      </c>
      <c r="Z91" s="154" t="inlineStr">
        <is>
          <t>hkd</t>
        </is>
      </c>
    </row>
    <row r="92" customFormat="1" s="642">
      <c r="A92" s="158" t="n"/>
      <c r="B92" s="416" t="n"/>
      <c r="C92" s="148" t="n"/>
      <c r="D92" s="141" t="n"/>
      <c r="E92" s="142" t="n"/>
      <c r="F92" s="277" t="n"/>
      <c r="G92" s="119" t="n"/>
      <c r="H92" s="273" t="n"/>
      <c r="I92" s="274" t="n"/>
      <c r="J92" s="273" t="n"/>
      <c r="K92" s="152" t="n"/>
      <c r="L92" s="152" t="n"/>
      <c r="M92" s="152" t="n"/>
      <c r="N92" s="143" t="n"/>
      <c r="O92" s="143" t="n"/>
      <c r="Q92" s="153" t="n"/>
      <c r="R92" s="784" t="n"/>
      <c r="T92" s="784" t="n"/>
      <c r="U92" s="0" t="n"/>
      <c r="V92" s="282" t="n"/>
      <c r="W92" s="282" t="n"/>
      <c r="X92" s="0" t="n"/>
      <c r="Y92" s="154" t="n"/>
      <c r="Z92" s="154" t="n"/>
      <c r="AF92" s="685" t="n"/>
    </row>
    <row r="93" ht="15.6" customFormat="1" customHeight="1" s="642">
      <c r="A93" s="64" t="n"/>
      <c r="B93" s="388" t="n"/>
      <c r="C93" s="388" t="n"/>
      <c r="D93" s="388" t="n"/>
      <c r="E93" s="388" t="n"/>
      <c r="F93" s="388" t="n"/>
      <c r="G93" s="388" t="n"/>
      <c r="H93" s="247" t="n"/>
      <c r="I93" s="248" t="n"/>
      <c r="J93" s="247" t="n"/>
      <c r="K93" s="64" t="n"/>
      <c r="L93" s="646" t="n"/>
      <c r="M93" s="646" t="n"/>
      <c r="N93" s="394" t="n"/>
      <c r="O93" s="394" t="n"/>
      <c r="V93" s="678" t="n"/>
      <c r="W93" s="678" t="n"/>
      <c r="X93" s="155" t="n"/>
      <c r="Y93" s="154" t="n"/>
      <c r="Z93" s="154" t="n"/>
    </row>
    <row r="94" ht="15.6" customFormat="1" customHeight="1" s="353">
      <c r="A94" s="66" t="n"/>
      <c r="B94" s="395" t="n"/>
      <c r="C94" s="395" t="n"/>
      <c r="D94" s="395" t="n"/>
      <c r="E94" s="395" t="n"/>
      <c r="F94" s="395" t="n"/>
      <c r="G94" s="395" t="n"/>
      <c r="H94" s="251" t="n"/>
      <c r="I94" s="252" t="n"/>
      <c r="J94" s="251" t="n"/>
      <c r="K94" s="66" t="n"/>
      <c r="L94" s="54" t="n"/>
      <c r="M94" s="54" t="n"/>
      <c r="N94" s="394" t="n"/>
      <c r="O94" s="394" t="inlineStr">
        <is>
          <t>Total</t>
        </is>
      </c>
      <c r="P94" s="686" t="n"/>
      <c r="Q94" s="44">
        <f>SUM(Q91:Q93)</f>
        <v/>
      </c>
      <c r="R94" s="686">
        <f>SUM(R91:R93)</f>
        <v/>
      </c>
      <c r="S94" s="686" t="n"/>
      <c r="T94" s="686">
        <f>SUM(T91:T93)</f>
        <v/>
      </c>
      <c r="V94" s="687" t="n"/>
      <c r="W94" s="687" t="n"/>
      <c r="X94" s="102" t="n"/>
      <c r="Y94" s="43" t="n"/>
      <c r="Z94" s="43" t="n"/>
    </row>
    <row r="95" ht="15.6" customFormat="1" customHeight="1" s="353">
      <c r="A95" s="66" t="n"/>
      <c r="B95" s="395" t="n"/>
      <c r="C95" s="395" t="n"/>
      <c r="D95" s="395" t="n"/>
      <c r="E95" s="395" t="n"/>
      <c r="F95" s="395" t="n"/>
      <c r="G95" s="395" t="n"/>
      <c r="H95" s="251" t="n"/>
      <c r="I95" s="252" t="n"/>
      <c r="J95" s="251" t="n"/>
      <c r="K95" s="66" t="n"/>
      <c r="L95" s="54" t="n"/>
      <c r="M95" s="54" t="n"/>
      <c r="N95" s="394" t="n"/>
      <c r="O95" s="394" t="n"/>
      <c r="P95" s="686" t="n"/>
      <c r="Q95" s="44" t="n"/>
      <c r="R95" s="688" t="inlineStr">
        <is>
          <t>HKD</t>
        </is>
      </c>
      <c r="S95" s="688" t="n"/>
      <c r="T95" s="688" t="inlineStr">
        <is>
          <t>HKD</t>
        </is>
      </c>
      <c r="V95" s="687" t="n"/>
      <c r="W95" s="687" t="n"/>
      <c r="X95" s="102" t="n"/>
      <c r="Y95" s="43" t="n"/>
      <c r="Z95" s="43" t="n"/>
    </row>
    <row r="96" ht="15.6" customFormat="1" customHeight="1" s="353">
      <c r="A96" s="66" t="n"/>
      <c r="B96" s="395" t="n"/>
      <c r="C96" s="395" t="n"/>
      <c r="D96" s="395" t="n"/>
      <c r="E96" s="395" t="n"/>
      <c r="F96" s="395" t="n"/>
      <c r="G96" s="395" t="n"/>
      <c r="H96" s="251" t="n"/>
      <c r="I96" s="252" t="n"/>
      <c r="J96" s="251" t="n"/>
      <c r="K96" s="66" t="n"/>
      <c r="L96" s="54" t="n"/>
      <c r="M96" s="54" t="n"/>
      <c r="N96" s="394" t="n"/>
      <c r="O96" s="394" t="n"/>
      <c r="P96" s="686" t="n"/>
      <c r="Q96" s="44" t="n"/>
      <c r="R96" s="95" t="n"/>
      <c r="S96" s="686" t="n"/>
      <c r="T96" s="95" t="n"/>
      <c r="V96" s="687" t="n"/>
      <c r="W96" s="687" t="n"/>
      <c r="X96" s="102" t="n"/>
      <c r="Y96" s="43" t="n"/>
      <c r="Z96" s="43" t="n"/>
    </row>
    <row r="97" ht="18.75" customHeight="1" s="671">
      <c r="A97" s="72" t="n"/>
      <c r="B97" s="448" t="n"/>
      <c r="C97" s="448" t="n"/>
      <c r="D97" s="449" t="n"/>
      <c r="E97" s="448" t="n"/>
      <c r="F97" s="448" t="n"/>
      <c r="G97" s="448" t="n"/>
      <c r="H97" s="299" t="n"/>
      <c r="I97" s="300" t="n"/>
      <c r="J97" s="299" t="n"/>
      <c r="K97" s="72" t="n"/>
      <c r="L97" s="71" t="n"/>
      <c r="M97" s="71" t="n"/>
      <c r="N97" s="666" t="n"/>
      <c r="P97" s="462" t="n"/>
      <c r="R97" s="663" t="inlineStr">
        <is>
          <t>Estimated Amount</t>
        </is>
      </c>
      <c r="S97" s="109" t="n">
        <v>0.3</v>
      </c>
      <c r="T97" s="663" t="inlineStr">
        <is>
          <t>Margin requirement</t>
        </is>
      </c>
    </row>
    <row r="98" ht="18.75" customHeight="1" s="671">
      <c r="A98" s="72" t="n"/>
      <c r="B98" s="448" t="n"/>
      <c r="C98" s="448" t="n"/>
      <c r="D98" s="449" t="n"/>
      <c r="E98" s="448" t="n"/>
      <c r="F98" s="448" t="n"/>
      <c r="G98" s="448" t="n"/>
      <c r="H98" s="116" t="inlineStr">
        <is>
          <t>Collateral 1: 30% x Estimated Amount Total</t>
        </is>
      </c>
      <c r="I98" s="481" t="n"/>
      <c r="J98" s="117" t="n"/>
      <c r="K98" s="481" t="n"/>
      <c r="L98" s="481" t="n"/>
      <c r="M98" s="71" t="n"/>
      <c r="N98" s="666" t="n"/>
      <c r="O98" s="666" t="n"/>
      <c r="P98" s="462" t="n"/>
      <c r="R98" s="663">
        <f>R94</f>
        <v/>
      </c>
      <c r="S98" s="750" t="n"/>
      <c r="T98" s="323">
        <f>-R98*S97</f>
        <v/>
      </c>
    </row>
    <row r="99" ht="18.75" customHeight="1" s="671">
      <c r="A99" s="72" t="n"/>
      <c r="B99" s="448" t="n"/>
      <c r="C99" s="448" t="n"/>
      <c r="D99" s="449" t="n"/>
      <c r="E99" s="448" t="n"/>
      <c r="F99" s="448" t="n"/>
      <c r="G99" s="448" t="n"/>
      <c r="H99" s="71" t="n"/>
      <c r="I99" s="654" t="n"/>
      <c r="J99" s="72" t="n"/>
      <c r="K99" s="654" t="n"/>
      <c r="L99" s="654" t="n"/>
      <c r="M99" s="71" t="n"/>
      <c r="N99" s="666" t="n"/>
      <c r="O99" s="666" t="n"/>
      <c r="P99" s="462" t="n"/>
      <c r="Q99" s="663" t="n"/>
      <c r="R99" s="482" t="n"/>
      <c r="S99" s="750" t="n"/>
      <c r="T99" s="750" t="n"/>
    </row>
    <row r="100" ht="15" customHeight="1" s="671">
      <c r="B100" s="640" t="inlineStr">
        <is>
          <t>DECUMULATOR</t>
        </is>
      </c>
      <c r="C100" s="631" t="inlineStr">
        <is>
          <t>CODE</t>
        </is>
      </c>
      <c r="D100" s="631" t="n"/>
      <c r="E100" s="624" t="inlineStr">
        <is>
          <t>SHARES / DAY</t>
        </is>
      </c>
      <c r="F100" s="625" t="n"/>
      <c r="G100" s="626" t="n"/>
      <c r="H100" s="633" t="inlineStr">
        <is>
          <t>SPOT PRICE</t>
        </is>
      </c>
      <c r="I100" s="633" t="inlineStr">
        <is>
          <t>STRIKE PRICE</t>
        </is>
      </c>
      <c r="J100" s="633" t="inlineStr">
        <is>
          <t>K/O PRICE</t>
        </is>
      </c>
      <c r="K100" s="637" t="inlineStr">
        <is>
          <t>LIFE TERM OF CONTRACT</t>
        </is>
      </c>
      <c r="L100" s="638" t="n"/>
      <c r="M100" s="639" t="n"/>
      <c r="N100" s="622" t="inlineStr">
        <is>
          <t>START DATE</t>
        </is>
      </c>
      <c r="O100" s="622" t="inlineStr">
        <is>
          <t>END DATE</t>
        </is>
      </c>
      <c r="P100" s="682" t="n"/>
      <c r="Q100" s="632" t="inlineStr">
        <is>
          <t>Estimated  Shares to sell</t>
        </is>
      </c>
      <c r="R100" s="683" t="inlineStr">
        <is>
          <t>Estimated Amount</t>
        </is>
      </c>
      <c r="S100" s="682" t="n"/>
      <c r="T100" s="683" t="inlineStr">
        <is>
          <t>Estimated Amount per month</t>
        </is>
      </c>
      <c r="Y100" s="173" t="inlineStr">
        <is>
          <t>july</t>
        </is>
      </c>
      <c r="Z100" s="173" t="inlineStr">
        <is>
          <t>aug</t>
        </is>
      </c>
      <c r="AH100" s="163">
        <f>SUM(#REF!)</f>
        <v/>
      </c>
      <c r="AI100" s="163">
        <f>SUM(#REF!)</f>
        <v/>
      </c>
    </row>
    <row r="101" ht="22.5" customHeight="1" s="671">
      <c r="B101" s="623" t="n"/>
      <c r="C101" s="623" t="n"/>
      <c r="D101" s="390" t="inlineStr">
        <is>
          <t>CB1</t>
        </is>
      </c>
      <c r="E101" s="627" t="n"/>
      <c r="F101" s="628" t="n"/>
      <c r="G101" s="629" t="n"/>
      <c r="H101" s="623" t="n"/>
      <c r="I101" s="623" t="n"/>
      <c r="J101" s="623" t="n"/>
      <c r="K101" s="637" t="inlineStr">
        <is>
          <t>RCVD mos.</t>
        </is>
      </c>
      <c r="L101" s="637" t="inlineStr">
        <is>
          <t>REM mos.</t>
        </is>
      </c>
      <c r="M101" s="637" t="inlineStr">
        <is>
          <t>Total mos.</t>
        </is>
      </c>
      <c r="N101" s="623" t="n"/>
      <c r="O101" s="623" t="n"/>
      <c r="P101" s="682" t="n"/>
      <c r="Q101" s="623" t="n"/>
      <c r="R101" s="623" t="n"/>
      <c r="S101" s="682" t="n"/>
      <c r="T101" s="623" t="n"/>
      <c r="U101" s="654" t="inlineStr">
        <is>
          <t>Closing</t>
        </is>
      </c>
      <c r="V101" s="652" t="inlineStr">
        <is>
          <t>Current</t>
        </is>
      </c>
      <c r="W101" s="652" t="inlineStr">
        <is>
          <t>Next</t>
        </is>
      </c>
      <c r="X101" s="652" t="inlineStr">
        <is>
          <t>sd</t>
        </is>
      </c>
      <c r="Y101" s="173" t="inlineStr">
        <is>
          <t>hkd</t>
        </is>
      </c>
      <c r="Z101" s="173" t="inlineStr">
        <is>
          <t>hkd</t>
        </is>
      </c>
      <c r="AH101" s="654" t="inlineStr">
        <is>
          <t>Double</t>
        </is>
      </c>
      <c r="AI101" s="654" t="inlineStr">
        <is>
          <t>Single</t>
        </is>
      </c>
    </row>
    <row r="102">
      <c r="A102" s="147">
        <f>INDIRECT(ADDRESS(ROW()-1,COLUMN()))+1</f>
        <v/>
      </c>
      <c r="B102" s="483" t="inlineStr">
        <is>
          <t>Great Wall Motor</t>
        </is>
      </c>
      <c r="C102" s="167" t="inlineStr">
        <is>
          <t>2333</t>
        </is>
      </c>
      <c r="D102" s="168" t="inlineStr">
        <is>
          <t>GREATWALL - 61</t>
        </is>
      </c>
      <c r="E102" s="124" t="n">
        <v>5000</v>
      </c>
      <c r="F102" s="169" t="inlineStr">
        <is>
          <t>/</t>
        </is>
      </c>
      <c r="G102" s="125" t="n">
        <v>10000</v>
      </c>
      <c r="H102" s="324" t="n">
        <v>4.09</v>
      </c>
      <c r="I102" s="325" t="n">
        <v>5.6017</v>
      </c>
      <c r="J102" s="324" t="n">
        <v>3.8855</v>
      </c>
      <c r="K102" s="170" t="n">
        <v>5</v>
      </c>
      <c r="L102" s="171">
        <f>M102-K102</f>
        <v/>
      </c>
      <c r="M102" s="171" t="n">
        <v>12</v>
      </c>
      <c r="N102" s="172" t="n">
        <v>43915</v>
      </c>
      <c r="O102" s="172" t="n">
        <v>44279</v>
      </c>
      <c r="P102" s="682" t="n"/>
      <c r="Q102" s="162">
        <f>E102*L102*20*X102</f>
        <v/>
      </c>
      <c r="R102" s="785">
        <f>E102*I102*L102*20*X102</f>
        <v/>
      </c>
      <c r="S102" s="682" t="n"/>
      <c r="T102" s="785">
        <f>E102*I102*20*X102</f>
        <v/>
      </c>
      <c r="U102" s="0" t="n">
        <v>9.119999999999999</v>
      </c>
      <c r="V102" s="304" t="n">
        <v>1</v>
      </c>
      <c r="W102" s="304" t="n">
        <v>2</v>
      </c>
      <c r="X102" s="678" t="n">
        <v>2</v>
      </c>
      <c r="Y102" s="173">
        <f>X102*V102*E102*I102*20</f>
        <v/>
      </c>
      <c r="Z102" s="173">
        <f>X102*W102*E102*I102*20</f>
        <v/>
      </c>
      <c r="AB102" s="163">
        <f>MONTH(O102)</f>
        <v/>
      </c>
      <c r="AC102" s="654">
        <f>YEAR(O102)</f>
        <v/>
      </c>
      <c r="AD102" s="654">
        <f>AB102&amp;"-"&amp;AC102&amp;"-"&amp;C102</f>
        <v/>
      </c>
      <c r="AE102" s="654">
        <f>C102</f>
        <v/>
      </c>
      <c r="AF102" s="685">
        <f>MATCH(AE102,ALLM!$C$34:$C$43,)</f>
        <v/>
      </c>
      <c r="AH102" s="163">
        <f>IF(C102="2333",IF(X102=2,1,0),0)</f>
        <v/>
      </c>
      <c r="AI102" s="163">
        <f>IF(C102="2333",IF(X102=1,1,0),0)</f>
        <v/>
      </c>
    </row>
    <row r="103">
      <c r="A103" s="147">
        <f>INDIRECT(ADDRESS(ROW()-1,COLUMN()))+1</f>
        <v/>
      </c>
      <c r="B103" s="483" t="inlineStr">
        <is>
          <t>Great Wall Motor</t>
        </is>
      </c>
      <c r="C103" s="167" t="inlineStr">
        <is>
          <t>2333</t>
        </is>
      </c>
      <c r="D103" s="168" t="inlineStr">
        <is>
          <t>GREATWALL - 62</t>
        </is>
      </c>
      <c r="E103" s="124" t="n">
        <v>3000</v>
      </c>
      <c r="F103" s="169" t="inlineStr">
        <is>
          <t>/</t>
        </is>
      </c>
      <c r="G103" s="125" t="n">
        <v>6000</v>
      </c>
      <c r="H103" s="324" t="n">
        <v>4.7</v>
      </c>
      <c r="I103" s="325" t="n">
        <v>6.0527</v>
      </c>
      <c r="J103" s="324" t="n">
        <v>4.23</v>
      </c>
      <c r="K103" s="170" t="n">
        <v>5</v>
      </c>
      <c r="L103" s="171">
        <f>M103-K103</f>
        <v/>
      </c>
      <c r="M103" s="171" t="n">
        <v>12</v>
      </c>
      <c r="N103" s="172" t="n">
        <v>43917</v>
      </c>
      <c r="O103" s="172" t="n">
        <v>44281</v>
      </c>
      <c r="P103" s="682" t="n"/>
      <c r="Q103" s="162">
        <f>E103*L103*20*X103</f>
        <v/>
      </c>
      <c r="R103" s="785">
        <f>E103*I103*L103*20*X103</f>
        <v/>
      </c>
      <c r="S103" s="682" t="n"/>
      <c r="T103" s="785">
        <f>E103*I103*20*X103</f>
        <v/>
      </c>
      <c r="U103" s="0" t="n">
        <v>9.119999999999999</v>
      </c>
      <c r="V103" s="304" t="n">
        <v>1</v>
      </c>
      <c r="W103" s="304" t="n">
        <v>2</v>
      </c>
      <c r="X103" s="678" t="n">
        <v>2</v>
      </c>
      <c r="Y103" s="173">
        <f>X103*V103*E103*I103*20</f>
        <v/>
      </c>
      <c r="Z103" s="173">
        <f>X103*W103*E103*I103*20</f>
        <v/>
      </c>
      <c r="AB103" s="163">
        <f>MONTH(O103)</f>
        <v/>
      </c>
      <c r="AC103" s="654">
        <f>YEAR(O103)</f>
        <v/>
      </c>
      <c r="AD103" s="654">
        <f>AB103&amp;"-"&amp;AC103&amp;"-"&amp;C103</f>
        <v/>
      </c>
      <c r="AE103" s="654">
        <f>C103</f>
        <v/>
      </c>
      <c r="AF103" s="685">
        <f>MATCH(AE103,ALLM!$C$34:$C$43,)</f>
        <v/>
      </c>
      <c r="AH103" s="163">
        <f>IF(C103="2333",IF(X103=2,1,0),0)</f>
        <v/>
      </c>
      <c r="AI103" s="163">
        <f>IF(C103="2333",IF(X103=1,1,0),0)</f>
        <v/>
      </c>
    </row>
    <row r="104">
      <c r="A104" s="147">
        <f>INDIRECT(ADDRESS(ROW()-1,COLUMN()))+1</f>
        <v/>
      </c>
      <c r="B104" s="483" t="inlineStr">
        <is>
          <t>Great Wall Motor</t>
        </is>
      </c>
      <c r="C104" s="167" t="inlineStr">
        <is>
          <t>2333</t>
        </is>
      </c>
      <c r="D104" s="168" t="inlineStr">
        <is>
          <t>GREATWALL - 63</t>
        </is>
      </c>
      <c r="E104" s="124" t="n">
        <v>5000</v>
      </c>
      <c r="F104" s="169" t="inlineStr">
        <is>
          <t>/</t>
        </is>
      </c>
      <c r="G104" s="125" t="n">
        <v>10000</v>
      </c>
      <c r="H104" s="324" t="n">
        <v>4.67</v>
      </c>
      <c r="I104" s="325" t="n">
        <v>5.7857</v>
      </c>
      <c r="J104" s="324" t="n">
        <v>4.203</v>
      </c>
      <c r="K104" s="170" t="n">
        <v>5</v>
      </c>
      <c r="L104" s="171">
        <f>M104-K104</f>
        <v/>
      </c>
      <c r="M104" s="171" t="n">
        <v>9</v>
      </c>
      <c r="N104" s="172" t="n">
        <v>43924</v>
      </c>
      <c r="O104" s="172" t="n">
        <v>44200</v>
      </c>
      <c r="P104" s="682" t="n"/>
      <c r="Q104" s="162">
        <f>E104*L104*20*X104</f>
        <v/>
      </c>
      <c r="R104" s="785">
        <f>E104*I104*L104*20*X104</f>
        <v/>
      </c>
      <c r="S104" s="682" t="n"/>
      <c r="T104" s="785">
        <f>E104*I104*20*X104</f>
        <v/>
      </c>
      <c r="U104" s="0" t="n">
        <v>9.119999999999999</v>
      </c>
      <c r="V104" s="304" t="n">
        <v>0</v>
      </c>
      <c r="W104" s="304" t="n">
        <v>1</v>
      </c>
      <c r="X104" s="678" t="n">
        <v>2</v>
      </c>
      <c r="Y104" s="173">
        <f>X104*V104*E104*I104*20</f>
        <v/>
      </c>
      <c r="Z104" s="173">
        <f>X104*W104*E104*I104*20</f>
        <v/>
      </c>
      <c r="AB104" s="163">
        <f>MONTH(O104)</f>
        <v/>
      </c>
      <c r="AC104" s="654">
        <f>YEAR(O104)</f>
        <v/>
      </c>
      <c r="AD104" s="654">
        <f>AB104&amp;"-"&amp;AC104&amp;"-"&amp;C104</f>
        <v/>
      </c>
      <c r="AE104" s="654">
        <f>C104</f>
        <v/>
      </c>
      <c r="AF104" s="685">
        <f>MATCH(AE104,ALLM!$C$34:$C$43,)</f>
        <v/>
      </c>
      <c r="AH104" s="163">
        <f>IF(C104="2333",IF(X104=2,1,0),0)</f>
        <v/>
      </c>
      <c r="AI104" s="163">
        <f>IF(C104="2333",IF(X104=1,1,0),0)</f>
        <v/>
      </c>
    </row>
    <row r="105">
      <c r="A105" s="147">
        <f>INDIRECT(ADDRESS(ROW()-1,COLUMN()))+1</f>
        <v/>
      </c>
      <c r="B105" s="483" t="inlineStr">
        <is>
          <t>Great Wall Motor</t>
        </is>
      </c>
      <c r="C105" s="167" t="inlineStr">
        <is>
          <t>2333</t>
        </is>
      </c>
      <c r="D105" s="168" t="inlineStr">
        <is>
          <t>GREATWALL - 64</t>
        </is>
      </c>
      <c r="E105" s="124" t="n">
        <v>4000</v>
      </c>
      <c r="F105" s="169" t="inlineStr">
        <is>
          <t>/</t>
        </is>
      </c>
      <c r="G105" s="125" t="n">
        <v>8000</v>
      </c>
      <c r="H105" s="324" t="n">
        <v>4.6688</v>
      </c>
      <c r="I105" s="325" t="n">
        <v>5.899</v>
      </c>
      <c r="J105" s="324" t="n">
        <v>4.2019</v>
      </c>
      <c r="K105" s="170" t="n">
        <v>5</v>
      </c>
      <c r="L105" s="171">
        <f>M105-K105</f>
        <v/>
      </c>
      <c r="M105" s="171" t="n">
        <v>12</v>
      </c>
      <c r="N105" s="172" t="n">
        <v>43927</v>
      </c>
      <c r="O105" s="172" t="n">
        <v>44293</v>
      </c>
      <c r="P105" s="682" t="n"/>
      <c r="Q105" s="162">
        <f>E105*L105*20*X105</f>
        <v/>
      </c>
      <c r="R105" s="785">
        <f>E105*I105*L105*20*X105</f>
        <v/>
      </c>
      <c r="S105" s="682" t="n"/>
      <c r="T105" s="785">
        <f>E105*I105*20*X105</f>
        <v/>
      </c>
      <c r="U105" s="0" t="n">
        <v>9.119999999999999</v>
      </c>
      <c r="V105" s="304" t="n">
        <v>0</v>
      </c>
      <c r="W105" s="304" t="n">
        <v>1</v>
      </c>
      <c r="X105" s="678" t="n">
        <v>2</v>
      </c>
      <c r="Y105" s="173">
        <f>X105*V105*E105*I105*20</f>
        <v/>
      </c>
      <c r="Z105" s="173">
        <f>X105*W105*E105*I105*20</f>
        <v/>
      </c>
      <c r="AB105" s="163">
        <f>MONTH(O105)</f>
        <v/>
      </c>
      <c r="AC105" s="654">
        <f>YEAR(O105)</f>
        <v/>
      </c>
      <c r="AD105" s="654">
        <f>AB105&amp;"-"&amp;AC105&amp;"-"&amp;C105</f>
        <v/>
      </c>
      <c r="AE105" s="654">
        <f>C105</f>
        <v/>
      </c>
      <c r="AF105" s="685">
        <f>MATCH(AE105,ALLM!$C$34:$C$43,)</f>
        <v/>
      </c>
      <c r="AH105" s="163">
        <f>IF(C105="2333",IF(X105=2,1,0),0)</f>
        <v/>
      </c>
      <c r="AI105" s="163">
        <f>IF(C105="2333",IF(X105=1,1,0),0)</f>
        <v/>
      </c>
    </row>
    <row r="106">
      <c r="A106" s="147">
        <f>INDIRECT(ADDRESS(ROW()-1,COLUMN()))+1</f>
        <v/>
      </c>
      <c r="B106" s="483" t="inlineStr">
        <is>
          <t>Great Wall Motor</t>
        </is>
      </c>
      <c r="C106" s="167" t="inlineStr">
        <is>
          <t>2333</t>
        </is>
      </c>
      <c r="D106" s="168" t="inlineStr">
        <is>
          <t>GREATWALL - 65</t>
        </is>
      </c>
      <c r="E106" s="124" t="n">
        <v>1100</v>
      </c>
      <c r="F106" s="169" t="inlineStr">
        <is>
          <t>/</t>
        </is>
      </c>
      <c r="G106" s="125" t="n">
        <v>2200</v>
      </c>
      <c r="H106" s="324" t="n">
        <v>5.02</v>
      </c>
      <c r="I106" s="325" t="n">
        <v>6.271</v>
      </c>
      <c r="J106" s="324" t="n">
        <v>4.769</v>
      </c>
      <c r="K106" s="170" t="n">
        <v>4</v>
      </c>
      <c r="L106" s="171">
        <f>M106-K106</f>
        <v/>
      </c>
      <c r="M106" s="171" t="n">
        <v>12</v>
      </c>
      <c r="N106" s="172" t="n">
        <v>43936</v>
      </c>
      <c r="O106" s="172" t="n">
        <v>44300</v>
      </c>
      <c r="P106" s="682" t="n"/>
      <c r="Q106" s="162">
        <f>E106*L106*20*X106</f>
        <v/>
      </c>
      <c r="R106" s="785">
        <f>E106*I106*L106*20*X106</f>
        <v/>
      </c>
      <c r="S106" s="682" t="n"/>
      <c r="T106" s="785">
        <f>E106*I106*20*X106</f>
        <v/>
      </c>
      <c r="U106" s="0" t="n">
        <v>9.119999999999999</v>
      </c>
      <c r="V106" s="304" t="n">
        <v>1</v>
      </c>
      <c r="W106" s="304" t="n">
        <v>2</v>
      </c>
      <c r="X106" s="678" t="n">
        <v>2</v>
      </c>
      <c r="Y106" s="173">
        <f>X106*V106*E106*I106*20</f>
        <v/>
      </c>
      <c r="Z106" s="173">
        <f>X106*W106*E106*I106*20</f>
        <v/>
      </c>
      <c r="AB106" s="163">
        <f>MONTH(O106)</f>
        <v/>
      </c>
      <c r="AC106" s="654">
        <f>YEAR(O106)</f>
        <v/>
      </c>
      <c r="AD106" s="654">
        <f>AB106&amp;"-"&amp;AC106&amp;"-"&amp;C106</f>
        <v/>
      </c>
      <c r="AE106" s="654">
        <f>C106</f>
        <v/>
      </c>
      <c r="AF106" s="685">
        <f>MATCH(AE106,ALLM!$C$34:$C$43,)</f>
        <v/>
      </c>
      <c r="AH106" s="163">
        <f>IF(C106="2333",IF(X106=2,1,0),0)</f>
        <v/>
      </c>
      <c r="AI106" s="163">
        <f>IF(C106="2333",IF(X106=1,1,0),0)</f>
        <v/>
      </c>
    </row>
    <row r="107">
      <c r="A107" s="147" t="n"/>
    </row>
    <row r="108">
      <c r="L108" s="71" t="n"/>
      <c r="N108" s="453" t="n"/>
      <c r="O108" s="453" t="inlineStr">
        <is>
          <t>Total</t>
        </is>
      </c>
      <c r="P108" s="453" t="n"/>
      <c r="Q108" s="663">
        <f>SUM(Q101:Q107)</f>
        <v/>
      </c>
      <c r="R108" s="94">
        <f>SUM(R101:R107)</f>
        <v/>
      </c>
      <c r="S108" s="453" t="n"/>
      <c r="T108" s="745">
        <f>SUM(T101:T107)</f>
        <v/>
      </c>
    </row>
    <row r="109">
      <c r="A109" s="72" t="n"/>
      <c r="B109" s="448" t="n"/>
      <c r="C109" s="448" t="n"/>
      <c r="D109" s="449" t="n"/>
      <c r="E109" s="448" t="n"/>
      <c r="F109" s="448" t="n"/>
      <c r="G109" s="448" t="n"/>
      <c r="H109" s="299" t="n"/>
      <c r="I109" s="300" t="n"/>
      <c r="J109" s="299" t="n"/>
      <c r="K109" s="72" t="n"/>
      <c r="Q109" s="656" t="inlineStr">
        <is>
          <t>Shares</t>
        </is>
      </c>
      <c r="R109" s="656" t="inlineStr">
        <is>
          <t>HKD</t>
        </is>
      </c>
      <c r="S109" s="656" t="n"/>
      <c r="T109" s="656" t="inlineStr">
        <is>
          <t>HKD</t>
        </is>
      </c>
    </row>
    <row r="110">
      <c r="A110" s="72" t="n"/>
      <c r="B110" s="448" t="n"/>
      <c r="C110" s="448" t="n"/>
      <c r="D110" s="449" t="n"/>
      <c r="E110" s="448" t="n"/>
      <c r="F110" s="448" t="n"/>
      <c r="G110" s="448" t="n"/>
      <c r="H110" s="299" t="n"/>
      <c r="I110" s="300" t="n"/>
      <c r="J110" s="299" t="n"/>
      <c r="K110" s="72" t="n"/>
      <c r="P110" s="682" t="n"/>
      <c r="Q110" s="682" t="n"/>
      <c r="R110" s="682" t="n"/>
      <c r="S110" s="682" t="n"/>
    </row>
    <row r="111" ht="18.75" customHeight="1" s="671">
      <c r="A111" s="72" t="n"/>
      <c r="B111" s="448" t="n"/>
      <c r="C111" s="448" t="n"/>
      <c r="D111" s="449" t="n"/>
      <c r="E111" s="448" t="n"/>
      <c r="F111" s="448" t="n"/>
      <c r="G111" s="448" t="n"/>
      <c r="H111" s="299" t="n"/>
      <c r="I111" s="300" t="n"/>
      <c r="J111" s="71" t="inlineStr">
        <is>
          <t>Total Shares to sell</t>
        </is>
      </c>
      <c r="K111" s="72" t="n"/>
      <c r="L111" s="654" t="n"/>
      <c r="M111" s="462" t="n"/>
      <c r="O111" s="462" t="n"/>
      <c r="P111" s="462" t="n"/>
      <c r="Q111" s="663">
        <f>Q108</f>
        <v/>
      </c>
      <c r="R111" s="750" t="n"/>
      <c r="S111" s="750" t="n"/>
      <c r="T111" s="750" t="n"/>
    </row>
    <row r="112" ht="18.75" customHeight="1" s="671">
      <c r="A112" s="72" t="n"/>
      <c r="B112" s="448" t="n"/>
      <c r="C112" s="448" t="n"/>
      <c r="D112" s="449" t="n"/>
      <c r="E112" s="448" t="n"/>
      <c r="F112" s="448" t="n"/>
      <c r="G112" s="448" t="n"/>
      <c r="H112" s="299" t="n"/>
      <c r="I112" s="300" t="n"/>
      <c r="J112" s="71" t="inlineStr">
        <is>
          <t>On hand</t>
        </is>
      </c>
      <c r="K112" s="72" t="n"/>
      <c r="L112" s="654" t="n"/>
      <c r="M112" s="71" t="n"/>
      <c r="N112" s="666" t="n"/>
      <c r="P112" s="462" t="n"/>
      <c r="Q112" s="663" t="n">
        <v>983960</v>
      </c>
      <c r="R112" s="750" t="n"/>
      <c r="S112" s="750" t="n"/>
      <c r="T112" s="750" t="n"/>
    </row>
    <row r="113" ht="18.75" customHeight="1" s="671">
      <c r="A113" s="72" t="n"/>
      <c r="B113" s="448" t="n"/>
      <c r="C113" s="448" t="n"/>
      <c r="D113" s="449" t="n"/>
      <c r="E113" s="448" t="n"/>
      <c r="F113" s="448" t="n"/>
      <c r="G113" s="448" t="n"/>
      <c r="H113" s="299" t="n"/>
      <c r="I113" s="300" t="n"/>
      <c r="J113" s="71" t="inlineStr">
        <is>
          <t>Balance shares for decu</t>
        </is>
      </c>
      <c r="K113" s="72" t="n"/>
      <c r="L113" s="654" t="n"/>
      <c r="M113" s="71" t="n"/>
      <c r="N113" s="666" t="n"/>
      <c r="O113" s="666" t="n"/>
      <c r="P113" s="462" t="n"/>
      <c r="Q113" s="110">
        <f>Q111-Q112</f>
        <v/>
      </c>
      <c r="R113" s="750" t="n"/>
      <c r="S113" s="750" t="n"/>
      <c r="T113" s="750" t="n"/>
    </row>
    <row r="114" ht="18.75" customHeight="1" s="671">
      <c r="A114" s="72" t="n"/>
      <c r="B114" s="448" t="n"/>
      <c r="C114" s="448" t="n"/>
      <c r="D114" s="449" t="n"/>
      <c r="E114" s="448" t="n"/>
      <c r="F114" s="448" t="n"/>
      <c r="G114" s="448" t="n"/>
      <c r="H114" s="299" t="n"/>
      <c r="I114" s="300" t="n"/>
      <c r="J114" s="71" t="n"/>
      <c r="K114" s="72" t="n"/>
      <c r="L114" s="654" t="n"/>
      <c r="M114" s="71" t="n"/>
      <c r="N114" s="666" t="n"/>
      <c r="O114" s="666" t="n"/>
      <c r="P114" s="462" t="n"/>
      <c r="Q114" s="663" t="n"/>
      <c r="R114" s="750" t="n"/>
      <c r="S114" s="750" t="n"/>
      <c r="T114" s="750" t="n"/>
    </row>
    <row r="115" ht="18.75" customHeight="1" s="671">
      <c r="A115" s="72" t="n"/>
      <c r="B115" s="448" t="n"/>
      <c r="C115" s="448" t="n"/>
      <c r="D115" s="449" t="n"/>
      <c r="E115" s="448" t="n"/>
      <c r="F115" s="448" t="n"/>
      <c r="G115" s="448" t="n"/>
      <c r="H115" s="299" t="n"/>
      <c r="I115" s="300" t="n"/>
      <c r="J115" s="299" t="n"/>
      <c r="K115" s="72" t="n"/>
      <c r="L115" s="71" t="n"/>
      <c r="M115" s="71" t="n"/>
      <c r="N115" s="666" t="n"/>
      <c r="P115" s="462" t="n"/>
      <c r="R115" s="663" t="inlineStr">
        <is>
          <t>Estimated Amount</t>
        </is>
      </c>
      <c r="S115" s="109" t="n">
        <v>0.3</v>
      </c>
      <c r="T115" s="663" t="inlineStr">
        <is>
          <t>Margin requirement</t>
        </is>
      </c>
    </row>
    <row r="116" ht="18.75" customHeight="1" s="671">
      <c r="A116" s="72" t="n"/>
      <c r="B116" s="448" t="n"/>
      <c r="C116" s="448" t="n"/>
      <c r="D116" s="449" t="n"/>
      <c r="E116" s="448" t="n"/>
      <c r="F116" s="448" t="n"/>
      <c r="G116" s="448" t="n"/>
      <c r="H116" s="116" t="inlineStr">
        <is>
          <t>Collateral 2: 30% x Estimated Amount Total</t>
        </is>
      </c>
      <c r="I116" s="481" t="n"/>
      <c r="J116" s="117" t="n"/>
      <c r="K116" s="481" t="n"/>
      <c r="L116" s="481" t="n"/>
      <c r="M116" s="71" t="n"/>
      <c r="N116" s="666" t="n"/>
      <c r="O116" s="666" t="n"/>
      <c r="P116" s="462" t="n"/>
      <c r="R116" s="663">
        <f>R108</f>
        <v/>
      </c>
      <c r="S116" s="750" t="n"/>
      <c r="T116" s="323">
        <f>-R116*S115</f>
        <v/>
      </c>
    </row>
    <row r="117" ht="18.75" customHeight="1" s="671">
      <c r="A117" s="72" t="n"/>
      <c r="B117" s="448" t="n"/>
      <c r="C117" s="448" t="n"/>
      <c r="D117" s="449" t="n"/>
      <c r="E117" s="448" t="n"/>
      <c r="F117" s="448" t="n"/>
      <c r="G117" s="448" t="n"/>
      <c r="H117" s="71" t="n"/>
      <c r="I117" s="654" t="n"/>
      <c r="J117" s="72" t="n"/>
      <c r="K117" s="654" t="n"/>
      <c r="L117" s="654" t="n"/>
      <c r="M117" s="71" t="n"/>
      <c r="N117" s="666" t="n"/>
      <c r="O117" s="666" t="n"/>
      <c r="P117" s="462" t="n"/>
      <c r="Q117" s="663" t="n"/>
      <c r="R117" s="482" t="n"/>
      <c r="S117" s="750" t="n"/>
      <c r="T117" s="750" t="n"/>
    </row>
    <row r="118" ht="18.75" customHeight="1" s="671">
      <c r="A118" s="72" t="n"/>
      <c r="B118" s="448" t="n"/>
      <c r="C118" s="448" t="n"/>
      <c r="D118" s="449" t="n"/>
      <c r="E118" s="448" t="n"/>
      <c r="F118" s="448" t="n"/>
      <c r="G118" s="448" t="n"/>
      <c r="H118" s="299" t="n"/>
      <c r="I118" s="654" t="n"/>
      <c r="J118" s="72" t="n"/>
      <c r="K118" s="654" t="n"/>
      <c r="L118" s="71" t="n"/>
      <c r="M118" s="71" t="n"/>
      <c r="N118" s="666" t="n"/>
      <c r="O118" s="666" t="n"/>
      <c r="P118" s="462" t="n"/>
      <c r="Q118" s="750" t="inlineStr">
        <is>
          <t>Market Price</t>
        </is>
      </c>
      <c r="R118" s="485">
        <f>market_price</f>
        <v/>
      </c>
    </row>
    <row r="119" ht="30" customFormat="1" customHeight="1" s="665">
      <c r="A119" s="112" t="n"/>
      <c r="B119" s="487" t="n"/>
      <c r="C119" s="487" t="n"/>
      <c r="D119" s="487" t="n"/>
      <c r="E119" s="487" t="n"/>
      <c r="F119" s="487" t="n"/>
      <c r="G119" s="487" t="n"/>
      <c r="H119" s="326" t="n"/>
      <c r="J119" s="112" t="n"/>
      <c r="L119" s="664" t="inlineStr">
        <is>
          <t>Estimated Shares</t>
        </is>
      </c>
      <c r="N119" s="670" t="inlineStr">
        <is>
          <t>On Hand</t>
        </is>
      </c>
      <c r="P119" s="489" t="n"/>
      <c r="Q119" s="670" t="inlineStr">
        <is>
          <t>Balance shares for decu</t>
        </is>
      </c>
      <c r="R119" s="490" t="inlineStr">
        <is>
          <t>Strike Price minus Market Price</t>
        </is>
      </c>
      <c r="S119" s="786" t="n"/>
      <c r="T119" s="111" t="inlineStr">
        <is>
          <t>Collateral needed</t>
        </is>
      </c>
      <c r="W119" s="113" t="n"/>
      <c r="X119" s="113" t="n"/>
      <c r="Y119" s="114" t="n"/>
      <c r="Z119" s="114" t="n"/>
      <c r="AB119" s="115" t="n"/>
    </row>
    <row r="120" ht="18.75" customHeight="1" s="671">
      <c r="A120" s="72" t="n"/>
      <c r="B120" s="448" t="n"/>
      <c r="C120" s="448" t="n"/>
      <c r="D120" s="449" t="n"/>
      <c r="E120" s="448" t="n"/>
      <c r="F120" s="448" t="n"/>
      <c r="G120" s="448" t="n"/>
      <c r="H120" s="116" t="inlineStr">
        <is>
          <t xml:space="preserve">Collateral 3: </t>
        </is>
      </c>
      <c r="I120" s="481" t="n"/>
      <c r="J120" s="666" t="inlineStr">
        <is>
          <t>Strike 1</t>
        </is>
      </c>
      <c r="K120" s="654" t="n"/>
      <c r="L120" s="662">
        <f>I102</f>
        <v/>
      </c>
      <c r="N120" s="663">
        <f>Q112</f>
        <v/>
      </c>
      <c r="P120" s="462" t="n"/>
      <c r="Q120" s="663">
        <f>Q102-N120</f>
        <v/>
      </c>
      <c r="R120" s="327">
        <f>L120-market_price</f>
        <v/>
      </c>
      <c r="S120" s="750" t="n"/>
      <c r="T120" s="328">
        <f>Q120*R120</f>
        <v/>
      </c>
    </row>
    <row r="121" ht="18.75" customHeight="1" s="671">
      <c r="A121" s="72" t="n"/>
      <c r="B121" s="448" t="n"/>
      <c r="C121" s="448" t="n"/>
      <c r="D121" s="449" t="n"/>
      <c r="E121" s="448" t="n"/>
      <c r="F121" s="448" t="n"/>
      <c r="G121" s="448" t="n"/>
      <c r="H121" s="300" t="n"/>
      <c r="I121" s="299" t="n"/>
      <c r="J121" s="666" t="inlineStr">
        <is>
          <t>Strike 2</t>
        </is>
      </c>
      <c r="K121" s="654" t="n"/>
      <c r="L121" s="662">
        <f>I103</f>
        <v/>
      </c>
      <c r="N121" s="663" t="n">
        <v>0</v>
      </c>
      <c r="P121" s="462" t="n"/>
      <c r="Q121" s="663">
        <f>Q103-N121</f>
        <v/>
      </c>
      <c r="R121" s="327">
        <f>L121-market_price</f>
        <v/>
      </c>
      <c r="S121" s="750" t="n"/>
      <c r="T121" s="328">
        <f>Q121*R121</f>
        <v/>
      </c>
    </row>
    <row r="122" ht="18.75" customHeight="1" s="671">
      <c r="A122" s="72" t="n"/>
      <c r="B122" s="448" t="n"/>
      <c r="C122" s="448" t="n"/>
      <c r="D122" s="449" t="n"/>
      <c r="E122" s="448" t="n"/>
      <c r="F122" s="448" t="n"/>
      <c r="G122" s="448" t="n"/>
      <c r="H122" s="300" t="n"/>
      <c r="I122" s="299" t="n"/>
      <c r="J122" s="666" t="inlineStr">
        <is>
          <t>Strike 3</t>
        </is>
      </c>
      <c r="K122" s="654" t="n"/>
      <c r="L122" s="662">
        <f>I104</f>
        <v/>
      </c>
      <c r="N122" s="663" t="n">
        <v>0</v>
      </c>
      <c r="P122" s="462" t="n"/>
      <c r="Q122" s="663">
        <f>Q104-N122</f>
        <v/>
      </c>
      <c r="R122" s="327">
        <f>L122-market_price</f>
        <v/>
      </c>
      <c r="S122" s="750" t="n"/>
      <c r="T122" s="328">
        <f>Q122*R122</f>
        <v/>
      </c>
    </row>
    <row r="123" ht="18.75" customHeight="1" s="671">
      <c r="A123" s="72" t="n"/>
      <c r="B123" s="448" t="n"/>
      <c r="C123" s="448" t="n"/>
      <c r="D123" s="449" t="n"/>
      <c r="E123" s="448" t="n"/>
      <c r="F123" s="448" t="n"/>
      <c r="G123" s="448" t="n"/>
      <c r="H123" s="300" t="n"/>
      <c r="I123" s="299" t="n"/>
      <c r="J123" s="666" t="inlineStr">
        <is>
          <t>Strike 4</t>
        </is>
      </c>
      <c r="K123" s="654" t="n"/>
      <c r="L123" s="662">
        <f>I105</f>
        <v/>
      </c>
      <c r="N123" s="663" t="n">
        <v>0</v>
      </c>
      <c r="P123" s="462" t="n"/>
      <c r="Q123" s="663">
        <f>Q105-N123</f>
        <v/>
      </c>
      <c r="R123" s="327">
        <f>L123-market_price</f>
        <v/>
      </c>
      <c r="S123" s="750" t="n"/>
      <c r="T123" s="328">
        <f>Q123*R123</f>
        <v/>
      </c>
    </row>
    <row r="124" ht="18.75" customHeight="1" s="671">
      <c r="A124" s="72" t="n"/>
      <c r="B124" s="448" t="n"/>
      <c r="C124" s="448" t="n"/>
      <c r="D124" s="449" t="n"/>
      <c r="E124" s="448" t="n"/>
      <c r="F124" s="448" t="n"/>
      <c r="G124" s="448" t="n"/>
      <c r="H124" s="300" t="n"/>
      <c r="I124" s="299" t="n"/>
      <c r="J124" s="666" t="inlineStr">
        <is>
          <t>Strike 5</t>
        </is>
      </c>
      <c r="K124" s="654" t="n"/>
      <c r="L124" s="662">
        <f>I106</f>
        <v/>
      </c>
      <c r="N124" s="663" t="n">
        <v>0</v>
      </c>
      <c r="P124" s="462" t="n"/>
      <c r="Q124" s="663">
        <f>Q106-N124</f>
        <v/>
      </c>
      <c r="R124" s="327">
        <f>L124-market_price</f>
        <v/>
      </c>
      <c r="S124" s="750" t="n"/>
      <c r="T124" s="328">
        <f>Q124*R124</f>
        <v/>
      </c>
    </row>
    <row r="125" ht="18.75" customHeight="1" s="671">
      <c r="A125" s="72" t="n"/>
      <c r="B125" s="448" t="n"/>
      <c r="C125" s="448" t="n"/>
      <c r="D125" s="449" t="n"/>
      <c r="E125" s="448" t="n"/>
      <c r="F125" s="448" t="n"/>
      <c r="G125" s="448" t="n"/>
      <c r="H125" s="300" t="n"/>
      <c r="I125" s="71" t="inlineStr">
        <is>
          <t>Sub Total</t>
        </is>
      </c>
      <c r="J125" s="654" t="n"/>
      <c r="K125" s="654" t="n"/>
      <c r="L125" s="666" t="n"/>
      <c r="M125" s="654" t="n"/>
      <c r="N125" s="667">
        <f>SUM(N120:O124)</f>
        <v/>
      </c>
      <c r="O125" s="625" t="n"/>
      <c r="P125" s="462" t="n"/>
      <c r="Q125" s="667">
        <f>SUM(Q120:Q124)</f>
        <v/>
      </c>
      <c r="R125" s="788" t="n"/>
      <c r="S125" s="788" t="n"/>
      <c r="T125" s="333">
        <f>SUM(T120:T124)</f>
        <v/>
      </c>
    </row>
    <row r="126" ht="18.75" customHeight="1" s="671">
      <c r="A126" s="72" t="n"/>
      <c r="B126" s="448" t="n"/>
      <c r="C126" s="448" t="n"/>
      <c r="D126" s="449" t="n"/>
      <c r="E126" s="448" t="n"/>
      <c r="F126" s="448" t="n"/>
      <c r="G126" s="448" t="n"/>
      <c r="H126" s="299" t="n"/>
      <c r="I126" s="300" t="n"/>
      <c r="J126" s="299" t="n"/>
      <c r="K126" s="72" t="n"/>
      <c r="L126" s="71" t="n"/>
      <c r="M126" s="71" t="n"/>
      <c r="N126" s="666" t="n"/>
      <c r="O126" s="666" t="n"/>
      <c r="P126" s="462" t="n"/>
      <c r="Q126" s="663" t="n"/>
      <c r="R126" s="750" t="n"/>
      <c r="S126" s="750" t="n"/>
      <c r="T126" s="750" t="n"/>
    </row>
    <row r="127" ht="18.75" customHeight="1" s="671">
      <c r="A127" s="72" t="n"/>
      <c r="B127" s="448" t="n"/>
      <c r="C127" s="448" t="n"/>
      <c r="D127" s="449" t="n"/>
      <c r="E127" s="448" t="n"/>
      <c r="F127" s="448" t="n"/>
      <c r="G127" s="448" t="n"/>
      <c r="H127" s="116" t="inlineStr">
        <is>
          <t>Total collateral needed</t>
        </is>
      </c>
      <c r="I127" s="331" t="n"/>
      <c r="J127" s="481" t="n"/>
      <c r="K127" s="72" t="n"/>
      <c r="L127" s="654" t="n"/>
      <c r="M127" s="71" t="n"/>
      <c r="N127" s="666" t="n"/>
      <c r="O127" s="666" t="n"/>
      <c r="P127" s="462" t="n"/>
      <c r="Q127" s="663" t="n"/>
      <c r="R127" s="750" t="n"/>
      <c r="S127" s="750" t="n"/>
      <c r="T127" s="323">
        <f>T116+T125+T98</f>
        <v/>
      </c>
    </row>
    <row r="128" ht="18.75" customHeight="1" s="671">
      <c r="A128" s="72" t="n"/>
      <c r="B128" s="448" t="n"/>
      <c r="C128" s="448" t="n"/>
      <c r="D128" s="449" t="n"/>
      <c r="E128" s="448" t="n"/>
      <c r="F128" s="448" t="n"/>
      <c r="G128" s="448" t="n"/>
      <c r="H128" s="71" t="n"/>
      <c r="I128" s="300" t="n"/>
      <c r="J128" s="654" t="n"/>
      <c r="K128" s="72" t="n"/>
      <c r="L128" s="654" t="n"/>
      <c r="M128" s="71" t="n"/>
      <c r="N128" s="666" t="n"/>
      <c r="O128" s="666" t="n"/>
      <c r="P128" s="462" t="n"/>
      <c r="Q128" s="663" t="n"/>
      <c r="R128" s="663" t="inlineStr">
        <is>
          <t>USD Rate 7.75</t>
        </is>
      </c>
      <c r="S128" s="750" t="n"/>
      <c r="T128" s="332">
        <f>T127/7.75</f>
        <v/>
      </c>
    </row>
    <row r="131" ht="15.75" customHeight="1" s="671">
      <c r="A131" s="76" t="inlineStr">
        <is>
          <t>SUN HUNG KAI</t>
        </is>
      </c>
      <c r="B131" s="75" t="n"/>
      <c r="C131" s="447" t="n"/>
      <c r="D131" s="447" t="n"/>
      <c r="E131" s="681" t="n"/>
      <c r="F131" s="681" t="n"/>
      <c r="G131" s="681" t="n"/>
      <c r="H131" s="285" t="n"/>
      <c r="I131" s="285" t="n"/>
      <c r="J131" s="286" t="n"/>
      <c r="K131" s="298" t="n"/>
      <c r="L131" s="298" t="n"/>
      <c r="M131" s="298" t="n"/>
      <c r="N131" s="298" t="n"/>
      <c r="O131" s="298" t="n"/>
      <c r="P131" s="298" t="n"/>
      <c r="Q131" s="298" t="n"/>
      <c r="R131" s="298" t="n"/>
    </row>
    <row r="132" ht="9.75" customHeight="1" s="671">
      <c r="A132" s="72" t="n"/>
      <c r="B132" s="448" t="n"/>
      <c r="C132" s="448" t="n"/>
      <c r="D132" s="449" t="n"/>
      <c r="E132" s="448" t="inlineStr">
        <is>
          <t>`</t>
        </is>
      </c>
      <c r="F132" s="448" t="n"/>
      <c r="G132" s="448" t="n"/>
      <c r="H132" s="299" t="n"/>
      <c r="I132" s="300" t="inlineStr">
        <is>
          <t>`</t>
        </is>
      </c>
      <c r="J132" s="299" t="n"/>
      <c r="K132" s="298" t="n"/>
      <c r="L132" s="298" t="n"/>
      <c r="M132" s="298" t="n"/>
      <c r="N132" s="298" t="n"/>
      <c r="O132" s="298" t="n"/>
      <c r="P132" s="298" t="n"/>
      <c r="Q132" s="298" t="n"/>
      <c r="R132" s="298" t="n"/>
    </row>
    <row r="133" ht="15" customFormat="1" customHeight="1" s="642">
      <c r="A133" s="646" t="n"/>
      <c r="B133" s="640" t="inlineStr">
        <is>
          <t>ACCUMULATOR</t>
        </is>
      </c>
      <c r="C133" s="631" t="inlineStr">
        <is>
          <t>CODE</t>
        </is>
      </c>
      <c r="D133" s="631" t="n"/>
      <c r="E133" s="624" t="inlineStr">
        <is>
          <t>SHARES / DAY</t>
        </is>
      </c>
      <c r="F133" s="625" t="n"/>
      <c r="G133" s="626" t="n"/>
      <c r="H133" s="633" t="inlineStr">
        <is>
          <t>SPOT PRICE</t>
        </is>
      </c>
      <c r="I133" s="633" t="inlineStr">
        <is>
          <t>STRIKE PRICE</t>
        </is>
      </c>
      <c r="J133" s="633" t="inlineStr">
        <is>
          <t>K/O PRICE</t>
        </is>
      </c>
      <c r="K133" s="637" t="inlineStr">
        <is>
          <t>LIFE TERM OF CONTRACT</t>
        </is>
      </c>
      <c r="L133" s="638" t="n"/>
      <c r="M133" s="639" t="n"/>
      <c r="N133" s="622" t="inlineStr">
        <is>
          <t>START DATE</t>
        </is>
      </c>
      <c r="O133" s="622" t="inlineStr">
        <is>
          <t>END DATE</t>
        </is>
      </c>
      <c r="P133" s="682" t="n"/>
      <c r="Q133" s="632" t="inlineStr">
        <is>
          <t>Estimated Total Shares Remaining</t>
        </is>
      </c>
      <c r="R133" s="683" t="inlineStr">
        <is>
          <t>Estimated Amount</t>
        </is>
      </c>
      <c r="S133" s="682" t="n"/>
      <c r="T133" s="683" t="inlineStr">
        <is>
          <t>Estimated Amount per month</t>
        </is>
      </c>
      <c r="V133" s="678" t="n"/>
      <c r="W133" s="678" t="n"/>
      <c r="X133" s="155" t="n"/>
      <c r="Y133" s="154" t="inlineStr">
        <is>
          <t>Month 1</t>
        </is>
      </c>
      <c r="Z133" s="154" t="inlineStr">
        <is>
          <t>Month 2</t>
        </is>
      </c>
    </row>
    <row r="134" ht="20.45" customFormat="1" customHeight="1" s="642">
      <c r="A134" s="646" t="n"/>
      <c r="B134" s="623" t="n"/>
      <c r="C134" s="623" t="n"/>
      <c r="D134" s="390" t="inlineStr">
        <is>
          <t>CB1</t>
        </is>
      </c>
      <c r="E134" s="627" t="n"/>
      <c r="F134" s="628" t="n"/>
      <c r="G134" s="629" t="n"/>
      <c r="H134" s="623" t="n"/>
      <c r="I134" s="623" t="n"/>
      <c r="J134" s="623" t="n"/>
      <c r="K134" s="637" t="inlineStr">
        <is>
          <t>RCVD mos.</t>
        </is>
      </c>
      <c r="L134" s="637" t="inlineStr">
        <is>
          <t>REM mos.</t>
        </is>
      </c>
      <c r="M134" s="637" t="inlineStr">
        <is>
          <t>Total mos.</t>
        </is>
      </c>
      <c r="N134" s="623" t="n"/>
      <c r="O134" s="623" t="n"/>
      <c r="P134" s="682" t="n"/>
      <c r="Q134" s="623" t="n"/>
      <c r="R134" s="623" t="n"/>
      <c r="S134" s="682" t="n"/>
      <c r="T134" s="623" t="n"/>
      <c r="U134" s="642" t="inlineStr">
        <is>
          <t>Price</t>
        </is>
      </c>
      <c r="V134" s="678" t="inlineStr">
        <is>
          <t>NOW</t>
        </is>
      </c>
      <c r="W134" s="678" t="inlineStr">
        <is>
          <t>NEXT</t>
        </is>
      </c>
      <c r="X134" s="155" t="inlineStr">
        <is>
          <t>sd</t>
        </is>
      </c>
      <c r="Y134" s="154" t="inlineStr">
        <is>
          <t>hkd</t>
        </is>
      </c>
      <c r="Z134" s="154" t="inlineStr">
        <is>
          <t>hkd</t>
        </is>
      </c>
    </row>
    <row r="135" customFormat="1" s="642">
      <c r="A135" s="158">
        <f>INDIRECT(ADDRESS(ROW()-1,COLUMN()))+1</f>
        <v/>
      </c>
      <c r="B135" s="416" t="inlineStr">
        <is>
          <t>Great Wall Motor</t>
        </is>
      </c>
      <c r="C135" s="148" t="inlineStr">
        <is>
          <t>2333</t>
        </is>
      </c>
      <c r="D135" s="149" t="inlineStr">
        <is>
          <t>GREAT WALL - 8</t>
        </is>
      </c>
      <c r="E135" s="129" t="n">
        <v>6200</v>
      </c>
      <c r="F135" s="278" t="inlineStr">
        <is>
          <t>/</t>
        </is>
      </c>
      <c r="G135" s="130" t="n">
        <v>12400</v>
      </c>
      <c r="H135" s="267" t="n">
        <v>9.16</v>
      </c>
      <c r="I135" s="268" t="n">
        <v>7.3692</v>
      </c>
      <c r="J135" s="267" t="n">
        <v>10.076</v>
      </c>
      <c r="K135" s="151" t="n">
        <v>0</v>
      </c>
      <c r="L135" s="152">
        <f>M135-K135</f>
        <v/>
      </c>
      <c r="M135" s="152" t="n">
        <v>248</v>
      </c>
      <c r="N135" s="143" t="n">
        <v>44076</v>
      </c>
      <c r="O135" s="143" t="n">
        <v>44440</v>
      </c>
      <c r="P135" s="694" t="n"/>
      <c r="Q135" s="153">
        <f>E135*L135*X135</f>
        <v/>
      </c>
      <c r="R135" s="784">
        <f>E135*I135*L135*X135</f>
        <v/>
      </c>
      <c r="T135" s="784">
        <f>E135*I135*20*X135</f>
        <v/>
      </c>
      <c r="U135" s="0" t="n">
        <v>9.119999999999999</v>
      </c>
      <c r="V135" s="282" t="n">
        <v>0</v>
      </c>
      <c r="W135" s="282" t="n">
        <v>23</v>
      </c>
      <c r="X135" s="0" t="n">
        <v>1</v>
      </c>
      <c r="Y135" s="154">
        <f>X135*V135*E135*I135</f>
        <v/>
      </c>
      <c r="Z135" s="154">
        <f>X135*W135*E135*I135</f>
        <v/>
      </c>
      <c r="AB135" s="642">
        <f>MONTH(O135)</f>
        <v/>
      </c>
      <c r="AC135" s="642">
        <f>YEAR(O135)</f>
        <v/>
      </c>
      <c r="AD135" s="642">
        <f>AB135&amp;"-"&amp;AC135&amp;"-"&amp;C135</f>
        <v/>
      </c>
      <c r="AE135" s="642">
        <f>C135</f>
        <v/>
      </c>
      <c r="AF135" s="685">
        <f>MATCH(AE135,ALLM!C$2:C$13,)</f>
        <v/>
      </c>
    </row>
    <row r="136" customFormat="1" s="642">
      <c r="A136" s="158">
        <f>INDIRECT(ADDRESS(ROW()-1,COLUMN()))+1</f>
        <v/>
      </c>
      <c r="B136" s="416" t="inlineStr">
        <is>
          <t>Great Wall Motor</t>
        </is>
      </c>
      <c r="C136" s="148" t="inlineStr">
        <is>
          <t>2333</t>
        </is>
      </c>
      <c r="D136" s="149" t="inlineStr">
        <is>
          <t>GREAT WALL - 9</t>
        </is>
      </c>
      <c r="E136" s="129" t="n">
        <v>2200</v>
      </c>
      <c r="F136" s="278" t="inlineStr">
        <is>
          <t>/</t>
        </is>
      </c>
      <c r="G136" s="130" t="n">
        <v>4400</v>
      </c>
      <c r="H136" s="267" t="n">
        <v>9.193</v>
      </c>
      <c r="I136" s="268" t="n">
        <v>8.017200000000001</v>
      </c>
      <c r="J136" s="267" t="n">
        <v>9.4688</v>
      </c>
      <c r="K136" s="151" t="n">
        <v>0</v>
      </c>
      <c r="L136" s="152">
        <f>M136-K136</f>
        <v/>
      </c>
      <c r="M136" s="152" t="n">
        <v>248</v>
      </c>
      <c r="N136" s="143" t="n">
        <v>44077</v>
      </c>
      <c r="O136" s="143" t="n">
        <v>44441</v>
      </c>
      <c r="P136" s="694" t="n"/>
      <c r="Q136" s="153">
        <f>E136*L136*X136</f>
        <v/>
      </c>
      <c r="R136" s="784">
        <f>E136*I136*L136*X136</f>
        <v/>
      </c>
      <c r="T136" s="784">
        <f>E136*I136*20*X136</f>
        <v/>
      </c>
      <c r="U136" s="0" t="n">
        <v>9.119999999999999</v>
      </c>
      <c r="V136" s="282" t="n">
        <v>0</v>
      </c>
      <c r="W136" s="282" t="n">
        <v>23</v>
      </c>
      <c r="X136" s="0" t="n">
        <v>1</v>
      </c>
      <c r="Y136" s="154">
        <f>X136*V136*E136*I136</f>
        <v/>
      </c>
      <c r="Z136" s="154">
        <f>X136*W136*E136*I136</f>
        <v/>
      </c>
      <c r="AB136" s="642">
        <f>MONTH(O136)</f>
        <v/>
      </c>
      <c r="AC136" s="642">
        <f>YEAR(O136)</f>
        <v/>
      </c>
      <c r="AD136" s="642">
        <f>AB136&amp;"-"&amp;AC136&amp;"-"&amp;C136</f>
        <v/>
      </c>
      <c r="AE136" s="642">
        <f>C136</f>
        <v/>
      </c>
      <c r="AF136" s="685">
        <f>MATCH(AE136,ALLM!C$2:C$13,)</f>
        <v/>
      </c>
    </row>
    <row r="137" customFormat="1" s="642">
      <c r="A137" s="158">
        <f>INDIRECT(ADDRESS(ROW()-1,COLUMN()))+1</f>
        <v/>
      </c>
      <c r="B137" s="416" t="inlineStr">
        <is>
          <t>Great Wall Motor</t>
        </is>
      </c>
      <c r="C137" s="148" t="inlineStr">
        <is>
          <t>2333</t>
        </is>
      </c>
      <c r="D137" s="149" t="inlineStr">
        <is>
          <t>GREAT WALL - 10</t>
        </is>
      </c>
      <c r="E137" s="129" t="n">
        <v>2200</v>
      </c>
      <c r="F137" s="278" t="inlineStr">
        <is>
          <t>/</t>
        </is>
      </c>
      <c r="G137" s="130" t="n">
        <v>4400</v>
      </c>
      <c r="H137" s="267" t="n">
        <v>9.215</v>
      </c>
      <c r="I137" s="268" t="n">
        <v>8.0364</v>
      </c>
      <c r="J137" s="267" t="n">
        <v>9.4915</v>
      </c>
      <c r="K137" s="151" t="n">
        <v>0</v>
      </c>
      <c r="L137" s="152">
        <f>M137-K137</f>
        <v/>
      </c>
      <c r="M137" s="152" t="n">
        <v>248</v>
      </c>
      <c r="N137" s="143" t="n">
        <v>44077</v>
      </c>
      <c r="O137" s="143" t="n">
        <v>44441</v>
      </c>
      <c r="P137" s="694" t="n"/>
      <c r="Q137" s="153">
        <f>E137*L137*X137</f>
        <v/>
      </c>
      <c r="R137" s="784">
        <f>E137*I137*L137*X137</f>
        <v/>
      </c>
      <c r="T137" s="784">
        <f>E137*I137*20*X137</f>
        <v/>
      </c>
      <c r="U137" s="0" t="n">
        <v>9.119999999999999</v>
      </c>
      <c r="V137" s="282" t="n">
        <v>0</v>
      </c>
      <c r="W137" s="282" t="n">
        <v>23</v>
      </c>
      <c r="X137" s="0" t="n">
        <v>1</v>
      </c>
      <c r="Y137" s="154">
        <f>X137*V137*E137*I137</f>
        <v/>
      </c>
      <c r="Z137" s="154">
        <f>X137*W137*E137*I137</f>
        <v/>
      </c>
      <c r="AB137" s="642">
        <f>MONTH(O137)</f>
        <v/>
      </c>
      <c r="AC137" s="642">
        <f>YEAR(O137)</f>
        <v/>
      </c>
      <c r="AD137" s="642">
        <f>AB137&amp;"-"&amp;AC137&amp;"-"&amp;C137</f>
        <v/>
      </c>
      <c r="AE137" s="642">
        <f>C137</f>
        <v/>
      </c>
      <c r="AF137" s="685">
        <f>MATCH(AE137,ALLM!C$2:C$13,)</f>
        <v/>
      </c>
    </row>
    <row r="138" ht="15.6" customFormat="1" customHeight="1" s="642">
      <c r="A138" s="64" t="n"/>
      <c r="B138" s="388" t="n"/>
      <c r="C138" s="388" t="n"/>
      <c r="D138" s="388" t="n"/>
      <c r="E138" s="388" t="n"/>
      <c r="F138" s="388" t="n"/>
      <c r="G138" s="388" t="n"/>
      <c r="H138" s="247" t="n"/>
      <c r="I138" s="248" t="n"/>
      <c r="J138" s="247" t="n"/>
      <c r="K138" s="64" t="n"/>
      <c r="L138" s="646" t="n"/>
      <c r="M138" s="646" t="n"/>
      <c r="N138" s="394" t="n"/>
      <c r="O138" s="394" t="n"/>
      <c r="V138" s="678" t="n"/>
      <c r="W138" s="678" t="n"/>
      <c r="X138" s="155" t="n"/>
      <c r="Y138" s="154" t="n"/>
      <c r="Z138" s="154" t="n"/>
    </row>
    <row r="139" ht="15.6" customFormat="1" customHeight="1" s="353">
      <c r="A139" s="66" t="n"/>
      <c r="B139" s="395" t="n"/>
      <c r="C139" s="395" t="n"/>
      <c r="D139" s="395" t="n"/>
      <c r="E139" s="395" t="n"/>
      <c r="F139" s="395" t="n"/>
      <c r="G139" s="395" t="n"/>
      <c r="H139" s="251" t="n"/>
      <c r="I139" s="252" t="n"/>
      <c r="J139" s="251" t="n"/>
      <c r="K139" s="66" t="n"/>
      <c r="L139" s="54" t="n"/>
      <c r="M139" s="54" t="n"/>
      <c r="N139" s="394" t="n"/>
      <c r="O139" s="394" t="inlineStr">
        <is>
          <t>Total</t>
        </is>
      </c>
      <c r="P139" s="686" t="n"/>
      <c r="Q139" s="44">
        <f>SUM(Q134:Q138)</f>
        <v/>
      </c>
      <c r="R139" s="686">
        <f>SUM(R134:R138)</f>
        <v/>
      </c>
      <c r="S139" s="686" t="n"/>
      <c r="T139" s="686">
        <f>SUM(T134:T138)</f>
        <v/>
      </c>
      <c r="V139" s="687" t="n"/>
      <c r="W139" s="687" t="n"/>
      <c r="X139" s="102" t="n"/>
      <c r="Y139" s="43" t="n"/>
      <c r="Z139" s="43" t="n"/>
    </row>
    <row r="140" ht="15.6" customFormat="1" customHeight="1" s="353">
      <c r="A140" s="66" t="n"/>
      <c r="B140" s="395" t="n"/>
      <c r="C140" s="395" t="n"/>
      <c r="D140" s="395" t="n"/>
      <c r="E140" s="395" t="n"/>
      <c r="F140" s="395" t="n"/>
      <c r="G140" s="395" t="n"/>
      <c r="H140" s="251" t="n"/>
      <c r="I140" s="252" t="n"/>
      <c r="J140" s="251" t="n"/>
      <c r="K140" s="66" t="n"/>
      <c r="L140" s="54" t="n"/>
      <c r="M140" s="54" t="n"/>
      <c r="N140" s="394" t="n"/>
      <c r="O140" s="394" t="n"/>
      <c r="P140" s="686" t="n"/>
      <c r="Q140" s="44" t="n"/>
      <c r="R140" s="688" t="inlineStr">
        <is>
          <t>HKD</t>
        </is>
      </c>
      <c r="S140" s="688" t="n"/>
      <c r="T140" s="688" t="inlineStr">
        <is>
          <t>HKD</t>
        </is>
      </c>
      <c r="V140" s="687" t="n"/>
      <c r="W140" s="687" t="n"/>
      <c r="X140" s="102" t="n"/>
      <c r="Y140" s="43" t="n"/>
      <c r="Z140" s="43" t="n"/>
    </row>
    <row r="141" ht="15.6" customFormat="1" customHeight="1" s="353">
      <c r="A141" s="66" t="n"/>
      <c r="B141" s="395" t="n"/>
      <c r="C141" s="395" t="n"/>
      <c r="D141" s="395" t="n"/>
      <c r="E141" s="395" t="n"/>
      <c r="F141" s="395" t="n"/>
      <c r="G141" s="395" t="n"/>
      <c r="H141" s="251" t="n"/>
      <c r="I141" s="252" t="n"/>
      <c r="J141" s="251" t="n"/>
      <c r="K141" s="66" t="n"/>
      <c r="L141" s="54" t="n"/>
      <c r="M141" s="54" t="n"/>
      <c r="N141" s="394" t="n"/>
      <c r="O141" s="394" t="n"/>
      <c r="P141" s="686" t="n"/>
      <c r="Q141" s="44" t="n"/>
      <c r="R141" s="95" t="n"/>
      <c r="S141" s="686" t="n"/>
      <c r="T141" s="95" t="n"/>
      <c r="V141" s="687" t="n"/>
      <c r="W141" s="687" t="n"/>
      <c r="X141" s="102" t="n"/>
      <c r="Y141" s="43" t="n"/>
      <c r="Z141" s="43" t="n"/>
    </row>
    <row r="142" ht="18.75" customHeight="1" s="671">
      <c r="A142" s="72" t="n"/>
      <c r="B142" s="448" t="n"/>
      <c r="C142" s="448" t="n"/>
      <c r="D142" s="449" t="n"/>
      <c r="E142" s="448" t="n"/>
      <c r="F142" s="448" t="n"/>
      <c r="G142" s="448" t="n"/>
      <c r="H142" s="299" t="n"/>
      <c r="I142" s="300" t="n"/>
      <c r="J142" s="299" t="n"/>
      <c r="K142" s="72" t="n"/>
      <c r="L142" s="71" t="n"/>
      <c r="M142" s="71" t="n"/>
      <c r="N142" s="666" t="n"/>
      <c r="P142" s="462" t="n"/>
      <c r="R142" s="663" t="inlineStr">
        <is>
          <t>Estimated Amount</t>
        </is>
      </c>
      <c r="S142" s="109" t="n">
        <v>0.3</v>
      </c>
      <c r="T142" s="663" t="inlineStr">
        <is>
          <t>Margin requirement</t>
        </is>
      </c>
    </row>
    <row r="143" ht="18.75" customHeight="1" s="671">
      <c r="A143" s="72" t="n"/>
      <c r="B143" s="448" t="n"/>
      <c r="C143" s="448" t="n"/>
      <c r="D143" s="449" t="n"/>
      <c r="E143" s="448" t="n"/>
      <c r="F143" s="448" t="n"/>
      <c r="G143" s="448" t="n"/>
      <c r="H143" s="116" t="inlineStr">
        <is>
          <t>Collateral 1: 30% x Estimated Amount Total</t>
        </is>
      </c>
      <c r="I143" s="481" t="n"/>
      <c r="J143" s="117" t="n"/>
      <c r="K143" s="481" t="n"/>
      <c r="L143" s="481" t="n"/>
      <c r="M143" s="71" t="n"/>
      <c r="N143" s="666" t="n"/>
      <c r="O143" s="666" t="n"/>
      <c r="P143" s="462" t="n"/>
      <c r="R143" s="663">
        <f>R139</f>
        <v/>
      </c>
      <c r="S143" s="750" t="n"/>
      <c r="T143" s="323">
        <f>-R143*S142</f>
        <v/>
      </c>
    </row>
    <row r="144" ht="18.75" customHeight="1" s="671">
      <c r="A144" s="72" t="n"/>
      <c r="B144" s="448" t="n"/>
      <c r="C144" s="448" t="n"/>
      <c r="D144" s="449" t="n"/>
      <c r="E144" s="448" t="n"/>
      <c r="F144" s="448" t="n"/>
      <c r="G144" s="448" t="n"/>
      <c r="H144" s="71" t="n"/>
      <c r="I144" s="654" t="n"/>
      <c r="J144" s="72" t="n"/>
      <c r="K144" s="654" t="n"/>
      <c r="L144" s="654" t="n"/>
      <c r="M144" s="71" t="n"/>
      <c r="N144" s="666" t="n"/>
      <c r="O144" s="666" t="n"/>
      <c r="P144" s="462" t="n"/>
      <c r="Q144" s="663" t="n"/>
      <c r="R144" s="482" t="n"/>
      <c r="S144" s="750" t="n"/>
      <c r="T144" s="750" t="n"/>
    </row>
    <row r="145" ht="15" customHeight="1" s="671">
      <c r="B145" s="640" t="inlineStr">
        <is>
          <t>DECUMULATOR</t>
        </is>
      </c>
      <c r="C145" s="631" t="inlineStr">
        <is>
          <t>CODE</t>
        </is>
      </c>
      <c r="D145" s="631" t="n"/>
      <c r="E145" s="624" t="inlineStr">
        <is>
          <t>SHARES / DAY</t>
        </is>
      </c>
      <c r="F145" s="625" t="n"/>
      <c r="G145" s="626" t="n"/>
      <c r="H145" s="633" t="inlineStr">
        <is>
          <t>SPOT PRICE</t>
        </is>
      </c>
      <c r="I145" s="633" t="inlineStr">
        <is>
          <t>STRIKE PRICE</t>
        </is>
      </c>
      <c r="J145" s="633" t="inlineStr">
        <is>
          <t>K/O PRICE</t>
        </is>
      </c>
      <c r="K145" s="637" t="inlineStr">
        <is>
          <t>LIFE TERM OF CONTRACT</t>
        </is>
      </c>
      <c r="L145" s="638" t="n"/>
      <c r="M145" s="639" t="n"/>
      <c r="N145" s="622" t="inlineStr">
        <is>
          <t>START DATE</t>
        </is>
      </c>
      <c r="O145" s="622" t="inlineStr">
        <is>
          <t>END DATE</t>
        </is>
      </c>
      <c r="P145" s="682" t="n"/>
      <c r="Q145" s="632" t="inlineStr">
        <is>
          <t>Estimated  Shares to sell</t>
        </is>
      </c>
      <c r="R145" s="683" t="inlineStr">
        <is>
          <t>Estimated Amount</t>
        </is>
      </c>
      <c r="S145" s="682" t="n"/>
      <c r="T145" s="683" t="inlineStr">
        <is>
          <t>Estimated Amount per month</t>
        </is>
      </c>
      <c r="Y145" s="173" t="inlineStr">
        <is>
          <t>july</t>
        </is>
      </c>
      <c r="Z145" s="173" t="inlineStr">
        <is>
          <t>aug</t>
        </is>
      </c>
      <c r="AH145" s="163">
        <f>SUM(#REF!)</f>
        <v/>
      </c>
      <c r="AI145" s="163">
        <f>SUM(#REF!)</f>
        <v/>
      </c>
    </row>
    <row r="146" ht="22.5" customHeight="1" s="671">
      <c r="B146" s="623" t="n"/>
      <c r="C146" s="623" t="n"/>
      <c r="D146" s="390" t="inlineStr">
        <is>
          <t>CB1</t>
        </is>
      </c>
      <c r="E146" s="627" t="n"/>
      <c r="F146" s="628" t="n"/>
      <c r="G146" s="629" t="n"/>
      <c r="H146" s="623" t="n"/>
      <c r="I146" s="623" t="n"/>
      <c r="J146" s="623" t="n"/>
      <c r="K146" s="637" t="inlineStr">
        <is>
          <t>RCVD mos.</t>
        </is>
      </c>
      <c r="L146" s="637" t="inlineStr">
        <is>
          <t>REM mos.</t>
        </is>
      </c>
      <c r="M146" s="637" t="inlineStr">
        <is>
          <t>Total mos.</t>
        </is>
      </c>
      <c r="N146" s="623" t="n"/>
      <c r="O146" s="623" t="n"/>
      <c r="P146" s="682" t="n"/>
      <c r="Q146" s="623" t="n"/>
      <c r="R146" s="623" t="n"/>
      <c r="S146" s="682" t="n"/>
      <c r="T146" s="623" t="n"/>
      <c r="U146" s="654" t="inlineStr">
        <is>
          <t>Closing</t>
        </is>
      </c>
      <c r="V146" s="652" t="inlineStr">
        <is>
          <t>Current</t>
        </is>
      </c>
      <c r="W146" s="652" t="inlineStr">
        <is>
          <t>Next</t>
        </is>
      </c>
      <c r="X146" s="652" t="inlineStr">
        <is>
          <t>sd</t>
        </is>
      </c>
      <c r="Y146" s="173" t="inlineStr">
        <is>
          <t>hkd</t>
        </is>
      </c>
      <c r="Z146" s="173" t="inlineStr">
        <is>
          <t>hkd</t>
        </is>
      </c>
      <c r="AH146" s="654" t="inlineStr">
        <is>
          <t>Double</t>
        </is>
      </c>
      <c r="AI146" s="654" t="inlineStr">
        <is>
          <t>Single</t>
        </is>
      </c>
    </row>
    <row r="147" ht="13.5" customHeight="1" s="671">
      <c r="A147" s="147">
        <f>INDIRECT(ADDRESS(ROW()-1,COLUMN()))+1</f>
        <v/>
      </c>
      <c r="B147" s="483" t="inlineStr">
        <is>
          <t>Great Wall Motor</t>
        </is>
      </c>
      <c r="C147" s="167" t="inlineStr">
        <is>
          <t>2333</t>
        </is>
      </c>
      <c r="D147" s="168" t="inlineStr">
        <is>
          <t>GREATWALL - 9</t>
        </is>
      </c>
      <c r="E147" s="121" t="n">
        <v>5000</v>
      </c>
      <c r="F147" s="169" t="inlineStr">
        <is>
          <t>/</t>
        </is>
      </c>
      <c r="G147" s="120" t="n">
        <v>10000</v>
      </c>
      <c r="H147" s="334" t="n">
        <v>4.7235</v>
      </c>
      <c r="I147" s="334" t="n">
        <v>6.3843</v>
      </c>
      <c r="J147" s="334" t="n">
        <v>4.4873</v>
      </c>
      <c r="K147" s="161" t="n">
        <v>103</v>
      </c>
      <c r="L147" s="171">
        <f>M147-K147</f>
        <v/>
      </c>
      <c r="M147" s="171" t="n">
        <v>248</v>
      </c>
      <c r="N147" s="172" t="n">
        <v>43916</v>
      </c>
      <c r="O147" s="172" t="n">
        <v>44280</v>
      </c>
      <c r="Q147" s="162">
        <f>E147*L147*X147</f>
        <v/>
      </c>
      <c r="R147" s="785">
        <f>E147*I147*L147*X147</f>
        <v/>
      </c>
      <c r="S147" s="682" t="n"/>
      <c r="T147" s="785">
        <f>E147*I147*20*X147</f>
        <v/>
      </c>
      <c r="U147" s="0" t="n">
        <v>9.119999999999999</v>
      </c>
      <c r="V147" s="280" t="n">
        <v>23</v>
      </c>
      <c r="W147" s="280" t="n">
        <v>42</v>
      </c>
      <c r="X147" s="678" t="n">
        <v>2</v>
      </c>
      <c r="Y147" s="173">
        <f>X147*V147*E147*I147</f>
        <v/>
      </c>
      <c r="Z147" s="173">
        <f>X147*W147*E147*I147</f>
        <v/>
      </c>
      <c r="AB147" s="163">
        <f>MONTH(O147)</f>
        <v/>
      </c>
      <c r="AC147" s="654">
        <f>YEAR(O147)</f>
        <v/>
      </c>
      <c r="AD147" s="654">
        <f>AB147&amp;"-"&amp;AC147&amp;"-"&amp;C147</f>
        <v/>
      </c>
      <c r="AE147" s="654">
        <f>C147</f>
        <v/>
      </c>
      <c r="AF147" s="685">
        <f>MATCH(AE147,ALLM!$C$34:$C$43,)</f>
        <v/>
      </c>
      <c r="AH147" s="163">
        <f>IF(C147="2333",IF(X147=2,1,0),0)</f>
        <v/>
      </c>
      <c r="AI147" s="163">
        <f>IF(C147="2333",IF(X147=1,1,0),0)</f>
        <v/>
      </c>
    </row>
    <row r="148" ht="13.5" customHeight="1" s="671">
      <c r="A148" s="147">
        <f>INDIRECT(ADDRESS(ROW()-1,COLUMN()))+1</f>
        <v/>
      </c>
      <c r="B148" s="483" t="inlineStr">
        <is>
          <t>Great Wall Motor</t>
        </is>
      </c>
      <c r="C148" s="167" t="inlineStr">
        <is>
          <t>2333</t>
        </is>
      </c>
      <c r="D148" s="168" t="inlineStr">
        <is>
          <t>GREATWALL - 10</t>
        </is>
      </c>
      <c r="E148" s="121" t="n">
        <v>5000</v>
      </c>
      <c r="F148" s="169" t="inlineStr">
        <is>
          <t>/</t>
        </is>
      </c>
      <c r="G148" s="120" t="n">
        <v>10000</v>
      </c>
      <c r="H148" s="334" t="n">
        <v>4.7</v>
      </c>
      <c r="I148" s="334" t="n">
        <v>6.1603</v>
      </c>
      <c r="J148" s="334" t="n">
        <v>4.465</v>
      </c>
      <c r="K148" s="161" t="n">
        <v>103</v>
      </c>
      <c r="L148" s="171">
        <f>M148-K148</f>
        <v/>
      </c>
      <c r="M148" s="171" t="n">
        <v>248</v>
      </c>
      <c r="N148" s="172" t="n">
        <v>43917</v>
      </c>
      <c r="O148" s="172" t="n">
        <v>44281</v>
      </c>
      <c r="Q148" s="162">
        <f>E148*L148*X148</f>
        <v/>
      </c>
      <c r="R148" s="785">
        <f>E148*I148*L148*X148</f>
        <v/>
      </c>
      <c r="S148" s="682" t="n"/>
      <c r="T148" s="785">
        <f>E148*I148*20*X148</f>
        <v/>
      </c>
      <c r="U148" s="0" t="n">
        <v>9.119999999999999</v>
      </c>
      <c r="V148" s="280" t="n">
        <v>23</v>
      </c>
      <c r="W148" s="280" t="n">
        <v>41</v>
      </c>
      <c r="X148" s="678" t="n">
        <v>2</v>
      </c>
      <c r="Y148" s="173">
        <f>X148*V148*E148*I148</f>
        <v/>
      </c>
      <c r="Z148" s="173">
        <f>X148*W148*E148*I148</f>
        <v/>
      </c>
      <c r="AB148" s="163">
        <f>MONTH(O148)</f>
        <v/>
      </c>
      <c r="AC148" s="654">
        <f>YEAR(O148)</f>
        <v/>
      </c>
      <c r="AD148" s="654">
        <f>AB148&amp;"-"&amp;AC148&amp;"-"&amp;C148</f>
        <v/>
      </c>
      <c r="AE148" s="654">
        <f>C148</f>
        <v/>
      </c>
      <c r="AF148" s="685">
        <f>MATCH(AE148,ALLM!$C$34:$C$43,)</f>
        <v/>
      </c>
      <c r="AH148" s="163">
        <f>IF(C148="2333",IF(X148=2,1,0),0)</f>
        <v/>
      </c>
      <c r="AI148" s="163">
        <f>IF(C148="2333",IF(X148=1,1,0),0)</f>
        <v/>
      </c>
    </row>
    <row r="149" ht="13.5" customHeight="1" s="671">
      <c r="A149" s="147">
        <f>INDIRECT(ADDRESS(ROW()-1,COLUMN()))+1</f>
        <v/>
      </c>
      <c r="B149" s="483" t="inlineStr">
        <is>
          <t>Great Wall Motor</t>
        </is>
      </c>
      <c r="C149" s="167" t="inlineStr">
        <is>
          <t>2333</t>
        </is>
      </c>
      <c r="D149" s="168" t="inlineStr">
        <is>
          <t>GREATWALL - 11</t>
        </is>
      </c>
      <c r="E149" s="121" t="n">
        <v>5000</v>
      </c>
      <c r="F149" s="169" t="inlineStr">
        <is>
          <t>/</t>
        </is>
      </c>
      <c r="G149" s="120" t="n">
        <v>10000</v>
      </c>
      <c r="H149" s="334" t="n">
        <v>5.04</v>
      </c>
      <c r="I149" s="334" t="n">
        <v>6.3252</v>
      </c>
      <c r="J149" s="334" t="n">
        <v>4.788</v>
      </c>
      <c r="K149" s="161" t="n">
        <v>84</v>
      </c>
      <c r="L149" s="171">
        <f>M149-K149</f>
        <v/>
      </c>
      <c r="M149" s="171" t="n">
        <v>247</v>
      </c>
      <c r="N149" s="172" t="n">
        <v>43936</v>
      </c>
      <c r="O149" s="172" t="n">
        <v>44300</v>
      </c>
      <c r="Q149" s="162">
        <f>E149*L149*X149</f>
        <v/>
      </c>
      <c r="R149" s="785">
        <f>E149*I149*L149*X149</f>
        <v/>
      </c>
      <c r="S149" s="682" t="n"/>
      <c r="T149" s="785">
        <f>E149*I149*20*X149</f>
        <v/>
      </c>
      <c r="U149" s="0" t="n">
        <v>9.119999999999999</v>
      </c>
      <c r="V149" s="280" t="n">
        <v>21</v>
      </c>
      <c r="W149" s="280" t="n">
        <v>41</v>
      </c>
      <c r="X149" s="678" t="n">
        <v>2</v>
      </c>
      <c r="Y149" s="173">
        <f>X149*V149*E149*I149</f>
        <v/>
      </c>
      <c r="Z149" s="173">
        <f>X149*W149*E149*I149</f>
        <v/>
      </c>
      <c r="AB149" s="163">
        <f>MONTH(O149)</f>
        <v/>
      </c>
      <c r="AC149" s="654">
        <f>YEAR(O149)</f>
        <v/>
      </c>
      <c r="AD149" s="654">
        <f>AB149&amp;"-"&amp;AC149&amp;"-"&amp;C149</f>
        <v/>
      </c>
      <c r="AE149" s="654">
        <f>C149</f>
        <v/>
      </c>
      <c r="AF149" s="685">
        <f>MATCH(AE149,ALLM!$C$34:$C$43,)</f>
        <v/>
      </c>
      <c r="AH149" s="163">
        <f>IF(C149="2333",IF(X149=2,1,0),0)</f>
        <v/>
      </c>
      <c r="AI149" s="163">
        <f>IF(C149="2333",IF(X149=1,1,0),0)</f>
        <v/>
      </c>
    </row>
    <row r="150" ht="13.5" customHeight="1" s="671">
      <c r="A150" s="147">
        <f>INDIRECT(ADDRESS(ROW()-1,COLUMN()))+1</f>
        <v/>
      </c>
      <c r="B150" s="483" t="inlineStr">
        <is>
          <t>Great Wall Motor</t>
        </is>
      </c>
      <c r="C150" s="167" t="inlineStr">
        <is>
          <t>2333</t>
        </is>
      </c>
      <c r="D150" s="168" t="inlineStr">
        <is>
          <t>GREATWALL - 12</t>
        </is>
      </c>
      <c r="E150" s="121" t="n">
        <v>5000</v>
      </c>
      <c r="F150" s="169" t="inlineStr">
        <is>
          <t>/</t>
        </is>
      </c>
      <c r="G150" s="120" t="n">
        <v>10000</v>
      </c>
      <c r="H150" s="334" t="n">
        <v>4.92</v>
      </c>
      <c r="I150" s="334" t="n">
        <v>6.0442</v>
      </c>
      <c r="J150" s="334" t="n">
        <v>4.674</v>
      </c>
      <c r="K150" s="161" t="n">
        <v>84</v>
      </c>
      <c r="L150" s="171">
        <f>M150-K150</f>
        <v/>
      </c>
      <c r="M150" s="171" t="n">
        <v>247</v>
      </c>
      <c r="N150" s="172" t="n">
        <v>43943</v>
      </c>
      <c r="O150" s="172" t="n">
        <v>44307</v>
      </c>
      <c r="Q150" s="162">
        <f>E150*L150*X150</f>
        <v/>
      </c>
      <c r="R150" s="785">
        <f>E150*I150*L150*X150</f>
        <v/>
      </c>
      <c r="S150" s="682" t="n"/>
      <c r="T150" s="785">
        <f>E150*I150*20*X150</f>
        <v/>
      </c>
      <c r="U150" s="0" t="n">
        <v>9.119999999999999</v>
      </c>
      <c r="V150" s="280" t="n">
        <v>21</v>
      </c>
      <c r="W150" s="280" t="n">
        <v>41</v>
      </c>
      <c r="X150" s="678" t="n">
        <v>2</v>
      </c>
      <c r="Y150" s="173">
        <f>X150*V150*E150*I150</f>
        <v/>
      </c>
      <c r="Z150" s="173">
        <f>X150*W150*E150*I150</f>
        <v/>
      </c>
      <c r="AB150" s="163">
        <f>MONTH(O150)</f>
        <v/>
      </c>
      <c r="AC150" s="654">
        <f>YEAR(O150)</f>
        <v/>
      </c>
      <c r="AD150" s="654">
        <f>AB150&amp;"-"&amp;AC150&amp;"-"&amp;C150</f>
        <v/>
      </c>
      <c r="AE150" s="654">
        <f>C150</f>
        <v/>
      </c>
      <c r="AF150" s="685">
        <f>MATCH(AE150,ALLM!$C$34:$C$43,)</f>
        <v/>
      </c>
      <c r="AH150" s="163">
        <f>IF(C150="2333",IF(X150=2,1,0),0)</f>
        <v/>
      </c>
      <c r="AI150" s="163">
        <f>IF(C150="2333",IF(X150=1,1,0),0)</f>
        <v/>
      </c>
    </row>
    <row r="151" ht="13.5" customHeight="1" s="671">
      <c r="A151" s="147">
        <f>INDIRECT(ADDRESS(ROW()-1,COLUMN()))+1</f>
        <v/>
      </c>
      <c r="B151" s="483" t="inlineStr">
        <is>
          <t>Great Wall Motor</t>
        </is>
      </c>
      <c r="C151" s="167" t="inlineStr">
        <is>
          <t>2333</t>
        </is>
      </c>
      <c r="D151" s="168" t="inlineStr">
        <is>
          <t>GREATWALL - 13</t>
        </is>
      </c>
      <c r="E151" s="121" t="n">
        <v>4000</v>
      </c>
      <c r="F151" s="169" t="inlineStr">
        <is>
          <t>/</t>
        </is>
      </c>
      <c r="G151" s="120" t="n">
        <v>8000</v>
      </c>
      <c r="H151" s="334" t="n">
        <v>5.0274</v>
      </c>
      <c r="I151" s="334" t="n">
        <v>6.1385</v>
      </c>
      <c r="J151" s="334" t="n">
        <v>4.776</v>
      </c>
      <c r="K151" s="161" t="n">
        <v>84</v>
      </c>
      <c r="L151" s="171">
        <f>M151-K151</f>
        <v/>
      </c>
      <c r="M151" s="171" t="n">
        <v>247</v>
      </c>
      <c r="N151" s="172" t="n">
        <v>43950</v>
      </c>
      <c r="O151" s="172" t="n">
        <v>44314</v>
      </c>
      <c r="Q151" s="162">
        <f>E151*L151*X151</f>
        <v/>
      </c>
      <c r="R151" s="785">
        <f>E151*I151*L151*X151</f>
        <v/>
      </c>
      <c r="S151" s="682" t="n"/>
      <c r="T151" s="785">
        <f>E151*I151*20*X151</f>
        <v/>
      </c>
      <c r="U151" s="0" t="n">
        <v>9.119999999999999</v>
      </c>
      <c r="V151" s="280" t="n">
        <v>21</v>
      </c>
      <c r="W151" s="280" t="n">
        <v>40</v>
      </c>
      <c r="X151" s="678" t="n">
        <v>2</v>
      </c>
      <c r="Y151" s="173">
        <f>X151*V151*E151*I151</f>
        <v/>
      </c>
      <c r="Z151" s="173">
        <f>X151*W151*E151*I151</f>
        <v/>
      </c>
      <c r="AB151" s="163">
        <f>MONTH(O151)</f>
        <v/>
      </c>
      <c r="AC151" s="654">
        <f>YEAR(O151)</f>
        <v/>
      </c>
      <c r="AD151" s="654">
        <f>AB151&amp;"-"&amp;AC151&amp;"-"&amp;C151</f>
        <v/>
      </c>
      <c r="AE151" s="654">
        <f>C151</f>
        <v/>
      </c>
      <c r="AF151" s="685">
        <f>MATCH(AE151,ALLM!$C$34:$C$43,)</f>
        <v/>
      </c>
      <c r="AH151" s="163">
        <f>IF(C151="2333",IF(X151=2,1,0),0)</f>
        <v/>
      </c>
      <c r="AI151" s="163">
        <f>IF(C151="2333",IF(X151=1,1,0),0)</f>
        <v/>
      </c>
    </row>
    <row r="152" ht="13.5" customHeight="1" s="671">
      <c r="A152" s="147">
        <f>INDIRECT(ADDRESS(ROW()-1,COLUMN()))+1</f>
        <v/>
      </c>
      <c r="B152" s="483" t="inlineStr">
        <is>
          <t>Great Wall Motor</t>
        </is>
      </c>
      <c r="C152" s="167" t="inlineStr">
        <is>
          <t>2333</t>
        </is>
      </c>
      <c r="D152" s="168" t="inlineStr">
        <is>
          <t>GREATWALL - 14</t>
        </is>
      </c>
      <c r="E152" s="121" t="n">
        <v>4000</v>
      </c>
      <c r="F152" s="169" t="inlineStr">
        <is>
          <t>/</t>
        </is>
      </c>
      <c r="G152" s="120" t="n">
        <v>8000</v>
      </c>
      <c r="H152" s="334" t="n">
        <v>5.04</v>
      </c>
      <c r="I152" s="334" t="n">
        <v>6.1055</v>
      </c>
      <c r="J152" s="334" t="n">
        <v>4.788</v>
      </c>
      <c r="K152" s="161" t="n">
        <v>44</v>
      </c>
      <c r="L152" s="171">
        <f>M152-K152</f>
        <v/>
      </c>
      <c r="M152" s="171" t="n">
        <v>248</v>
      </c>
      <c r="N152" s="172" t="n">
        <v>44015</v>
      </c>
      <c r="O152" s="172" t="n">
        <v>44379</v>
      </c>
      <c r="Q152" s="162">
        <f>E152*L152*X152</f>
        <v/>
      </c>
      <c r="R152" s="785">
        <f>E152*I152*L152*X152</f>
        <v/>
      </c>
      <c r="S152" s="682" t="n"/>
      <c r="T152" s="785">
        <f>E152*I152*20*X152</f>
        <v/>
      </c>
      <c r="U152" s="0" t="n">
        <v>9.119999999999999</v>
      </c>
      <c r="V152" s="280" t="n">
        <v>0</v>
      </c>
      <c r="W152" s="280" t="n">
        <v>21</v>
      </c>
      <c r="X152" s="678" t="n">
        <v>2</v>
      </c>
      <c r="Y152" s="173">
        <f>X152*V152*E152*I152</f>
        <v/>
      </c>
      <c r="Z152" s="173">
        <f>X152*W152*E152*I152</f>
        <v/>
      </c>
      <c r="AB152" s="163">
        <f>MONTH(O152)</f>
        <v/>
      </c>
      <c r="AC152" s="654">
        <f>YEAR(O152)</f>
        <v/>
      </c>
      <c r="AD152" s="654">
        <f>AB152&amp;"-"&amp;AC152&amp;"-"&amp;C152</f>
        <v/>
      </c>
      <c r="AE152" s="654">
        <f>C152</f>
        <v/>
      </c>
      <c r="AF152" s="685">
        <f>MATCH(AE152,ALLM!$C$34:$C$43,)</f>
        <v/>
      </c>
      <c r="AH152" s="163">
        <f>IF(C152="2333",IF(X152=2,1,0),0)</f>
        <v/>
      </c>
      <c r="AI152" s="163">
        <f>IF(C152="2333",IF(X152=1,1,0),0)</f>
        <v/>
      </c>
    </row>
    <row r="153">
      <c r="A153" s="147" t="n"/>
    </row>
    <row r="154">
      <c r="L154" s="71" t="n"/>
      <c r="N154" s="453" t="n"/>
      <c r="O154" s="453" t="inlineStr">
        <is>
          <t>Total</t>
        </is>
      </c>
      <c r="P154" s="453" t="n"/>
      <c r="Q154" s="663">
        <f>SUM(Q146:Q153)</f>
        <v/>
      </c>
      <c r="R154" s="94">
        <f>SUM(R146:R153)</f>
        <v/>
      </c>
      <c r="S154" s="453" t="n"/>
      <c r="T154" s="745">
        <f>SUM(T146:T153)</f>
        <v/>
      </c>
    </row>
    <row r="155">
      <c r="A155" s="72" t="n"/>
      <c r="B155" s="448" t="n"/>
      <c r="C155" s="448" t="n"/>
      <c r="D155" s="449" t="n"/>
      <c r="E155" s="448" t="n"/>
      <c r="F155" s="448" t="n"/>
      <c r="G155" s="448" t="n"/>
      <c r="H155" s="299" t="n"/>
      <c r="I155" s="300" t="n"/>
      <c r="J155" s="299" t="n"/>
      <c r="K155" s="72" t="n"/>
      <c r="Q155" s="656" t="inlineStr">
        <is>
          <t>Shares</t>
        </is>
      </c>
      <c r="R155" s="656" t="inlineStr">
        <is>
          <t>HKD</t>
        </is>
      </c>
      <c r="S155" s="656" t="n"/>
      <c r="T155" s="656" t="inlineStr">
        <is>
          <t>HKD</t>
        </is>
      </c>
    </row>
    <row r="156">
      <c r="A156" s="72" t="n"/>
      <c r="B156" s="448" t="n"/>
      <c r="C156" s="448" t="n"/>
      <c r="D156" s="449" t="n"/>
      <c r="E156" s="448" t="n"/>
      <c r="F156" s="448" t="n"/>
      <c r="G156" s="448" t="n"/>
      <c r="H156" s="299" t="n"/>
      <c r="I156" s="300" t="n"/>
      <c r="J156" s="299" t="n"/>
      <c r="K156" s="72" t="n"/>
      <c r="P156" s="682" t="n"/>
      <c r="Q156" s="682" t="n"/>
      <c r="R156" s="682" t="n"/>
      <c r="S156" s="682" t="n"/>
    </row>
    <row r="157" ht="18.75" customHeight="1" s="671">
      <c r="A157" s="72" t="n"/>
      <c r="B157" s="448" t="n"/>
      <c r="C157" s="448" t="n"/>
      <c r="D157" s="449" t="n"/>
      <c r="E157" s="448" t="n"/>
      <c r="F157" s="448" t="n"/>
      <c r="G157" s="448" t="n"/>
      <c r="H157" s="299" t="n"/>
      <c r="I157" s="300" t="n"/>
      <c r="J157" s="71" t="inlineStr">
        <is>
          <t>Total Shares to sell</t>
        </is>
      </c>
      <c r="K157" s="72" t="n"/>
      <c r="L157" s="654" t="n"/>
      <c r="M157" s="462" t="n"/>
      <c r="O157" s="462" t="n"/>
      <c r="P157" s="462" t="n"/>
      <c r="Q157" s="663">
        <f>Q154</f>
        <v/>
      </c>
      <c r="R157" s="750" t="n"/>
      <c r="S157" s="750" t="n"/>
      <c r="T157" s="750" t="n"/>
    </row>
    <row r="158" ht="18.75" customHeight="1" s="671">
      <c r="A158" s="72" t="n"/>
      <c r="B158" s="448" t="n"/>
      <c r="C158" s="448" t="n"/>
      <c r="D158" s="449" t="n"/>
      <c r="E158" s="448" t="n"/>
      <c r="F158" s="448" t="n"/>
      <c r="G158" s="448" t="n"/>
      <c r="H158" s="299" t="n"/>
      <c r="I158" s="300" t="n"/>
      <c r="J158" s="71" t="inlineStr">
        <is>
          <t>On hand</t>
        </is>
      </c>
      <c r="K158" s="72" t="n"/>
      <c r="L158" s="654" t="n"/>
      <c r="M158" s="71" t="n"/>
      <c r="N158" s="666" t="n"/>
      <c r="P158" s="462" t="n"/>
      <c r="Q158" s="663" t="n">
        <v>2200600</v>
      </c>
      <c r="R158" s="750" t="n"/>
      <c r="S158" s="750" t="n"/>
      <c r="T158" s="750" t="n"/>
    </row>
    <row r="159" ht="18.75" customHeight="1" s="671">
      <c r="A159" s="72" t="n"/>
      <c r="B159" s="448" t="n"/>
      <c r="C159" s="448" t="n"/>
      <c r="D159" s="449" t="n"/>
      <c r="E159" s="448" t="n"/>
      <c r="F159" s="448" t="n"/>
      <c r="G159" s="448" t="n"/>
      <c r="H159" s="299" t="n"/>
      <c r="I159" s="300" t="n"/>
      <c r="J159" s="71" t="inlineStr">
        <is>
          <t>Balance shares for decu</t>
        </is>
      </c>
      <c r="K159" s="72" t="n"/>
      <c r="L159" s="654" t="n"/>
      <c r="M159" s="71" t="n"/>
      <c r="N159" s="666" t="n"/>
      <c r="O159" s="666" t="n"/>
      <c r="P159" s="462" t="n"/>
      <c r="Q159" s="110">
        <f>Q157-Q158</f>
        <v/>
      </c>
      <c r="R159" s="750" t="n"/>
      <c r="S159" s="750" t="n"/>
      <c r="T159" s="750" t="n"/>
    </row>
    <row r="160" ht="18.75" customHeight="1" s="671">
      <c r="A160" s="72" t="n"/>
      <c r="B160" s="448" t="n"/>
      <c r="C160" s="448" t="n"/>
      <c r="D160" s="449" t="n"/>
      <c r="E160" s="448" t="n"/>
      <c r="F160" s="448" t="n"/>
      <c r="G160" s="448" t="n"/>
      <c r="H160" s="299" t="n"/>
      <c r="I160" s="300" t="n"/>
      <c r="J160" s="71" t="n"/>
      <c r="K160" s="72" t="n"/>
      <c r="L160" s="654" t="n"/>
      <c r="M160" s="71" t="n"/>
      <c r="N160" s="666" t="n"/>
      <c r="O160" s="666" t="n"/>
      <c r="P160" s="462" t="n"/>
      <c r="Q160" s="663" t="n"/>
      <c r="R160" s="750" t="n"/>
      <c r="S160" s="750" t="n"/>
      <c r="T160" s="750" t="n"/>
    </row>
    <row r="161" ht="18.75" customHeight="1" s="671">
      <c r="A161" s="72" t="n"/>
      <c r="B161" s="448" t="n"/>
      <c r="C161" s="448" t="n"/>
      <c r="D161" s="449" t="n"/>
      <c r="E161" s="448" t="n"/>
      <c r="F161" s="448" t="n"/>
      <c r="G161" s="448" t="n"/>
      <c r="H161" s="299" t="n"/>
      <c r="I161" s="300" t="n"/>
      <c r="J161" s="299" t="n"/>
      <c r="K161" s="72" t="n"/>
      <c r="L161" s="71" t="n"/>
      <c r="M161" s="71" t="n"/>
      <c r="N161" s="666" t="n"/>
      <c r="P161" s="462" t="n"/>
      <c r="R161" s="663" t="inlineStr">
        <is>
          <t>Estimated Amount</t>
        </is>
      </c>
      <c r="S161" s="109" t="n">
        <v>0.3</v>
      </c>
      <c r="T161" s="663" t="inlineStr">
        <is>
          <t>Margin requirement</t>
        </is>
      </c>
    </row>
    <row r="162" ht="18.75" customHeight="1" s="671">
      <c r="A162" s="72" t="n"/>
      <c r="B162" s="448" t="n"/>
      <c r="C162" s="448" t="n"/>
      <c r="D162" s="449" t="n"/>
      <c r="E162" s="448" t="n"/>
      <c r="F162" s="448" t="n"/>
      <c r="G162" s="448" t="n"/>
      <c r="H162" s="116" t="inlineStr">
        <is>
          <t>Collateral 2: 30% x Estimated Amount Total</t>
        </is>
      </c>
      <c r="I162" s="481" t="n"/>
      <c r="J162" s="117" t="n"/>
      <c r="K162" s="481" t="n"/>
      <c r="L162" s="481" t="n"/>
      <c r="M162" s="71" t="n"/>
      <c r="N162" s="666" t="n"/>
      <c r="O162" s="666" t="n"/>
      <c r="P162" s="462" t="n"/>
      <c r="R162" s="663">
        <f>R154</f>
        <v/>
      </c>
      <c r="S162" s="750" t="n"/>
      <c r="T162" s="323">
        <f>-R162*S161</f>
        <v/>
      </c>
    </row>
    <row r="163" ht="18.75" customHeight="1" s="671">
      <c r="A163" s="72" t="n"/>
      <c r="B163" s="448" t="n"/>
      <c r="C163" s="448" t="n"/>
      <c r="D163" s="449" t="n"/>
      <c r="E163" s="448" t="n"/>
      <c r="F163" s="448" t="n"/>
      <c r="G163" s="448" t="n"/>
      <c r="H163" s="71" t="n"/>
      <c r="I163" s="654" t="n"/>
      <c r="J163" s="72" t="n"/>
      <c r="K163" s="654" t="n"/>
      <c r="L163" s="654" t="n"/>
      <c r="M163" s="71" t="n"/>
      <c r="N163" s="666" t="n"/>
      <c r="O163" s="666" t="n"/>
      <c r="P163" s="462" t="n"/>
      <c r="Q163" s="663" t="n"/>
      <c r="R163" s="482" t="n"/>
      <c r="S163" s="750" t="n"/>
      <c r="T163" s="750" t="n"/>
    </row>
    <row r="164" ht="18.75" customHeight="1" s="671">
      <c r="A164" s="72" t="n"/>
      <c r="B164" s="448" t="n"/>
      <c r="C164" s="448" t="n"/>
      <c r="D164" s="449" t="n"/>
      <c r="E164" s="448" t="n"/>
      <c r="F164" s="448" t="n"/>
      <c r="G164" s="448" t="n"/>
      <c r="H164" s="299" t="n"/>
      <c r="I164" s="654" t="n"/>
      <c r="J164" s="72" t="n"/>
      <c r="K164" s="654" t="n"/>
      <c r="L164" s="71" t="n"/>
      <c r="M164" s="71" t="n"/>
      <c r="N164" s="666" t="n"/>
      <c r="O164" s="666" t="n"/>
      <c r="P164" s="462" t="n"/>
      <c r="Q164" s="750" t="inlineStr">
        <is>
          <t>Market Price</t>
        </is>
      </c>
      <c r="R164" s="485">
        <f>market_price</f>
        <v/>
      </c>
    </row>
    <row r="165" ht="30" customFormat="1" customHeight="1" s="665">
      <c r="A165" s="112" t="n"/>
      <c r="B165" s="487" t="n"/>
      <c r="C165" s="487" t="n"/>
      <c r="D165" s="487" t="n"/>
      <c r="E165" s="487" t="n"/>
      <c r="F165" s="487" t="n"/>
      <c r="G165" s="487" t="n"/>
      <c r="H165" s="326" t="n"/>
      <c r="J165" s="112" t="n"/>
      <c r="L165" s="664" t="inlineStr">
        <is>
          <t>Estimated Shares</t>
        </is>
      </c>
      <c r="N165" s="670" t="inlineStr">
        <is>
          <t>On Hand</t>
        </is>
      </c>
      <c r="P165" s="489" t="n"/>
      <c r="Q165" s="670" t="inlineStr">
        <is>
          <t>Balance shares for decu</t>
        </is>
      </c>
      <c r="R165" s="490" t="inlineStr">
        <is>
          <t>Strike Price minus Market Price</t>
        </is>
      </c>
      <c r="S165" s="786" t="n"/>
      <c r="T165" s="111" t="inlineStr">
        <is>
          <t>Collateral needed</t>
        </is>
      </c>
      <c r="W165" s="113" t="n"/>
      <c r="X165" s="113" t="n"/>
      <c r="Y165" s="114" t="n"/>
      <c r="Z165" s="114" t="n"/>
      <c r="AB165" s="115" t="n"/>
    </row>
    <row r="166" ht="15.95" customHeight="1" s="671">
      <c r="A166" s="72" t="n"/>
      <c r="B166" s="448" t="n"/>
      <c r="C166" s="448" t="n"/>
      <c r="D166" s="449" t="n"/>
      <c r="E166" s="448" t="n"/>
      <c r="F166" s="448" t="n"/>
      <c r="G166" s="448" t="n"/>
      <c r="H166" s="116" t="inlineStr">
        <is>
          <t xml:space="preserve">Collateral 3: </t>
        </is>
      </c>
      <c r="I166" s="481" t="n"/>
      <c r="J166" s="666" t="inlineStr">
        <is>
          <t>Strike 1</t>
        </is>
      </c>
      <c r="K166" s="654" t="n"/>
      <c r="L166" s="662">
        <f>I147</f>
        <v/>
      </c>
      <c r="N166" s="663">
        <f>Q147</f>
        <v/>
      </c>
      <c r="P166" s="462" t="n"/>
      <c r="Q166" s="663">
        <f>Q147-N166</f>
        <v/>
      </c>
      <c r="R166" s="327">
        <f>L166-market_price</f>
        <v/>
      </c>
      <c r="S166" s="750" t="n"/>
      <c r="T166" s="328">
        <f>Q166*R166</f>
        <v/>
      </c>
    </row>
    <row r="167" ht="15.95" customHeight="1" s="671">
      <c r="A167" s="72" t="n"/>
      <c r="B167" s="448" t="n"/>
      <c r="C167" s="448" t="n"/>
      <c r="D167" s="449" t="n"/>
      <c r="E167" s="448" t="n"/>
      <c r="F167" s="448" t="n"/>
      <c r="G167" s="448" t="n"/>
      <c r="H167" s="300" t="n"/>
      <c r="I167" s="299" t="n"/>
      <c r="J167" s="666" t="inlineStr">
        <is>
          <t>Strike 2</t>
        </is>
      </c>
      <c r="K167" s="654" t="n"/>
      <c r="L167" s="662">
        <f>I148</f>
        <v/>
      </c>
      <c r="N167" s="663">
        <f>Q158-N166</f>
        <v/>
      </c>
      <c r="P167" s="462" t="n"/>
      <c r="Q167" s="663">
        <f>Q148-N167</f>
        <v/>
      </c>
      <c r="R167" s="327">
        <f>L167-market_price</f>
        <v/>
      </c>
      <c r="S167" s="750" t="n"/>
      <c r="T167" s="328">
        <f>Q167*R167</f>
        <v/>
      </c>
    </row>
    <row r="168" ht="15.95" customHeight="1" s="671">
      <c r="A168" s="72" t="n"/>
      <c r="B168" s="448" t="n"/>
      <c r="C168" s="448" t="n"/>
      <c r="D168" s="449" t="n"/>
      <c r="E168" s="448" t="n"/>
      <c r="F168" s="448" t="n"/>
      <c r="G168" s="448" t="n"/>
      <c r="H168" s="300" t="n"/>
      <c r="I168" s="299" t="n"/>
      <c r="J168" s="666" t="inlineStr">
        <is>
          <t>Strike 3</t>
        </is>
      </c>
      <c r="K168" s="654" t="n"/>
      <c r="L168" s="662">
        <f>I149</f>
        <v/>
      </c>
      <c r="N168" s="663" t="n">
        <v>0</v>
      </c>
      <c r="P168" s="462" t="n"/>
      <c r="Q168" s="663">
        <f>Q149-N168</f>
        <v/>
      </c>
      <c r="R168" s="327">
        <f>L168-market_price</f>
        <v/>
      </c>
      <c r="S168" s="750" t="n"/>
      <c r="T168" s="328">
        <f>Q168*R168</f>
        <v/>
      </c>
    </row>
    <row r="169" ht="15.95" customHeight="1" s="671">
      <c r="A169" s="72" t="n"/>
      <c r="B169" s="448" t="n"/>
      <c r="C169" s="448" t="n"/>
      <c r="D169" s="449" t="n"/>
      <c r="E169" s="448" t="n"/>
      <c r="F169" s="448" t="n"/>
      <c r="G169" s="448" t="n"/>
      <c r="H169" s="300" t="n"/>
      <c r="I169" s="299" t="n"/>
      <c r="J169" s="666" t="inlineStr">
        <is>
          <t>Strike 4</t>
        </is>
      </c>
      <c r="K169" s="654" t="n"/>
      <c r="L169" s="662">
        <f>I150</f>
        <v/>
      </c>
      <c r="N169" s="663" t="n">
        <v>0</v>
      </c>
      <c r="P169" s="462" t="n"/>
      <c r="Q169" s="663">
        <f>Q150-N169</f>
        <v/>
      </c>
      <c r="R169" s="327">
        <f>L169-market_price</f>
        <v/>
      </c>
      <c r="S169" s="750" t="n"/>
      <c r="T169" s="328">
        <f>Q169*R169</f>
        <v/>
      </c>
    </row>
    <row r="170" ht="15.95" customHeight="1" s="671">
      <c r="A170" s="72" t="n"/>
      <c r="B170" s="448" t="n"/>
      <c r="C170" s="448" t="n"/>
      <c r="D170" s="449" t="n"/>
      <c r="E170" s="448" t="n"/>
      <c r="F170" s="448" t="n"/>
      <c r="G170" s="448" t="n"/>
      <c r="H170" s="300" t="n"/>
      <c r="I170" s="299" t="n"/>
      <c r="J170" s="666" t="inlineStr">
        <is>
          <t>Strike 5</t>
        </is>
      </c>
      <c r="K170" s="654" t="n"/>
      <c r="L170" s="662">
        <f>I151</f>
        <v/>
      </c>
      <c r="N170" s="663" t="n">
        <v>0</v>
      </c>
      <c r="P170" s="462" t="n"/>
      <c r="Q170" s="663">
        <f>Q151-N170</f>
        <v/>
      </c>
      <c r="R170" s="327">
        <f>L170-market_price</f>
        <v/>
      </c>
      <c r="S170" s="750" t="n"/>
      <c r="T170" s="328">
        <f>Q170*R170</f>
        <v/>
      </c>
    </row>
    <row r="171" ht="15.95" customHeight="1" s="671">
      <c r="A171" s="72" t="n"/>
      <c r="B171" s="448" t="n"/>
      <c r="C171" s="448" t="n"/>
      <c r="D171" s="449" t="n"/>
      <c r="E171" s="448" t="n"/>
      <c r="F171" s="448" t="n"/>
      <c r="G171" s="448" t="n"/>
      <c r="H171" s="300" t="n"/>
      <c r="I171" s="299" t="n"/>
      <c r="J171" s="666" t="inlineStr">
        <is>
          <t>Strike 6</t>
        </is>
      </c>
      <c r="K171" s="654" t="n"/>
      <c r="L171" s="662">
        <f>I152</f>
        <v/>
      </c>
      <c r="N171" s="668" t="n">
        <v>0</v>
      </c>
      <c r="O171" s="628" t="n"/>
      <c r="P171" s="462" t="n"/>
      <c r="Q171" s="663">
        <f>Q152-N171</f>
        <v/>
      </c>
      <c r="R171" s="327">
        <f>L171-market_price</f>
        <v/>
      </c>
      <c r="S171" s="750" t="n"/>
      <c r="T171" s="328">
        <f>Q171*R171</f>
        <v/>
      </c>
    </row>
    <row r="172" ht="15.95" customHeight="1" s="671">
      <c r="A172" s="72" t="n"/>
      <c r="B172" s="448" t="n"/>
      <c r="C172" s="448" t="n"/>
      <c r="D172" s="449" t="n"/>
      <c r="E172" s="448" t="n"/>
      <c r="F172" s="448" t="n"/>
      <c r="G172" s="448" t="n"/>
      <c r="H172" s="300" t="n"/>
      <c r="I172" s="71" t="inlineStr">
        <is>
          <t>Sub Total</t>
        </is>
      </c>
      <c r="J172" s="654" t="n"/>
      <c r="K172" s="654" t="n"/>
      <c r="L172" s="666" t="n"/>
      <c r="M172" s="654" t="n"/>
      <c r="N172" s="667">
        <f>SUM(N166:O171)</f>
        <v/>
      </c>
      <c r="O172" s="625" t="n"/>
      <c r="P172" s="462" t="n"/>
      <c r="Q172" s="667">
        <f>SUM(Q166:Q171)</f>
        <v/>
      </c>
      <c r="R172" s="788" t="n"/>
      <c r="S172" s="788" t="n"/>
      <c r="T172" s="333">
        <f>SUM(T166:T171)</f>
        <v/>
      </c>
    </row>
    <row r="173" ht="18.75" customHeight="1" s="671">
      <c r="A173" s="72" t="n"/>
      <c r="B173" s="448" t="n"/>
      <c r="C173" s="448" t="n"/>
      <c r="D173" s="449" t="n"/>
      <c r="E173" s="448" t="n"/>
      <c r="F173" s="448" t="n"/>
      <c r="G173" s="448" t="n"/>
      <c r="H173" s="299" t="n"/>
      <c r="I173" s="300" t="n"/>
      <c r="J173" s="299" t="n"/>
      <c r="K173" s="72" t="n"/>
      <c r="L173" s="71" t="n"/>
      <c r="M173" s="71" t="n"/>
      <c r="N173" s="666" t="n"/>
      <c r="O173" s="666" t="n"/>
      <c r="P173" s="462" t="n"/>
      <c r="Q173" s="663" t="n"/>
      <c r="R173" s="750" t="n"/>
      <c r="S173" s="750" t="n"/>
      <c r="T173" s="750" t="n"/>
    </row>
    <row r="174" ht="18.75" customHeight="1" s="671">
      <c r="A174" s="72" t="n"/>
      <c r="B174" s="448" t="n"/>
      <c r="C174" s="448" t="n"/>
      <c r="D174" s="449" t="n"/>
      <c r="E174" s="448" t="n"/>
      <c r="F174" s="448" t="n"/>
      <c r="G174" s="448" t="n"/>
      <c r="H174" s="116" t="inlineStr">
        <is>
          <t>Total collateral needed</t>
        </is>
      </c>
      <c r="I174" s="331" t="n"/>
      <c r="J174" s="481" t="n"/>
      <c r="K174" s="72" t="n"/>
      <c r="L174" s="654" t="n"/>
      <c r="M174" s="71" t="n"/>
      <c r="N174" s="666" t="n"/>
      <c r="O174" s="666" t="n"/>
      <c r="P174" s="462" t="n"/>
      <c r="Q174" s="663" t="n"/>
      <c r="R174" s="750" t="n"/>
      <c r="S174" s="750" t="n"/>
      <c r="T174" s="323">
        <f>T162+T172+T143</f>
        <v/>
      </c>
    </row>
    <row r="175" ht="18.75" customHeight="1" s="671">
      <c r="A175" s="72" t="n"/>
      <c r="B175" s="448" t="n"/>
      <c r="C175" s="448" t="n"/>
      <c r="D175" s="449" t="n"/>
      <c r="E175" s="448" t="n"/>
      <c r="F175" s="448" t="n"/>
      <c r="G175" s="448" t="n"/>
      <c r="H175" s="71" t="n"/>
      <c r="I175" s="300" t="n"/>
      <c r="J175" s="654" t="n"/>
      <c r="K175" s="72" t="n"/>
      <c r="L175" s="654" t="n"/>
      <c r="M175" s="71" t="n"/>
      <c r="N175" s="666" t="n"/>
      <c r="O175" s="666" t="n"/>
      <c r="P175" s="462" t="n"/>
      <c r="Q175" s="663" t="n"/>
      <c r="R175" s="663" t="inlineStr">
        <is>
          <t>USD Rate 7.75</t>
        </is>
      </c>
      <c r="S175" s="750" t="n"/>
      <c r="T175" s="332">
        <f>T174/7.75</f>
        <v/>
      </c>
    </row>
    <row r="178" ht="15.75" customHeight="1" s="671">
      <c r="A178" s="76" t="inlineStr">
        <is>
          <t>MORGAN STANLEY Titan No. 1</t>
        </is>
      </c>
      <c r="B178" s="75" t="n"/>
      <c r="C178" s="447" t="n"/>
      <c r="D178" s="447" t="n"/>
      <c r="E178" s="681" t="n"/>
      <c r="F178" s="681" t="n"/>
      <c r="G178" s="681" t="n"/>
      <c r="H178" s="285" t="n"/>
      <c r="I178" s="285" t="n"/>
      <c r="J178" s="286" t="n"/>
      <c r="K178" s="298" t="n"/>
      <c r="L178" s="298" t="n"/>
      <c r="M178" s="298" t="n"/>
      <c r="N178" s="298" t="n"/>
      <c r="O178" s="298" t="n"/>
      <c r="P178" s="298" t="n"/>
      <c r="Q178" s="298" t="n"/>
      <c r="R178" s="298" t="n"/>
    </row>
    <row r="179" ht="9.75" customHeight="1" s="671">
      <c r="A179" s="72" t="n"/>
      <c r="B179" s="448" t="n"/>
      <c r="C179" s="448" t="n"/>
      <c r="D179" s="449" t="n"/>
      <c r="E179" s="448" t="inlineStr">
        <is>
          <t>`</t>
        </is>
      </c>
      <c r="F179" s="448" t="n"/>
      <c r="G179" s="448" t="n"/>
      <c r="H179" s="299" t="n"/>
      <c r="I179" s="300" t="inlineStr">
        <is>
          <t>`</t>
        </is>
      </c>
      <c r="J179" s="299" t="n"/>
      <c r="K179" s="298" t="n"/>
      <c r="L179" s="298" t="n"/>
      <c r="M179" s="298" t="n"/>
      <c r="N179" s="298" t="n"/>
      <c r="O179" s="298" t="n"/>
      <c r="P179" s="298" t="n"/>
      <c r="Q179" s="298" t="n"/>
      <c r="R179" s="298" t="n"/>
    </row>
    <row r="180" ht="15" customFormat="1" customHeight="1" s="642">
      <c r="A180" s="646" t="n"/>
      <c r="B180" s="640" t="inlineStr">
        <is>
          <t>ACCUMULATOR</t>
        </is>
      </c>
      <c r="C180" s="631" t="inlineStr">
        <is>
          <t>CODE</t>
        </is>
      </c>
      <c r="D180" s="631" t="n"/>
      <c r="E180" s="624" t="inlineStr">
        <is>
          <t>SHARES / DAY</t>
        </is>
      </c>
      <c r="F180" s="625" t="n"/>
      <c r="G180" s="626" t="n"/>
      <c r="H180" s="633" t="inlineStr">
        <is>
          <t>SPOT PRICE</t>
        </is>
      </c>
      <c r="I180" s="633" t="inlineStr">
        <is>
          <t>STRIKE PRICE</t>
        </is>
      </c>
      <c r="J180" s="633" t="inlineStr">
        <is>
          <t>K/O PRICE</t>
        </is>
      </c>
      <c r="K180" s="637" t="inlineStr">
        <is>
          <t>LIFE TERM OF CONTRACT</t>
        </is>
      </c>
      <c r="L180" s="638" t="n"/>
      <c r="M180" s="639" t="n"/>
      <c r="N180" s="622" t="inlineStr">
        <is>
          <t>START DATE</t>
        </is>
      </c>
      <c r="O180" s="622" t="inlineStr">
        <is>
          <t>END DATE</t>
        </is>
      </c>
      <c r="P180" s="682" t="n"/>
      <c r="Q180" s="632" t="inlineStr">
        <is>
          <t>Estimated Total Shares Remaining</t>
        </is>
      </c>
      <c r="R180" s="683" t="inlineStr">
        <is>
          <t>Estimated Amount</t>
        </is>
      </c>
      <c r="S180" s="682" t="n"/>
      <c r="T180" s="683" t="inlineStr">
        <is>
          <t>Estimated Amount per month</t>
        </is>
      </c>
      <c r="V180" s="678" t="n"/>
      <c r="W180" s="678" t="n"/>
      <c r="X180" s="155" t="n"/>
      <c r="Y180" s="154" t="inlineStr">
        <is>
          <t>Month 1</t>
        </is>
      </c>
      <c r="Z180" s="154" t="inlineStr">
        <is>
          <t>Month 2</t>
        </is>
      </c>
    </row>
    <row r="181" ht="20.45" customFormat="1" customHeight="1" s="642">
      <c r="A181" s="646" t="n"/>
      <c r="B181" s="623" t="n"/>
      <c r="C181" s="623" t="n"/>
      <c r="D181" s="390" t="inlineStr">
        <is>
          <t>CB1</t>
        </is>
      </c>
      <c r="E181" s="627" t="n"/>
      <c r="F181" s="628" t="n"/>
      <c r="G181" s="629" t="n"/>
      <c r="H181" s="623" t="n"/>
      <c r="I181" s="623" t="n"/>
      <c r="J181" s="623" t="n"/>
      <c r="K181" s="637" t="inlineStr">
        <is>
          <t>RCVD mos.</t>
        </is>
      </c>
      <c r="L181" s="637" t="inlineStr">
        <is>
          <t>REM mos.</t>
        </is>
      </c>
      <c r="M181" s="637" t="inlineStr">
        <is>
          <t>Total mos.</t>
        </is>
      </c>
      <c r="N181" s="623" t="n"/>
      <c r="O181" s="623" t="n"/>
      <c r="P181" s="682" t="n"/>
      <c r="Q181" s="623" t="n"/>
      <c r="R181" s="623" t="n"/>
      <c r="S181" s="682" t="n"/>
      <c r="T181" s="623" t="n"/>
      <c r="U181" s="642" t="inlineStr">
        <is>
          <t>Price</t>
        </is>
      </c>
      <c r="V181" s="678" t="inlineStr">
        <is>
          <t>NOW</t>
        </is>
      </c>
      <c r="W181" s="678" t="inlineStr">
        <is>
          <t>NEXT</t>
        </is>
      </c>
      <c r="X181" s="155" t="inlineStr">
        <is>
          <t>sd</t>
        </is>
      </c>
      <c r="Y181" s="154" t="inlineStr">
        <is>
          <t>hkd</t>
        </is>
      </c>
      <c r="Z181" s="154" t="inlineStr">
        <is>
          <t>hkd</t>
        </is>
      </c>
    </row>
    <row r="182" customFormat="1" s="642">
      <c r="A182" s="158" t="n"/>
      <c r="B182" s="416" t="n"/>
      <c r="C182" s="148" t="n"/>
      <c r="D182" s="149" t="n"/>
      <c r="E182" s="277" t="n"/>
      <c r="F182" s="278" t="n"/>
      <c r="G182" s="121" t="n"/>
      <c r="H182" s="267" t="n"/>
      <c r="I182" s="268" t="n"/>
      <c r="J182" s="267" t="n"/>
      <c r="K182" s="151" t="n"/>
      <c r="L182" s="152" t="n"/>
      <c r="M182" s="152" t="n"/>
      <c r="N182" s="143" t="n"/>
      <c r="O182" s="143" t="n"/>
      <c r="P182" s="694" t="n"/>
      <c r="Q182" s="153" t="n"/>
      <c r="R182" s="784" t="n"/>
      <c r="T182" s="784" t="n"/>
      <c r="U182" s="0" t="n"/>
      <c r="V182" s="282" t="n"/>
      <c r="W182" s="282" t="n"/>
      <c r="X182" s="0" t="n"/>
      <c r="Y182" s="154" t="n"/>
      <c r="Z182" s="154" t="n"/>
      <c r="AF182" s="685" t="n"/>
    </row>
    <row r="183" ht="15.6" customFormat="1" customHeight="1" s="642">
      <c r="A183" s="64" t="n"/>
      <c r="B183" s="388" t="n"/>
      <c r="C183" s="388" t="n"/>
      <c r="D183" s="388" t="n"/>
      <c r="E183" s="388" t="n"/>
      <c r="F183" s="388" t="n"/>
      <c r="G183" s="388" t="n"/>
      <c r="H183" s="247" t="n"/>
      <c r="I183" s="248" t="n"/>
      <c r="J183" s="247" t="n"/>
      <c r="K183" s="64" t="n"/>
      <c r="L183" s="646" t="n"/>
      <c r="M183" s="646" t="n"/>
      <c r="N183" s="394" t="n"/>
      <c r="O183" s="394" t="n"/>
      <c r="V183" s="678" t="n"/>
      <c r="W183" s="678" t="n"/>
      <c r="X183" s="155" t="n"/>
      <c r="Y183" s="154" t="n"/>
      <c r="Z183" s="154" t="n"/>
    </row>
    <row r="184" ht="15.6" customFormat="1" customHeight="1" s="353">
      <c r="A184" s="66" t="n"/>
      <c r="B184" s="395" t="n"/>
      <c r="C184" s="395" t="n"/>
      <c r="D184" s="395" t="n"/>
      <c r="E184" s="395" t="n"/>
      <c r="F184" s="395" t="n"/>
      <c r="G184" s="395" t="n"/>
      <c r="H184" s="251" t="n"/>
      <c r="I184" s="252" t="n"/>
      <c r="J184" s="251" t="n"/>
      <c r="K184" s="66" t="n"/>
      <c r="L184" s="54" t="n"/>
      <c r="M184" s="54" t="n"/>
      <c r="N184" s="394" t="n"/>
      <c r="O184" s="394" t="inlineStr">
        <is>
          <t>Total</t>
        </is>
      </c>
      <c r="P184" s="686" t="n"/>
      <c r="Q184" s="44">
        <f>SUM(Q181:Q183)</f>
        <v/>
      </c>
      <c r="R184" s="686">
        <f>SUM(R181:R183)</f>
        <v/>
      </c>
      <c r="S184" s="686" t="n"/>
      <c r="T184" s="686">
        <f>SUM(T181:T183)</f>
        <v/>
      </c>
      <c r="V184" s="687" t="n"/>
      <c r="W184" s="687" t="n"/>
      <c r="X184" s="102" t="n"/>
      <c r="Y184" s="43" t="n"/>
      <c r="Z184" s="43" t="n"/>
    </row>
    <row r="185" ht="15.6" customFormat="1" customHeight="1" s="353">
      <c r="A185" s="66" t="n"/>
      <c r="B185" s="395" t="n"/>
      <c r="C185" s="395" t="n"/>
      <c r="D185" s="395" t="n"/>
      <c r="E185" s="395" t="n"/>
      <c r="F185" s="395" t="n"/>
      <c r="G185" s="395" t="n"/>
      <c r="H185" s="251" t="n"/>
      <c r="I185" s="252" t="n"/>
      <c r="J185" s="251" t="n"/>
      <c r="K185" s="66" t="n"/>
      <c r="L185" s="54" t="n"/>
      <c r="M185" s="54" t="n"/>
      <c r="N185" s="394" t="n"/>
      <c r="O185" s="394" t="n"/>
      <c r="P185" s="686" t="n"/>
      <c r="Q185" s="44" t="n"/>
      <c r="R185" s="688" t="inlineStr">
        <is>
          <t>HKD</t>
        </is>
      </c>
      <c r="S185" s="688" t="n"/>
      <c r="T185" s="688" t="inlineStr">
        <is>
          <t>HKD</t>
        </is>
      </c>
      <c r="V185" s="687" t="n"/>
      <c r="W185" s="687" t="n"/>
      <c r="X185" s="102" t="n"/>
      <c r="Y185" s="43" t="n"/>
      <c r="Z185" s="43" t="n"/>
    </row>
    <row r="186" ht="15.6" customFormat="1" customHeight="1" s="353">
      <c r="A186" s="66" t="n"/>
      <c r="B186" s="395" t="n"/>
      <c r="C186" s="395" t="n"/>
      <c r="D186" s="395" t="n"/>
      <c r="E186" s="395" t="n"/>
      <c r="F186" s="395" t="n"/>
      <c r="G186" s="395" t="n"/>
      <c r="H186" s="251" t="n"/>
      <c r="I186" s="252" t="n"/>
      <c r="J186" s="251" t="n"/>
      <c r="K186" s="66" t="n"/>
      <c r="L186" s="54" t="n"/>
      <c r="M186" s="54" t="n"/>
      <c r="N186" s="394" t="n"/>
      <c r="O186" s="394" t="n"/>
      <c r="P186" s="686" t="n"/>
      <c r="Q186" s="44" t="n"/>
      <c r="R186" s="95" t="n"/>
      <c r="S186" s="686" t="n"/>
      <c r="T186" s="95" t="n"/>
      <c r="V186" s="687" t="n"/>
      <c r="W186" s="687" t="n"/>
      <c r="X186" s="102" t="n"/>
      <c r="Y186" s="43" t="n"/>
      <c r="Z186" s="43" t="n"/>
    </row>
    <row r="187" ht="18.75" customHeight="1" s="671">
      <c r="A187" s="72" t="n"/>
      <c r="B187" s="448" t="n"/>
      <c r="C187" s="448" t="n"/>
      <c r="D187" s="449" t="n"/>
      <c r="E187" s="448" t="n"/>
      <c r="F187" s="448" t="n"/>
      <c r="G187" s="448" t="n"/>
      <c r="H187" s="299" t="n"/>
      <c r="I187" s="300" t="n"/>
      <c r="J187" s="299" t="n"/>
      <c r="K187" s="72" t="n"/>
      <c r="L187" s="71" t="n"/>
      <c r="M187" s="71" t="n"/>
      <c r="N187" s="666" t="n"/>
      <c r="P187" s="462" t="n"/>
      <c r="R187" s="663" t="inlineStr">
        <is>
          <t>Estimated Amount</t>
        </is>
      </c>
      <c r="S187" s="109" t="n">
        <v>0.3</v>
      </c>
      <c r="T187" s="663" t="inlineStr">
        <is>
          <t>Margin requirement</t>
        </is>
      </c>
    </row>
    <row r="188" ht="18.75" customHeight="1" s="671">
      <c r="A188" s="72" t="n"/>
      <c r="B188" s="448" t="n"/>
      <c r="C188" s="448" t="n"/>
      <c r="D188" s="449" t="n"/>
      <c r="E188" s="448" t="n"/>
      <c r="F188" s="448" t="n"/>
      <c r="G188" s="448" t="n"/>
      <c r="H188" s="116" t="inlineStr">
        <is>
          <t>Collateral 1: 30% x Estimated Amount Total</t>
        </is>
      </c>
      <c r="I188" s="481" t="n"/>
      <c r="J188" s="117" t="n"/>
      <c r="K188" s="481" t="n"/>
      <c r="L188" s="481" t="n"/>
      <c r="M188" s="71" t="n"/>
      <c r="N188" s="666" t="n"/>
      <c r="O188" s="666" t="n"/>
      <c r="P188" s="462" t="n"/>
      <c r="R188" s="663">
        <f>R184</f>
        <v/>
      </c>
      <c r="S188" s="750" t="n"/>
      <c r="T188" s="323">
        <f>-R188*S187</f>
        <v/>
      </c>
    </row>
    <row r="189" ht="18.75" customHeight="1" s="671">
      <c r="A189" s="72" t="n"/>
      <c r="B189" s="448" t="n"/>
      <c r="C189" s="448" t="n"/>
      <c r="D189" s="449" t="n"/>
      <c r="E189" s="448" t="n"/>
      <c r="F189" s="448" t="n"/>
      <c r="G189" s="448" t="n"/>
      <c r="H189" s="71" t="n"/>
      <c r="I189" s="654" t="n"/>
      <c r="J189" s="72" t="n"/>
      <c r="K189" s="654" t="n"/>
      <c r="L189" s="654" t="n"/>
      <c r="M189" s="71" t="n"/>
      <c r="N189" s="666" t="n"/>
      <c r="O189" s="666" t="n"/>
      <c r="P189" s="462" t="n"/>
      <c r="Q189" s="663" t="n"/>
      <c r="R189" s="482" t="n"/>
      <c r="S189" s="750" t="n"/>
      <c r="T189" s="750" t="n"/>
    </row>
    <row r="190" ht="15" customHeight="1" s="671">
      <c r="B190" s="640" t="inlineStr">
        <is>
          <t>DECUMULATOR</t>
        </is>
      </c>
      <c r="C190" s="631" t="inlineStr">
        <is>
          <t>CODE</t>
        </is>
      </c>
      <c r="D190" s="631" t="n"/>
      <c r="E190" s="624" t="inlineStr">
        <is>
          <t>SHARES / DAY</t>
        </is>
      </c>
      <c r="F190" s="625" t="n"/>
      <c r="G190" s="626" t="n"/>
      <c r="H190" s="633" t="inlineStr">
        <is>
          <t>SPOT PRICE</t>
        </is>
      </c>
      <c r="I190" s="633" t="inlineStr">
        <is>
          <t>STRIKE PRICE</t>
        </is>
      </c>
      <c r="J190" s="633" t="inlineStr">
        <is>
          <t>K/O PRICE</t>
        </is>
      </c>
      <c r="K190" s="637" t="inlineStr">
        <is>
          <t>LIFE TERM OF CONTRACT</t>
        </is>
      </c>
      <c r="L190" s="638" t="n"/>
      <c r="M190" s="639" t="n"/>
      <c r="N190" s="622" t="inlineStr">
        <is>
          <t>START DATE</t>
        </is>
      </c>
      <c r="O190" s="622" t="inlineStr">
        <is>
          <t>END DATE</t>
        </is>
      </c>
      <c r="P190" s="682" t="n"/>
      <c r="Q190" s="632" t="inlineStr">
        <is>
          <t>Estimated  Shares to sell</t>
        </is>
      </c>
      <c r="R190" s="683" t="inlineStr">
        <is>
          <t>Estimated Amount</t>
        </is>
      </c>
      <c r="S190" s="682" t="n"/>
      <c r="T190" s="683" t="inlineStr">
        <is>
          <t>Estimated Amount per month</t>
        </is>
      </c>
      <c r="Y190" s="173" t="inlineStr">
        <is>
          <t>july</t>
        </is>
      </c>
      <c r="Z190" s="173" t="inlineStr">
        <is>
          <t>aug</t>
        </is>
      </c>
      <c r="AH190" s="163">
        <f>SUM(#REF!)</f>
        <v/>
      </c>
      <c r="AI190" s="163">
        <f>SUM(#REF!)</f>
        <v/>
      </c>
    </row>
    <row r="191" ht="22.5" customHeight="1" s="671">
      <c r="B191" s="623" t="n"/>
      <c r="C191" s="623" t="n"/>
      <c r="D191" s="390" t="inlineStr">
        <is>
          <t>CB1</t>
        </is>
      </c>
      <c r="E191" s="627" t="n"/>
      <c r="F191" s="628" t="n"/>
      <c r="G191" s="629" t="n"/>
      <c r="H191" s="623" t="n"/>
      <c r="I191" s="623" t="n"/>
      <c r="J191" s="623" t="n"/>
      <c r="K191" s="637" t="inlineStr">
        <is>
          <t>RCVD mos.</t>
        </is>
      </c>
      <c r="L191" s="637" t="inlineStr">
        <is>
          <t>REM mos.</t>
        </is>
      </c>
      <c r="M191" s="637" t="inlineStr">
        <is>
          <t>Total mos.</t>
        </is>
      </c>
      <c r="N191" s="623" t="n"/>
      <c r="O191" s="623" t="n"/>
      <c r="P191" s="682" t="n"/>
      <c r="Q191" s="623" t="n"/>
      <c r="R191" s="623" t="n"/>
      <c r="S191" s="682" t="n"/>
      <c r="T191" s="623" t="n"/>
      <c r="U191" s="654" t="inlineStr">
        <is>
          <t>Closing</t>
        </is>
      </c>
      <c r="V191" s="652" t="inlineStr">
        <is>
          <t>Current</t>
        </is>
      </c>
      <c r="W191" s="652" t="inlineStr">
        <is>
          <t>Next</t>
        </is>
      </c>
      <c r="X191" s="652" t="inlineStr">
        <is>
          <t>sd</t>
        </is>
      </c>
      <c r="Y191" s="173" t="inlineStr">
        <is>
          <t>hkd</t>
        </is>
      </c>
      <c r="Z191" s="173" t="inlineStr">
        <is>
          <t>hkd</t>
        </is>
      </c>
      <c r="AH191" s="654" t="inlineStr">
        <is>
          <t>Double</t>
        </is>
      </c>
      <c r="AI191" s="654" t="inlineStr">
        <is>
          <t>Single</t>
        </is>
      </c>
    </row>
    <row r="192">
      <c r="A192" s="147">
        <f>INDIRECT(ADDRESS(ROW()-1,COLUMN()))+1</f>
        <v/>
      </c>
      <c r="B192" s="495" t="inlineStr">
        <is>
          <t>Great Wall Motor</t>
        </is>
      </c>
      <c r="C192" s="159" t="inlineStr">
        <is>
          <t>2333</t>
        </is>
      </c>
      <c r="D192" s="160" t="inlineStr">
        <is>
          <t>GREATWALL - 24</t>
        </is>
      </c>
      <c r="E192" s="124" t="n">
        <v>5000</v>
      </c>
      <c r="F192" s="169" t="inlineStr">
        <is>
          <t>/</t>
        </is>
      </c>
      <c r="G192" s="128" t="n">
        <v>10000</v>
      </c>
      <c r="H192" s="324" t="n">
        <v>5.64</v>
      </c>
      <c r="I192" s="325" t="n">
        <v>6.8221</v>
      </c>
      <c r="J192" s="324" t="n">
        <v>5.358</v>
      </c>
      <c r="K192" s="161" t="n">
        <v>23</v>
      </c>
      <c r="L192" s="171">
        <f>M192-K192</f>
        <v/>
      </c>
      <c r="M192" s="171" t="n">
        <v>248</v>
      </c>
      <c r="N192" s="172" t="n">
        <v>44019</v>
      </c>
      <c r="O192" s="172" t="n">
        <v>44383</v>
      </c>
      <c r="P192" s="682" t="n"/>
      <c r="Q192" s="162">
        <f>E192*L192*X192</f>
        <v/>
      </c>
      <c r="R192" s="785">
        <f>E192*I192*L192*X192</f>
        <v/>
      </c>
      <c r="S192" s="682" t="n"/>
      <c r="T192" s="785">
        <f>E192*I192*20*X192</f>
        <v/>
      </c>
      <c r="U192" s="0" t="n">
        <v>9.119999999999999</v>
      </c>
      <c r="V192" s="304" t="n">
        <v>22</v>
      </c>
      <c r="W192" s="304" t="n">
        <v>41</v>
      </c>
      <c r="X192" s="678" t="n">
        <v>2</v>
      </c>
      <c r="Y192" s="173">
        <f>X192*V192*E192*I192</f>
        <v/>
      </c>
      <c r="Z192" s="173">
        <f>X192*W192*E192*I192</f>
        <v/>
      </c>
      <c r="AB192" s="163">
        <f>MONTH(O192)</f>
        <v/>
      </c>
      <c r="AC192" s="654">
        <f>YEAR(O192)</f>
        <v/>
      </c>
      <c r="AD192" s="654">
        <f>AB192&amp;"-"&amp;AC192&amp;"-"&amp;C192</f>
        <v/>
      </c>
      <c r="AE192" s="654">
        <f>C192</f>
        <v/>
      </c>
      <c r="AF192" s="685">
        <f>MATCH(AE192,ALLM!$C$34:$C$43,)</f>
        <v/>
      </c>
      <c r="AH192" s="163">
        <f>IF(C192="2333",IF(X192=2,1,0),0)</f>
        <v/>
      </c>
      <c r="AI192" s="163">
        <f>IF(C192="2333",IF(X192=1,1,0),0)</f>
        <v/>
      </c>
    </row>
    <row r="193">
      <c r="A193" s="147">
        <f>INDIRECT(ADDRESS(ROW()-1,COLUMN()))+1</f>
        <v/>
      </c>
      <c r="B193" s="495" t="inlineStr">
        <is>
          <t>Great Wall Motor</t>
        </is>
      </c>
      <c r="C193" s="159" t="inlineStr">
        <is>
          <t>2333</t>
        </is>
      </c>
      <c r="D193" s="160" t="inlineStr">
        <is>
          <t>GREATWALL - 25</t>
        </is>
      </c>
      <c r="E193" s="124" t="n">
        <v>5000</v>
      </c>
      <c r="F193" s="169" t="inlineStr">
        <is>
          <t>/</t>
        </is>
      </c>
      <c r="G193" s="128" t="n">
        <v>10000</v>
      </c>
      <c r="H193" s="324" t="n">
        <v>5.93</v>
      </c>
      <c r="I193" s="325" t="n">
        <v>6.9666</v>
      </c>
      <c r="J193" s="324" t="n">
        <v>5.337</v>
      </c>
      <c r="K193" s="161" t="n">
        <v>23</v>
      </c>
      <c r="L193" s="171">
        <f>M193-K193</f>
        <v/>
      </c>
      <c r="M193" s="171" t="n">
        <v>186</v>
      </c>
      <c r="N193" s="172" t="n">
        <v>44020</v>
      </c>
      <c r="O193" s="172" t="n">
        <v>44293</v>
      </c>
      <c r="P193" s="682" t="n"/>
      <c r="Q193" s="162">
        <f>E193*L193*X193</f>
        <v/>
      </c>
      <c r="R193" s="785">
        <f>E193*I193*L193*X193</f>
        <v/>
      </c>
      <c r="S193" s="682" t="n"/>
      <c r="T193" s="785">
        <f>E193*I193*20*X193</f>
        <v/>
      </c>
      <c r="U193" s="0" t="n">
        <v>9.119999999999999</v>
      </c>
      <c r="V193" s="304" t="n">
        <v>21</v>
      </c>
      <c r="W193" s="304" t="n">
        <v>41</v>
      </c>
      <c r="X193" s="678" t="n">
        <v>2</v>
      </c>
      <c r="Y193" s="173">
        <f>X193*V193*E193*I193</f>
        <v/>
      </c>
      <c r="Z193" s="173">
        <f>X193*W193*E193*I193</f>
        <v/>
      </c>
      <c r="AB193" s="163">
        <f>MONTH(O193)</f>
        <v/>
      </c>
      <c r="AC193" s="654">
        <f>YEAR(O193)</f>
        <v/>
      </c>
      <c r="AD193" s="654">
        <f>AB193&amp;"-"&amp;AC193&amp;"-"&amp;C193</f>
        <v/>
      </c>
      <c r="AE193" s="654">
        <f>C193</f>
        <v/>
      </c>
      <c r="AF193" s="685">
        <f>MATCH(AE193,ALLM!$C$34:$C$43,)</f>
        <v/>
      </c>
      <c r="AH193" s="163">
        <f>IF(C193="2333",IF(X193=2,1,0),0)</f>
        <v/>
      </c>
      <c r="AI193" s="163">
        <f>IF(C193="2333",IF(X193=1,1,0),0)</f>
        <v/>
      </c>
    </row>
    <row r="194">
      <c r="A194" s="147">
        <f>INDIRECT(ADDRESS(ROW()-1,COLUMN()))+1</f>
        <v/>
      </c>
      <c r="B194" s="495" t="inlineStr">
        <is>
          <t>Great Wall Motor</t>
        </is>
      </c>
      <c r="C194" s="159" t="inlineStr">
        <is>
          <t>2333</t>
        </is>
      </c>
      <c r="D194" s="160" t="inlineStr">
        <is>
          <t>GREATWALL - 26</t>
        </is>
      </c>
      <c r="E194" s="124" t="n">
        <v>3000</v>
      </c>
      <c r="F194" s="169" t="inlineStr">
        <is>
          <t>/</t>
        </is>
      </c>
      <c r="G194" s="128" t="n">
        <v>6000</v>
      </c>
      <c r="H194" s="324" t="n">
        <v>5.7886</v>
      </c>
      <c r="I194" s="325" t="n">
        <v>6.9203</v>
      </c>
      <c r="J194" s="324" t="n">
        <v>5.2097</v>
      </c>
      <c r="K194" s="161" t="n">
        <v>23</v>
      </c>
      <c r="L194" s="171">
        <f>M194-K194</f>
        <v/>
      </c>
      <c r="M194" s="171" t="n">
        <v>186</v>
      </c>
      <c r="N194" s="172" t="n">
        <v>44021</v>
      </c>
      <c r="O194" s="172" t="n">
        <v>44294</v>
      </c>
      <c r="P194" s="682" t="n"/>
      <c r="Q194" s="162">
        <f>E194*L194*X194</f>
        <v/>
      </c>
      <c r="R194" s="785">
        <f>E194*I194*L194*X194</f>
        <v/>
      </c>
      <c r="S194" s="682" t="n"/>
      <c r="T194" s="785">
        <f>E194*I194*20*X194</f>
        <v/>
      </c>
      <c r="U194" s="0" t="n">
        <v>9.119999999999999</v>
      </c>
      <c r="V194" s="304" t="n">
        <v>21</v>
      </c>
      <c r="W194" s="304" t="n">
        <v>41</v>
      </c>
      <c r="X194" s="678" t="n">
        <v>2</v>
      </c>
      <c r="Y194" s="173">
        <f>X194*V194*E194*I194</f>
        <v/>
      </c>
      <c r="Z194" s="173">
        <f>X194*W194*E194*I194</f>
        <v/>
      </c>
      <c r="AB194" s="163">
        <f>MONTH(O194)</f>
        <v/>
      </c>
      <c r="AC194" s="654">
        <f>YEAR(O194)</f>
        <v/>
      </c>
      <c r="AD194" s="654">
        <f>AB194&amp;"-"&amp;AC194&amp;"-"&amp;C194</f>
        <v/>
      </c>
      <c r="AE194" s="654">
        <f>C194</f>
        <v/>
      </c>
      <c r="AF194" s="685">
        <f>MATCH(AE194,ALLM!$C$34:$C$43,)</f>
        <v/>
      </c>
      <c r="AH194" s="163">
        <f>IF(C194="2333",IF(X194=2,1,0),0)</f>
        <v/>
      </c>
      <c r="AI194" s="163">
        <f>IF(C194="2333",IF(X194=1,1,0),0)</f>
        <v/>
      </c>
    </row>
    <row r="195">
      <c r="A195" s="147" t="n"/>
    </row>
    <row r="196">
      <c r="L196" s="71" t="n"/>
      <c r="N196" s="453" t="n"/>
      <c r="O196" s="453" t="inlineStr">
        <is>
          <t>Total</t>
        </is>
      </c>
      <c r="P196" s="453" t="n"/>
      <c r="Q196" s="663">
        <f>SUM(Q191:Q195)</f>
        <v/>
      </c>
      <c r="R196" s="94">
        <f>SUM(R191:R195)</f>
        <v/>
      </c>
      <c r="S196" s="453" t="n"/>
      <c r="T196" s="745">
        <f>SUM(T191:T195)</f>
        <v/>
      </c>
    </row>
    <row r="197">
      <c r="A197" s="72" t="n"/>
      <c r="B197" s="448" t="n"/>
      <c r="C197" s="448" t="n"/>
      <c r="D197" s="449" t="n"/>
      <c r="E197" s="448" t="n"/>
      <c r="F197" s="448" t="n"/>
      <c r="G197" s="448" t="n"/>
      <c r="H197" s="299" t="n"/>
      <c r="I197" s="300" t="n"/>
      <c r="J197" s="299" t="n"/>
      <c r="K197" s="72" t="n"/>
      <c r="Q197" s="656" t="inlineStr">
        <is>
          <t>Shares</t>
        </is>
      </c>
      <c r="R197" s="656" t="inlineStr">
        <is>
          <t>HKD</t>
        </is>
      </c>
      <c r="S197" s="656" t="n"/>
      <c r="T197" s="656" t="inlineStr">
        <is>
          <t>HKD</t>
        </is>
      </c>
    </row>
    <row r="198">
      <c r="A198" s="72" t="n"/>
      <c r="B198" s="448" t="n"/>
      <c r="C198" s="448" t="n"/>
      <c r="D198" s="449" t="n"/>
      <c r="E198" s="448" t="n"/>
      <c r="F198" s="448" t="n"/>
      <c r="G198" s="448" t="n"/>
      <c r="H198" s="299" t="n"/>
      <c r="I198" s="300" t="n"/>
      <c r="J198" s="299" t="n"/>
      <c r="K198" s="72" t="n"/>
      <c r="P198" s="682" t="n"/>
      <c r="Q198" s="682" t="n"/>
      <c r="R198" s="682" t="n"/>
      <c r="S198" s="682" t="n"/>
    </row>
    <row r="199" ht="18.75" customHeight="1" s="671">
      <c r="A199" s="72" t="n"/>
      <c r="B199" s="448" t="n"/>
      <c r="C199" s="448" t="n"/>
      <c r="D199" s="449" t="n"/>
      <c r="E199" s="448" t="n"/>
      <c r="F199" s="448" t="n"/>
      <c r="G199" s="448" t="n"/>
      <c r="H199" s="299" t="n"/>
      <c r="I199" s="300" t="n"/>
      <c r="J199" s="71" t="inlineStr">
        <is>
          <t>Total Shares to sell</t>
        </is>
      </c>
      <c r="K199" s="72" t="n"/>
      <c r="L199" s="654" t="n"/>
      <c r="M199" s="462" t="n"/>
      <c r="O199" s="462" t="n"/>
      <c r="P199" s="462" t="n"/>
      <c r="Q199" s="663">
        <f>Q196</f>
        <v/>
      </c>
      <c r="R199" s="750" t="n"/>
      <c r="S199" s="750" t="n"/>
      <c r="T199" s="750" t="n"/>
    </row>
    <row r="200" ht="18.75" customHeight="1" s="671">
      <c r="A200" s="72" t="n"/>
      <c r="B200" s="448" t="n"/>
      <c r="C200" s="448" t="n"/>
      <c r="D200" s="449" t="n"/>
      <c r="E200" s="448" t="n"/>
      <c r="F200" s="448" t="n"/>
      <c r="G200" s="448" t="n"/>
      <c r="H200" s="299" t="n"/>
      <c r="I200" s="300" t="n"/>
      <c r="J200" s="71" t="inlineStr">
        <is>
          <t>On hand</t>
        </is>
      </c>
      <c r="K200" s="72" t="n"/>
      <c r="L200" s="654" t="n"/>
      <c r="M200" s="71" t="n"/>
      <c r="N200" s="666" t="n"/>
      <c r="P200" s="462" t="n"/>
      <c r="Q200" s="663" t="n">
        <v>3382500</v>
      </c>
      <c r="R200" s="750" t="n"/>
      <c r="S200" s="750" t="n"/>
      <c r="T200" s="750" t="n"/>
    </row>
    <row r="201" ht="18.75" customHeight="1" s="671">
      <c r="A201" s="72" t="n"/>
      <c r="B201" s="448" t="n"/>
      <c r="C201" s="448" t="n"/>
      <c r="D201" s="449" t="n"/>
      <c r="E201" s="448" t="n"/>
      <c r="F201" s="448" t="n"/>
      <c r="G201" s="448" t="n"/>
      <c r="H201" s="299" t="n"/>
      <c r="I201" s="300" t="n"/>
      <c r="J201" s="71" t="inlineStr">
        <is>
          <t>Balance shares for decu</t>
        </is>
      </c>
      <c r="K201" s="72" t="n"/>
      <c r="L201" s="654" t="n"/>
      <c r="M201" s="71" t="n"/>
      <c r="N201" s="666" t="n"/>
      <c r="O201" s="666" t="n"/>
      <c r="P201" s="462" t="n"/>
      <c r="Q201" s="110">
        <f>Q199-Q200</f>
        <v/>
      </c>
      <c r="R201" s="750" t="n"/>
      <c r="S201" s="750" t="n"/>
      <c r="T201" s="750" t="n"/>
    </row>
    <row r="202" ht="18.75" customHeight="1" s="671">
      <c r="A202" s="72" t="n"/>
      <c r="B202" s="448" t="n"/>
      <c r="C202" s="448" t="n"/>
      <c r="D202" s="449" t="n"/>
      <c r="E202" s="448" t="n"/>
      <c r="F202" s="448" t="n"/>
      <c r="G202" s="448" t="n"/>
      <c r="H202" s="299" t="n"/>
      <c r="I202" s="300" t="n"/>
      <c r="J202" s="71" t="n"/>
      <c r="K202" s="72" t="n"/>
      <c r="L202" s="654" t="n"/>
      <c r="M202" s="71" t="n"/>
      <c r="N202" s="666" t="n"/>
      <c r="O202" s="666" t="n"/>
      <c r="P202" s="462" t="n"/>
      <c r="Q202" s="663" t="n"/>
      <c r="R202" s="750" t="n"/>
      <c r="S202" s="750" t="n"/>
      <c r="T202" s="750" t="n"/>
    </row>
    <row r="203" ht="18.75" customHeight="1" s="671">
      <c r="A203" s="72" t="n"/>
      <c r="B203" s="448" t="n"/>
      <c r="C203" s="448" t="n"/>
      <c r="D203" s="449" t="n"/>
      <c r="E203" s="448" t="n"/>
      <c r="F203" s="448" t="n"/>
      <c r="G203" s="448" t="n"/>
      <c r="H203" s="299" t="n"/>
      <c r="I203" s="300" t="n"/>
      <c r="J203" s="299" t="n"/>
      <c r="K203" s="72" t="n"/>
      <c r="L203" s="71" t="n"/>
      <c r="M203" s="71" t="n"/>
      <c r="N203" s="666" t="n"/>
      <c r="P203" s="462" t="n"/>
      <c r="R203" s="663" t="inlineStr">
        <is>
          <t>Estimated Amount</t>
        </is>
      </c>
      <c r="S203" s="109" t="n">
        <v>0.3</v>
      </c>
      <c r="T203" s="663" t="inlineStr">
        <is>
          <t>Margin requirement</t>
        </is>
      </c>
    </row>
    <row r="204" ht="18.75" customHeight="1" s="671">
      <c r="A204" s="72" t="n"/>
      <c r="B204" s="448" t="n"/>
      <c r="C204" s="448" t="n"/>
      <c r="D204" s="449" t="n"/>
      <c r="E204" s="448" t="n"/>
      <c r="F204" s="448" t="n"/>
      <c r="G204" s="448" t="n"/>
      <c r="H204" s="116" t="inlineStr">
        <is>
          <t>Collateral 2: 30% x Estimated Amount Total</t>
        </is>
      </c>
      <c r="I204" s="481" t="n"/>
      <c r="J204" s="117" t="n"/>
      <c r="K204" s="481" t="n"/>
      <c r="L204" s="481" t="n"/>
      <c r="M204" s="71" t="n"/>
      <c r="N204" s="666" t="n"/>
      <c r="O204" s="666" t="n"/>
      <c r="P204" s="462" t="n"/>
      <c r="R204" s="663">
        <f>R196</f>
        <v/>
      </c>
      <c r="S204" s="750" t="n"/>
      <c r="T204" s="323">
        <f>-R204*S203</f>
        <v/>
      </c>
    </row>
    <row r="205" ht="18.75" customHeight="1" s="671">
      <c r="A205" s="72" t="n"/>
      <c r="B205" s="448" t="n"/>
      <c r="C205" s="448" t="n"/>
      <c r="D205" s="449" t="n"/>
      <c r="E205" s="448" t="n"/>
      <c r="F205" s="448" t="n"/>
      <c r="G205" s="448" t="n"/>
      <c r="H205" s="71" t="n"/>
      <c r="I205" s="654" t="n"/>
      <c r="J205" s="72" t="n"/>
      <c r="K205" s="654" t="n"/>
      <c r="L205" s="654" t="n"/>
      <c r="M205" s="71" t="n"/>
      <c r="N205" s="666" t="n"/>
      <c r="O205" s="666" t="n"/>
      <c r="P205" s="462" t="n"/>
      <c r="Q205" s="663" t="n"/>
      <c r="R205" s="482" t="n"/>
      <c r="S205" s="750" t="n"/>
      <c r="T205" s="750" t="n"/>
    </row>
    <row r="206" ht="18.75" customHeight="1" s="671">
      <c r="A206" s="72" t="n"/>
      <c r="B206" s="448" t="n"/>
      <c r="C206" s="448" t="n"/>
      <c r="D206" s="449" t="n"/>
      <c r="E206" s="448" t="n"/>
      <c r="F206" s="448" t="n"/>
      <c r="G206" s="448" t="n"/>
      <c r="H206" s="299" t="n"/>
      <c r="I206" s="654" t="n"/>
      <c r="J206" s="72" t="n"/>
      <c r="K206" s="654" t="n"/>
      <c r="L206" s="71" t="n"/>
      <c r="M206" s="71" t="n"/>
      <c r="N206" s="666" t="n"/>
      <c r="O206" s="666" t="n"/>
      <c r="P206" s="462" t="n"/>
      <c r="Q206" s="750" t="inlineStr">
        <is>
          <t>Market Price</t>
        </is>
      </c>
      <c r="R206" s="485">
        <f>market_price</f>
        <v/>
      </c>
    </row>
    <row r="207" ht="30" customFormat="1" customHeight="1" s="665">
      <c r="A207" s="112" t="n"/>
      <c r="B207" s="487" t="n"/>
      <c r="C207" s="487" t="n"/>
      <c r="D207" s="487" t="n"/>
      <c r="E207" s="487" t="n"/>
      <c r="F207" s="487" t="n"/>
      <c r="G207" s="487" t="n"/>
      <c r="H207" s="326" t="n"/>
      <c r="J207" s="112" t="n"/>
      <c r="L207" s="664" t="inlineStr">
        <is>
          <t>Estimated Shares</t>
        </is>
      </c>
      <c r="N207" s="670" t="inlineStr">
        <is>
          <t>On Hand</t>
        </is>
      </c>
      <c r="P207" s="489" t="n"/>
      <c r="Q207" s="670" t="inlineStr">
        <is>
          <t>Balance shares for decu</t>
        </is>
      </c>
      <c r="R207" s="490" t="inlineStr">
        <is>
          <t>Strike Price minus Market Price</t>
        </is>
      </c>
      <c r="S207" s="786" t="n"/>
      <c r="T207" s="111" t="inlineStr">
        <is>
          <t>Collateral needed</t>
        </is>
      </c>
      <c r="W207" s="113" t="n"/>
      <c r="X207" s="113" t="n"/>
      <c r="Y207" s="114" t="n"/>
      <c r="Z207" s="114" t="n"/>
      <c r="AB207" s="115" t="n"/>
    </row>
    <row r="208" ht="18.75" customHeight="1" s="671">
      <c r="A208" s="72" t="n"/>
      <c r="B208" s="448" t="n"/>
      <c r="C208" s="448" t="n"/>
      <c r="D208" s="449" t="n"/>
      <c r="E208" s="448" t="n"/>
      <c r="F208" s="448" t="n"/>
      <c r="G208" s="448" t="n"/>
      <c r="H208" s="116" t="inlineStr">
        <is>
          <t xml:space="preserve">Collateral 3: </t>
        </is>
      </c>
      <c r="I208" s="481" t="n"/>
      <c r="J208" s="666" t="inlineStr">
        <is>
          <t>Strike 1</t>
        </is>
      </c>
      <c r="K208" s="654" t="n"/>
      <c r="L208" s="662">
        <f>I192</f>
        <v/>
      </c>
      <c r="N208" s="663">
        <f>Q192</f>
        <v/>
      </c>
      <c r="P208" s="462" t="n"/>
      <c r="Q208" s="663">
        <f>Q192-N208</f>
        <v/>
      </c>
      <c r="R208" s="327">
        <f>L208-market_price</f>
        <v/>
      </c>
      <c r="S208" s="750" t="n"/>
      <c r="T208" s="328">
        <f>Q208*R208</f>
        <v/>
      </c>
    </row>
    <row r="209" ht="18.75" customHeight="1" s="671">
      <c r="A209" s="72" t="n"/>
      <c r="B209" s="448" t="n"/>
      <c r="C209" s="448" t="n"/>
      <c r="D209" s="449" t="n"/>
      <c r="E209" s="448" t="n"/>
      <c r="F209" s="448" t="n"/>
      <c r="G209" s="448" t="n"/>
      <c r="H209" s="300" t="n"/>
      <c r="I209" s="299" t="n"/>
      <c r="J209" s="666" t="inlineStr">
        <is>
          <t>Strike 2</t>
        </is>
      </c>
      <c r="K209" s="654" t="n"/>
      <c r="L209" s="662">
        <f>I193</f>
        <v/>
      </c>
      <c r="N209" s="663">
        <f>Q200-N208</f>
        <v/>
      </c>
      <c r="P209" s="462" t="n"/>
      <c r="Q209" s="663">
        <f>Q193-N209</f>
        <v/>
      </c>
      <c r="R209" s="327">
        <f>L209-market_price</f>
        <v/>
      </c>
      <c r="S209" s="750" t="n"/>
      <c r="T209" s="328">
        <f>Q209*R209</f>
        <v/>
      </c>
    </row>
    <row r="210" ht="18.75" customHeight="1" s="671">
      <c r="A210" s="72" t="n"/>
      <c r="B210" s="448" t="n"/>
      <c r="C210" s="448" t="n"/>
      <c r="D210" s="449" t="n"/>
      <c r="E210" s="448" t="n"/>
      <c r="F210" s="448" t="n"/>
      <c r="G210" s="448" t="n"/>
      <c r="H210" s="300" t="n"/>
      <c r="I210" s="299" t="n"/>
      <c r="J210" s="666" t="inlineStr">
        <is>
          <t>Strike 3</t>
        </is>
      </c>
      <c r="K210" s="654" t="n"/>
      <c r="L210" s="662">
        <f>I194</f>
        <v/>
      </c>
      <c r="N210" s="663" t="n">
        <v>0</v>
      </c>
      <c r="P210" s="462" t="n"/>
      <c r="Q210" s="663">
        <f>Q194-N210</f>
        <v/>
      </c>
      <c r="R210" s="327">
        <f>L210-market_price</f>
        <v/>
      </c>
      <c r="S210" s="750" t="n"/>
      <c r="T210" s="328">
        <f>Q210*R210</f>
        <v/>
      </c>
    </row>
    <row r="211" ht="18.75" customHeight="1" s="671">
      <c r="A211" s="72" t="n"/>
      <c r="B211" s="448" t="n"/>
      <c r="C211" s="448" t="n"/>
      <c r="D211" s="449" t="n"/>
      <c r="E211" s="448" t="n"/>
      <c r="F211" s="448" t="n"/>
      <c r="G211" s="448" t="n"/>
      <c r="H211" s="300" t="n"/>
      <c r="I211" s="71" t="inlineStr">
        <is>
          <t>Sub Total</t>
        </is>
      </c>
      <c r="J211" s="654" t="n"/>
      <c r="K211" s="654" t="n"/>
      <c r="L211" s="666" t="n"/>
      <c r="M211" s="654" t="n"/>
      <c r="N211" s="667">
        <f>SUM(N208:O210)</f>
        <v/>
      </c>
      <c r="O211" s="625" t="n"/>
      <c r="P211" s="462" t="n"/>
      <c r="Q211" s="667">
        <f>SUM(Q208:Q210)</f>
        <v/>
      </c>
      <c r="R211" s="788" t="n"/>
      <c r="S211" s="788" t="n"/>
      <c r="T211" s="333">
        <f>SUM(T208:T210)</f>
        <v/>
      </c>
    </row>
    <row r="212" ht="18.75" customHeight="1" s="671">
      <c r="A212" s="72" t="n"/>
      <c r="B212" s="448" t="n"/>
      <c r="C212" s="448" t="n"/>
      <c r="D212" s="449" t="n"/>
      <c r="E212" s="448" t="n"/>
      <c r="F212" s="448" t="n"/>
      <c r="G212" s="448" t="n"/>
      <c r="H212" s="299" t="n"/>
      <c r="I212" s="300" t="n"/>
      <c r="J212" s="299" t="n"/>
      <c r="K212" s="72" t="n"/>
      <c r="L212" s="71" t="n"/>
      <c r="M212" s="71" t="n"/>
      <c r="N212" s="666" t="n"/>
      <c r="O212" s="666" t="n"/>
      <c r="P212" s="462" t="n"/>
      <c r="Q212" s="663" t="n"/>
      <c r="R212" s="750" t="n"/>
      <c r="S212" s="750" t="n"/>
      <c r="T212" s="750" t="n"/>
    </row>
    <row r="213" ht="18.75" customHeight="1" s="671">
      <c r="A213" s="72" t="n"/>
      <c r="B213" s="448" t="n"/>
      <c r="C213" s="448" t="n"/>
      <c r="D213" s="449" t="n"/>
      <c r="E213" s="448" t="n"/>
      <c r="F213" s="448" t="n"/>
      <c r="G213" s="448" t="n"/>
      <c r="H213" s="116" t="inlineStr">
        <is>
          <t>Total collateral needed</t>
        </is>
      </c>
      <c r="I213" s="331" t="n"/>
      <c r="J213" s="481" t="n"/>
      <c r="K213" s="72" t="n"/>
      <c r="L213" s="654" t="n"/>
      <c r="M213" s="71" t="n"/>
      <c r="N213" s="666" t="n"/>
      <c r="O213" s="666" t="n"/>
      <c r="P213" s="462" t="n"/>
      <c r="Q213" s="663" t="n"/>
      <c r="R213" s="750" t="n"/>
      <c r="S213" s="750" t="n"/>
      <c r="T213" s="323">
        <f>T204+T211+T188</f>
        <v/>
      </c>
    </row>
    <row r="214" ht="18.75" customHeight="1" s="671">
      <c r="A214" s="72" t="n"/>
      <c r="B214" s="448" t="n"/>
      <c r="C214" s="448" t="n"/>
      <c r="D214" s="449" t="n"/>
      <c r="E214" s="448" t="n"/>
      <c r="F214" s="448" t="n"/>
      <c r="G214" s="448" t="n"/>
      <c r="H214" s="71" t="n"/>
      <c r="I214" s="300" t="n"/>
      <c r="J214" s="654" t="n"/>
      <c r="K214" s="72" t="n"/>
      <c r="L214" s="654" t="n"/>
      <c r="M214" s="71" t="n"/>
      <c r="N214" s="666" t="n"/>
      <c r="O214" s="666" t="n"/>
      <c r="P214" s="462" t="n"/>
      <c r="Q214" s="663" t="n"/>
      <c r="R214" s="663" t="inlineStr">
        <is>
          <t>USD Rate 7.75</t>
        </is>
      </c>
      <c r="S214" s="750" t="n"/>
      <c r="T214" s="332">
        <f>T213/7.75</f>
        <v/>
      </c>
    </row>
    <row r="217" ht="15.75" customHeight="1" s="671">
      <c r="A217" s="76" t="inlineStr">
        <is>
          <t>MORGAN STANLEY Titan No. 2</t>
        </is>
      </c>
      <c r="B217" s="75" t="n"/>
      <c r="C217" s="447" t="n"/>
      <c r="D217" s="447" t="n"/>
      <c r="E217" s="681" t="n"/>
      <c r="F217" s="681" t="n"/>
      <c r="G217" s="681" t="n"/>
      <c r="H217" s="285" t="n"/>
      <c r="I217" s="285" t="n"/>
      <c r="J217" s="286" t="n"/>
      <c r="K217" s="298" t="n"/>
      <c r="L217" s="298" t="n"/>
      <c r="M217" s="298" t="n"/>
      <c r="N217" s="298" t="n"/>
      <c r="O217" s="298" t="n"/>
      <c r="P217" s="298" t="n"/>
      <c r="Q217" s="298" t="n"/>
      <c r="R217" s="298" t="n"/>
    </row>
    <row r="218" ht="9.75" customHeight="1" s="671">
      <c r="A218" s="72" t="n"/>
      <c r="B218" s="448" t="n"/>
      <c r="C218" s="448" t="n"/>
      <c r="D218" s="449" t="n"/>
      <c r="E218" s="448" t="inlineStr">
        <is>
          <t>`</t>
        </is>
      </c>
      <c r="F218" s="448" t="n"/>
      <c r="G218" s="448" t="n"/>
      <c r="H218" s="299" t="n"/>
      <c r="I218" s="300" t="inlineStr">
        <is>
          <t>`</t>
        </is>
      </c>
      <c r="J218" s="299" t="n"/>
      <c r="K218" s="298" t="n"/>
      <c r="L218" s="298" t="n"/>
      <c r="M218" s="298" t="n"/>
      <c r="N218" s="298" t="n"/>
      <c r="O218" s="298" t="n"/>
      <c r="P218" s="298" t="n"/>
      <c r="Q218" s="298" t="n"/>
      <c r="R218" s="298" t="n"/>
    </row>
    <row r="219" ht="15" customFormat="1" customHeight="1" s="642">
      <c r="A219" s="646" t="n"/>
      <c r="B219" s="640" t="inlineStr">
        <is>
          <t>ACCUMULATOR</t>
        </is>
      </c>
      <c r="C219" s="631" t="inlineStr">
        <is>
          <t>CODE</t>
        </is>
      </c>
      <c r="D219" s="631" t="n"/>
      <c r="E219" s="624" t="inlineStr">
        <is>
          <t>SHARES / DAY</t>
        </is>
      </c>
      <c r="F219" s="625" t="n"/>
      <c r="G219" s="626" t="n"/>
      <c r="H219" s="633" t="inlineStr">
        <is>
          <t>SPOT PRICE</t>
        </is>
      </c>
      <c r="I219" s="633" t="inlineStr">
        <is>
          <t>STRIKE PRICE</t>
        </is>
      </c>
      <c r="J219" s="633" t="inlineStr">
        <is>
          <t>K/O PRICE</t>
        </is>
      </c>
      <c r="K219" s="637" t="inlineStr">
        <is>
          <t>LIFE TERM OF CONTRACT</t>
        </is>
      </c>
      <c r="L219" s="638" t="n"/>
      <c r="M219" s="639" t="n"/>
      <c r="N219" s="622" t="inlineStr">
        <is>
          <t>START DATE</t>
        </is>
      </c>
      <c r="O219" s="622" t="inlineStr">
        <is>
          <t>END DATE</t>
        </is>
      </c>
      <c r="P219" s="682" t="n"/>
      <c r="Q219" s="632" t="inlineStr">
        <is>
          <t>Estimated Total Shares Remaining</t>
        </is>
      </c>
      <c r="R219" s="683" t="inlineStr">
        <is>
          <t>Estimated Amount</t>
        </is>
      </c>
      <c r="S219" s="682" t="n"/>
      <c r="T219" s="683" t="inlineStr">
        <is>
          <t>Estimated Amount per month</t>
        </is>
      </c>
      <c r="V219" s="678" t="n"/>
      <c r="W219" s="678" t="n"/>
      <c r="X219" s="155" t="n"/>
      <c r="Y219" s="154" t="inlineStr">
        <is>
          <t>Month 1</t>
        </is>
      </c>
      <c r="Z219" s="154" t="inlineStr">
        <is>
          <t>Month 2</t>
        </is>
      </c>
    </row>
    <row r="220" ht="20.45" customFormat="1" customHeight="1" s="642">
      <c r="A220" s="646" t="n"/>
      <c r="B220" s="623" t="n"/>
      <c r="C220" s="623" t="n"/>
      <c r="D220" s="390" t="inlineStr">
        <is>
          <t>CB1</t>
        </is>
      </c>
      <c r="E220" s="627" t="n"/>
      <c r="F220" s="628" t="n"/>
      <c r="G220" s="629" t="n"/>
      <c r="H220" s="623" t="n"/>
      <c r="I220" s="623" t="n"/>
      <c r="J220" s="623" t="n"/>
      <c r="K220" s="637" t="inlineStr">
        <is>
          <t>RCVD mos.</t>
        </is>
      </c>
      <c r="L220" s="637" t="inlineStr">
        <is>
          <t>REM mos.</t>
        </is>
      </c>
      <c r="M220" s="637" t="inlineStr">
        <is>
          <t>Total mos.</t>
        </is>
      </c>
      <c r="N220" s="623" t="n"/>
      <c r="O220" s="623" t="n"/>
      <c r="P220" s="682" t="n"/>
      <c r="Q220" s="623" t="n"/>
      <c r="R220" s="623" t="n"/>
      <c r="S220" s="682" t="n"/>
      <c r="T220" s="623" t="n"/>
      <c r="U220" s="642" t="inlineStr">
        <is>
          <t>Price</t>
        </is>
      </c>
      <c r="V220" s="678" t="inlineStr">
        <is>
          <t>NOW</t>
        </is>
      </c>
      <c r="W220" s="678" t="inlineStr">
        <is>
          <t>NEXT</t>
        </is>
      </c>
      <c r="X220" s="155" t="inlineStr">
        <is>
          <t>sd</t>
        </is>
      </c>
      <c r="Y220" s="154" t="inlineStr">
        <is>
          <t>hkd</t>
        </is>
      </c>
      <c r="Z220" s="154" t="inlineStr">
        <is>
          <t>hkd</t>
        </is>
      </c>
    </row>
    <row r="221" customFormat="1" s="642">
      <c r="A221" s="158">
        <f>INDIRECT(ADDRESS(ROW()-1,COLUMN()))+1</f>
        <v/>
      </c>
      <c r="B221" s="416" t="inlineStr">
        <is>
          <t>Great Wall Motor</t>
        </is>
      </c>
      <c r="C221" s="148" t="inlineStr">
        <is>
          <t>2333</t>
        </is>
      </c>
      <c r="D221" s="149" t="inlineStr">
        <is>
          <t>GREATWALL - 30</t>
        </is>
      </c>
      <c r="E221" s="122" t="n">
        <v>7000</v>
      </c>
      <c r="F221" s="277" t="inlineStr">
        <is>
          <t>/</t>
        </is>
      </c>
      <c r="G221" s="119" t="n">
        <v>14000</v>
      </c>
      <c r="H221" s="275" t="n">
        <v>9.157500000000001</v>
      </c>
      <c r="I221" s="276" t="n">
        <v>7.6905</v>
      </c>
      <c r="J221" s="275" t="n">
        <v>10.0733</v>
      </c>
      <c r="K221" s="47" t="n">
        <v>0</v>
      </c>
      <c r="L221" s="152">
        <f>M221-K221</f>
        <v/>
      </c>
      <c r="M221" s="152" t="n">
        <v>184</v>
      </c>
      <c r="N221" s="131" t="n">
        <v>44076</v>
      </c>
      <c r="O221" s="131" t="n">
        <v>44348</v>
      </c>
      <c r="P221" s="694" t="n"/>
      <c r="Q221" s="153">
        <f>E221*L221*X221</f>
        <v/>
      </c>
      <c r="R221" s="784">
        <f>E221*I221*L221*X221</f>
        <v/>
      </c>
      <c r="T221" s="784">
        <f>E221*I221*20*X221</f>
        <v/>
      </c>
      <c r="U221" s="0" t="n">
        <v>9.119999999999999</v>
      </c>
      <c r="V221" s="282" t="n">
        <v>0</v>
      </c>
      <c r="W221" s="282" t="n">
        <v>22</v>
      </c>
      <c r="X221" s="0" t="n">
        <v>1</v>
      </c>
      <c r="Y221" s="154">
        <f>X221*V221*E221*I221</f>
        <v/>
      </c>
      <c r="Z221" s="154">
        <f>X221*W221*E221*I221</f>
        <v/>
      </c>
      <c r="AB221" s="642">
        <f>MONTH(O221)</f>
        <v/>
      </c>
      <c r="AC221" s="642">
        <f>YEAR(O221)</f>
        <v/>
      </c>
      <c r="AD221" s="642">
        <f>AB221&amp;"-"&amp;AC221&amp;"-"&amp;C221</f>
        <v/>
      </c>
      <c r="AE221" s="642">
        <f>C221</f>
        <v/>
      </c>
      <c r="AF221" s="685">
        <f>MATCH(AE221,ALLM!C$2:C$13,)</f>
        <v/>
      </c>
    </row>
    <row r="222" ht="15.6" customFormat="1" customHeight="1" s="642">
      <c r="A222" s="64" t="n"/>
      <c r="B222" s="388" t="n"/>
      <c r="C222" s="388" t="n"/>
      <c r="D222" s="388" t="n"/>
      <c r="E222" s="388" t="n"/>
      <c r="F222" s="388" t="n"/>
      <c r="G222" s="388" t="n"/>
      <c r="H222" s="247" t="n"/>
      <c r="I222" s="248" t="n"/>
      <c r="J222" s="247" t="n"/>
      <c r="K222" s="64" t="n"/>
      <c r="L222" s="646" t="n"/>
      <c r="M222" s="646" t="n"/>
      <c r="N222" s="394" t="n"/>
      <c r="O222" s="394" t="n"/>
      <c r="V222" s="678" t="n"/>
      <c r="W222" s="678" t="n"/>
      <c r="X222" s="155" t="n"/>
      <c r="Y222" s="154" t="n"/>
      <c r="Z222" s="154" t="n"/>
    </row>
    <row r="223" ht="15.6" customFormat="1" customHeight="1" s="353">
      <c r="A223" s="66" t="n"/>
      <c r="B223" s="395" t="n"/>
      <c r="C223" s="395" t="n"/>
      <c r="D223" s="395" t="n"/>
      <c r="E223" s="395" t="n"/>
      <c r="F223" s="395" t="n"/>
      <c r="G223" s="395" t="n"/>
      <c r="H223" s="251" t="n"/>
      <c r="I223" s="252" t="n"/>
      <c r="J223" s="251" t="n"/>
      <c r="K223" s="66" t="n"/>
      <c r="L223" s="54" t="n"/>
      <c r="M223" s="54" t="n"/>
      <c r="N223" s="394" t="n"/>
      <c r="O223" s="394" t="inlineStr">
        <is>
          <t>Total</t>
        </is>
      </c>
      <c r="P223" s="686" t="n"/>
      <c r="Q223" s="44">
        <f>SUM(Q220:Q222)</f>
        <v/>
      </c>
      <c r="R223" s="686">
        <f>SUM(R220:R222)</f>
        <v/>
      </c>
      <c r="S223" s="686" t="n"/>
      <c r="T223" s="686">
        <f>SUM(T220:T222)</f>
        <v/>
      </c>
      <c r="V223" s="687" t="n"/>
      <c r="W223" s="687" t="n"/>
      <c r="X223" s="102" t="n"/>
      <c r="Y223" s="43" t="n"/>
      <c r="Z223" s="43" t="n"/>
    </row>
    <row r="224" ht="15.6" customFormat="1" customHeight="1" s="353">
      <c r="A224" s="66" t="n"/>
      <c r="B224" s="395" t="n"/>
      <c r="C224" s="395" t="n"/>
      <c r="D224" s="395" t="n"/>
      <c r="E224" s="395" t="n"/>
      <c r="F224" s="395" t="n"/>
      <c r="G224" s="395" t="n"/>
      <c r="H224" s="251" t="n"/>
      <c r="I224" s="252" t="n"/>
      <c r="J224" s="251" t="n"/>
      <c r="K224" s="66" t="n"/>
      <c r="L224" s="54" t="n"/>
      <c r="M224" s="54" t="n"/>
      <c r="N224" s="394" t="n"/>
      <c r="O224" s="394" t="n"/>
      <c r="P224" s="686" t="n"/>
      <c r="Q224" s="44" t="n"/>
      <c r="R224" s="688" t="inlineStr">
        <is>
          <t>HKD</t>
        </is>
      </c>
      <c r="S224" s="688" t="n"/>
      <c r="T224" s="688" t="inlineStr">
        <is>
          <t>HKD</t>
        </is>
      </c>
      <c r="V224" s="687" t="n"/>
      <c r="W224" s="687" t="n"/>
      <c r="X224" s="102" t="n"/>
      <c r="Y224" s="43" t="n"/>
      <c r="Z224" s="43" t="n"/>
    </row>
    <row r="225" ht="15.6" customFormat="1" customHeight="1" s="353">
      <c r="A225" s="66" t="n"/>
      <c r="B225" s="395" t="n"/>
      <c r="C225" s="395" t="n"/>
      <c r="D225" s="395" t="n"/>
      <c r="E225" s="395" t="n"/>
      <c r="F225" s="395" t="n"/>
      <c r="G225" s="395" t="n"/>
      <c r="H225" s="251" t="n"/>
      <c r="I225" s="252" t="n"/>
      <c r="J225" s="251" t="n"/>
      <c r="K225" s="66" t="n"/>
      <c r="L225" s="54" t="n"/>
      <c r="M225" s="54" t="n"/>
      <c r="N225" s="394" t="n"/>
      <c r="O225" s="394" t="n"/>
      <c r="P225" s="686" t="n"/>
      <c r="Q225" s="44" t="n"/>
      <c r="R225" s="95" t="n"/>
      <c r="S225" s="686" t="n"/>
      <c r="T225" s="95" t="n"/>
      <c r="V225" s="687" t="n"/>
      <c r="W225" s="687" t="n"/>
      <c r="X225" s="102" t="n"/>
      <c r="Y225" s="43" t="n"/>
      <c r="Z225" s="43" t="n"/>
    </row>
    <row r="226" ht="18.75" customHeight="1" s="671">
      <c r="A226" s="72" t="n"/>
      <c r="B226" s="448" t="n"/>
      <c r="C226" s="448" t="n"/>
      <c r="D226" s="449" t="n"/>
      <c r="E226" s="448" t="n"/>
      <c r="F226" s="448" t="n"/>
      <c r="G226" s="448" t="n"/>
      <c r="H226" s="299" t="n"/>
      <c r="I226" s="300" t="n"/>
      <c r="J226" s="299" t="n"/>
      <c r="K226" s="72" t="n"/>
      <c r="L226" s="71" t="n"/>
      <c r="M226" s="71" t="n"/>
      <c r="N226" s="666" t="n"/>
      <c r="P226" s="462" t="n"/>
      <c r="R226" s="663" t="inlineStr">
        <is>
          <t>Estimated Amount</t>
        </is>
      </c>
      <c r="S226" s="109" t="n">
        <v>0.3</v>
      </c>
      <c r="T226" s="663" t="inlineStr">
        <is>
          <t>Margin requirement</t>
        </is>
      </c>
    </row>
    <row r="227" ht="18.75" customHeight="1" s="671">
      <c r="A227" s="72" t="n"/>
      <c r="B227" s="448" t="n"/>
      <c r="C227" s="448" t="n"/>
      <c r="D227" s="449" t="n"/>
      <c r="E227" s="448" t="n"/>
      <c r="F227" s="448" t="n"/>
      <c r="G227" s="448" t="n"/>
      <c r="H227" s="116" t="inlineStr">
        <is>
          <t>Collateral 1: 30% x Estimated Amount Total</t>
        </is>
      </c>
      <c r="I227" s="481" t="n"/>
      <c r="J227" s="117" t="n"/>
      <c r="K227" s="481" t="n"/>
      <c r="L227" s="481" t="n"/>
      <c r="M227" s="71" t="n"/>
      <c r="N227" s="666" t="n"/>
      <c r="O227" s="666" t="n"/>
      <c r="P227" s="462" t="n"/>
      <c r="R227" s="663">
        <f>R223</f>
        <v/>
      </c>
      <c r="S227" s="750" t="n"/>
      <c r="T227" s="323">
        <f>-R227*S226</f>
        <v/>
      </c>
    </row>
    <row r="228" ht="18.75" customHeight="1" s="671">
      <c r="A228" s="72" t="n"/>
      <c r="B228" s="448" t="n"/>
      <c r="C228" s="448" t="n"/>
      <c r="D228" s="449" t="n"/>
      <c r="E228" s="448" t="n"/>
      <c r="F228" s="448" t="n"/>
      <c r="G228" s="448" t="n"/>
      <c r="H228" s="71" t="n"/>
      <c r="I228" s="654" t="n"/>
      <c r="J228" s="72" t="n"/>
      <c r="K228" s="654" t="n"/>
      <c r="L228" s="654" t="n"/>
      <c r="M228" s="71" t="n"/>
      <c r="N228" s="666" t="n"/>
      <c r="O228" s="666" t="n"/>
      <c r="P228" s="462" t="n"/>
      <c r="Q228" s="663" t="n"/>
      <c r="R228" s="482" t="n"/>
      <c r="S228" s="750" t="n"/>
      <c r="T228" s="750" t="n"/>
    </row>
    <row r="229" ht="15" customHeight="1" s="671">
      <c r="B229" s="640" t="inlineStr">
        <is>
          <t>DECUMULATOR</t>
        </is>
      </c>
      <c r="C229" s="631" t="inlineStr">
        <is>
          <t>CODE</t>
        </is>
      </c>
      <c r="D229" s="631" t="n"/>
      <c r="E229" s="624" t="inlineStr">
        <is>
          <t>SHARES / DAY</t>
        </is>
      </c>
      <c r="F229" s="625" t="n"/>
      <c r="G229" s="626" t="n"/>
      <c r="H229" s="633" t="inlineStr">
        <is>
          <t>SPOT PRICE</t>
        </is>
      </c>
      <c r="I229" s="633" t="inlineStr">
        <is>
          <t>STRIKE PRICE</t>
        </is>
      </c>
      <c r="J229" s="633" t="inlineStr">
        <is>
          <t>K/O PRICE</t>
        </is>
      </c>
      <c r="K229" s="637" t="inlineStr">
        <is>
          <t>LIFE TERM OF CONTRACT</t>
        </is>
      </c>
      <c r="L229" s="638" t="n"/>
      <c r="M229" s="639" t="n"/>
      <c r="N229" s="622" t="inlineStr">
        <is>
          <t>START DATE</t>
        </is>
      </c>
      <c r="O229" s="622" t="inlineStr">
        <is>
          <t>END DATE</t>
        </is>
      </c>
      <c r="P229" s="682" t="n"/>
      <c r="Q229" s="632" t="inlineStr">
        <is>
          <t>Estimated  Shares to sell</t>
        </is>
      </c>
      <c r="R229" s="683" t="inlineStr">
        <is>
          <t>Estimated Amount</t>
        </is>
      </c>
      <c r="S229" s="682" t="n"/>
      <c r="T229" s="683" t="inlineStr">
        <is>
          <t>Estimated Amount per month</t>
        </is>
      </c>
      <c r="Y229" s="173" t="inlineStr">
        <is>
          <t>july</t>
        </is>
      </c>
      <c r="Z229" s="173" t="inlineStr">
        <is>
          <t>aug</t>
        </is>
      </c>
      <c r="AH229" s="163">
        <f>SUM(#REF!)</f>
        <v/>
      </c>
      <c r="AI229" s="163">
        <f>SUM(#REF!)</f>
        <v/>
      </c>
    </row>
    <row r="230" ht="22.5" customHeight="1" s="671">
      <c r="B230" s="623" t="n"/>
      <c r="C230" s="623" t="n"/>
      <c r="D230" s="390" t="inlineStr">
        <is>
          <t>CB1</t>
        </is>
      </c>
      <c r="E230" s="627" t="n"/>
      <c r="F230" s="628" t="n"/>
      <c r="G230" s="629" t="n"/>
      <c r="H230" s="623" t="n"/>
      <c r="I230" s="623" t="n"/>
      <c r="J230" s="623" t="n"/>
      <c r="K230" s="637" t="inlineStr">
        <is>
          <t>RCVD mos.</t>
        </is>
      </c>
      <c r="L230" s="637" t="inlineStr">
        <is>
          <t>REM mos.</t>
        </is>
      </c>
      <c r="M230" s="637" t="inlineStr">
        <is>
          <t>Total mos.</t>
        </is>
      </c>
      <c r="N230" s="623" t="n"/>
      <c r="O230" s="623" t="n"/>
      <c r="P230" s="682" t="n"/>
      <c r="Q230" s="623" t="n"/>
      <c r="R230" s="623" t="n"/>
      <c r="S230" s="682" t="n"/>
      <c r="T230" s="623" t="n"/>
      <c r="U230" s="654" t="inlineStr">
        <is>
          <t>Closing</t>
        </is>
      </c>
      <c r="V230" s="652" t="inlineStr">
        <is>
          <t>Current</t>
        </is>
      </c>
      <c r="W230" s="652" t="inlineStr">
        <is>
          <t>Next</t>
        </is>
      </c>
      <c r="X230" s="652" t="inlineStr">
        <is>
          <t>sd</t>
        </is>
      </c>
      <c r="Y230" s="173" t="inlineStr">
        <is>
          <t>hkd</t>
        </is>
      </c>
      <c r="Z230" s="173" t="inlineStr">
        <is>
          <t>hkd</t>
        </is>
      </c>
      <c r="AH230" s="654" t="inlineStr">
        <is>
          <t>Double</t>
        </is>
      </c>
      <c r="AI230" s="654" t="inlineStr">
        <is>
          <t>Single</t>
        </is>
      </c>
    </row>
    <row r="231">
      <c r="A231" s="147">
        <f>INDIRECT(ADDRESS(ROW()-1,COLUMN()))+1</f>
        <v/>
      </c>
      <c r="B231" s="496" t="inlineStr">
        <is>
          <t>Great Wall Motor</t>
        </is>
      </c>
      <c r="C231" s="159" t="inlineStr">
        <is>
          <t>2333</t>
        </is>
      </c>
      <c r="D231" s="160" t="inlineStr">
        <is>
          <t>GREATWALL - 40</t>
        </is>
      </c>
      <c r="E231" s="127" t="n">
        <v>5000</v>
      </c>
      <c r="F231" s="73" t="inlineStr">
        <is>
          <t>/</t>
        </is>
      </c>
      <c r="G231" s="128" t="n">
        <v>10000</v>
      </c>
      <c r="H231" s="324" t="n">
        <v>4.7574</v>
      </c>
      <c r="I231" s="325" t="n">
        <v>6.1451</v>
      </c>
      <c r="J231" s="324" t="n">
        <v>4.5195</v>
      </c>
      <c r="K231" s="161" t="n">
        <v>103</v>
      </c>
      <c r="L231" s="171">
        <f>M231-K231</f>
        <v/>
      </c>
      <c r="M231" s="171" t="n">
        <v>248</v>
      </c>
      <c r="N231" s="172" t="n">
        <v>43916</v>
      </c>
      <c r="O231" s="172" t="n">
        <v>44280</v>
      </c>
      <c r="P231" s="682" t="n"/>
      <c r="Q231" s="162">
        <f>E231*L231*X231</f>
        <v/>
      </c>
      <c r="R231" s="785">
        <f>E231*I231*L231*X231</f>
        <v/>
      </c>
      <c r="S231" s="682" t="n"/>
      <c r="T231" s="785">
        <f>E231*I231*20*X231</f>
        <v/>
      </c>
      <c r="U231" s="0" t="n">
        <v>9.119999999999999</v>
      </c>
      <c r="V231" s="304" t="n">
        <v>23</v>
      </c>
      <c r="W231" s="304" t="n">
        <v>42</v>
      </c>
      <c r="X231" s="678" t="n">
        <v>2</v>
      </c>
      <c r="Y231" s="173">
        <f>X231*V231*E231*I231</f>
        <v/>
      </c>
      <c r="Z231" s="173">
        <f>X231*W231*E231*I231</f>
        <v/>
      </c>
      <c r="AB231" s="163">
        <f>MONTH(O231)</f>
        <v/>
      </c>
      <c r="AC231" s="654">
        <f>YEAR(O231)</f>
        <v/>
      </c>
      <c r="AD231" s="654">
        <f>AB231&amp;"-"&amp;AC231&amp;"-"&amp;C231</f>
        <v/>
      </c>
      <c r="AE231" s="654">
        <f>C231</f>
        <v/>
      </c>
      <c r="AF231" s="685">
        <f>MATCH(AE231,ALLM!$C$34:$C$43,)</f>
        <v/>
      </c>
      <c r="AH231" s="163">
        <f>IF(C231="2333",IF(X231=2,1,0),0)</f>
        <v/>
      </c>
      <c r="AI231" s="163">
        <f>IF(C231="2333",IF(X231=1,1,0),0)</f>
        <v/>
      </c>
    </row>
    <row r="232">
      <c r="A232" s="147">
        <f>INDIRECT(ADDRESS(ROW()-1,COLUMN()))+1</f>
        <v/>
      </c>
      <c r="B232" s="496" t="inlineStr">
        <is>
          <t>Great Wall Motor</t>
        </is>
      </c>
      <c r="C232" s="159" t="inlineStr">
        <is>
          <t>2333</t>
        </is>
      </c>
      <c r="D232" s="160" t="inlineStr">
        <is>
          <t>GREATWALL - 41</t>
        </is>
      </c>
      <c r="E232" s="127" t="n">
        <v>5000</v>
      </c>
      <c r="F232" s="73" t="inlineStr">
        <is>
          <t>/</t>
        </is>
      </c>
      <c r="G232" s="128" t="n">
        <v>10000</v>
      </c>
      <c r="H232" s="324" t="n">
        <v>4.686</v>
      </c>
      <c r="I232" s="325" t="n">
        <v>5.8163</v>
      </c>
      <c r="J232" s="324" t="n">
        <v>4.2174</v>
      </c>
      <c r="K232" s="161" t="n">
        <v>103</v>
      </c>
      <c r="L232" s="171">
        <f>M232-K232</f>
        <v/>
      </c>
      <c r="M232" s="171" t="n">
        <v>248</v>
      </c>
      <c r="N232" s="172" t="n">
        <v>43917</v>
      </c>
      <c r="O232" s="172" t="n">
        <v>44281</v>
      </c>
      <c r="P232" s="682" t="n"/>
      <c r="Q232" s="162">
        <f>E232*L232*X232</f>
        <v/>
      </c>
      <c r="R232" s="785">
        <f>E232*I232*L232*X232</f>
        <v/>
      </c>
      <c r="S232" s="682" t="n"/>
      <c r="T232" s="785">
        <f>E232*I232*20*X232</f>
        <v/>
      </c>
      <c r="U232" s="0" t="n">
        <v>9.119999999999999</v>
      </c>
      <c r="V232" s="304" t="n">
        <v>23</v>
      </c>
      <c r="W232" s="304" t="n">
        <v>41</v>
      </c>
      <c r="X232" s="678" t="n">
        <v>2</v>
      </c>
      <c r="Y232" s="173">
        <f>X232*V232*E232*I232</f>
        <v/>
      </c>
      <c r="Z232" s="173">
        <f>X232*W232*E232*I232</f>
        <v/>
      </c>
      <c r="AB232" s="163">
        <f>MONTH(O232)</f>
        <v/>
      </c>
      <c r="AC232" s="654">
        <f>YEAR(O232)</f>
        <v/>
      </c>
      <c r="AD232" s="654">
        <f>AB232&amp;"-"&amp;AC232&amp;"-"&amp;C232</f>
        <v/>
      </c>
      <c r="AE232" s="654">
        <f>C232</f>
        <v/>
      </c>
      <c r="AF232" s="685">
        <f>MATCH(AE232,ALLM!$C$34:$C$43,)</f>
        <v/>
      </c>
      <c r="AH232" s="163">
        <f>IF(C232="2333",IF(X232=2,1,0),0)</f>
        <v/>
      </c>
      <c r="AI232" s="163">
        <f>IF(C232="2333",IF(X232=1,1,0),0)</f>
        <v/>
      </c>
    </row>
    <row r="233">
      <c r="A233" s="147">
        <f>INDIRECT(ADDRESS(ROW()-1,COLUMN()))+1</f>
        <v/>
      </c>
      <c r="B233" s="496" t="inlineStr">
        <is>
          <t>Great Wall Motor</t>
        </is>
      </c>
      <c r="C233" s="159" t="inlineStr">
        <is>
          <t>2333</t>
        </is>
      </c>
      <c r="D233" s="160" t="inlineStr">
        <is>
          <t>GREATWALL - 42</t>
        </is>
      </c>
      <c r="E233" s="127" t="n">
        <v>6000</v>
      </c>
      <c r="F233" s="73" t="inlineStr">
        <is>
          <t>/</t>
        </is>
      </c>
      <c r="G233" s="128" t="n">
        <v>12000</v>
      </c>
      <c r="H233" s="324" t="n">
        <v>4.686</v>
      </c>
      <c r="I233" s="325" t="n">
        <v>5.9522</v>
      </c>
      <c r="J233" s="324" t="n">
        <v>4.4517</v>
      </c>
      <c r="K233" s="161" t="n">
        <v>103</v>
      </c>
      <c r="L233" s="171">
        <f>M233-K233</f>
        <v/>
      </c>
      <c r="M233" s="171" t="n">
        <v>248</v>
      </c>
      <c r="N233" s="172" t="n">
        <v>43917</v>
      </c>
      <c r="O233" s="172" t="n">
        <v>44281</v>
      </c>
      <c r="P233" s="682" t="n"/>
      <c r="Q233" s="162">
        <f>E233*L233*X233</f>
        <v/>
      </c>
      <c r="R233" s="785">
        <f>E233*I233*L233*X233</f>
        <v/>
      </c>
      <c r="S233" s="682" t="n"/>
      <c r="T233" s="785">
        <f>E233*I233*20*X233</f>
        <v/>
      </c>
      <c r="U233" s="0" t="n">
        <v>9.119999999999999</v>
      </c>
      <c r="V233" s="304" t="n">
        <v>23</v>
      </c>
      <c r="W233" s="304" t="n">
        <v>41</v>
      </c>
      <c r="X233" s="678" t="n">
        <v>2</v>
      </c>
      <c r="Y233" s="173">
        <f>X233*V233*E233*I233</f>
        <v/>
      </c>
      <c r="Z233" s="173">
        <f>X233*W233*E233*I233</f>
        <v/>
      </c>
      <c r="AB233" s="163">
        <f>MONTH(O233)</f>
        <v/>
      </c>
      <c r="AC233" s="654">
        <f>YEAR(O233)</f>
        <v/>
      </c>
      <c r="AD233" s="654">
        <f>AB233&amp;"-"&amp;AC233&amp;"-"&amp;C233</f>
        <v/>
      </c>
      <c r="AE233" s="654">
        <f>C233</f>
        <v/>
      </c>
      <c r="AF233" s="685">
        <f>MATCH(AE233,ALLM!$C$34:$C$43,)</f>
        <v/>
      </c>
      <c r="AH233" s="163">
        <f>IF(C233="2333",IF(X233=2,1,0),0)</f>
        <v/>
      </c>
      <c r="AI233" s="163">
        <f>IF(C233="2333",IF(X233=1,1,0),0)</f>
        <v/>
      </c>
    </row>
    <row r="234">
      <c r="A234" s="147">
        <f>INDIRECT(ADDRESS(ROW()-1,COLUMN()))+1</f>
        <v/>
      </c>
      <c r="B234" s="496" t="inlineStr">
        <is>
          <t>Great Wall Motor</t>
        </is>
      </c>
      <c r="C234" s="159" t="inlineStr">
        <is>
          <t>2333</t>
        </is>
      </c>
      <c r="D234" s="160" t="inlineStr">
        <is>
          <t>GREATWALL - 43</t>
        </is>
      </c>
      <c r="E234" s="127" t="n">
        <v>5000</v>
      </c>
      <c r="F234" s="73" t="inlineStr">
        <is>
          <t>/</t>
        </is>
      </c>
      <c r="G234" s="128" t="n">
        <v>10000</v>
      </c>
      <c r="H234" s="324" t="n">
        <v>4.7491</v>
      </c>
      <c r="I234" s="325" t="n">
        <v>5.8295</v>
      </c>
      <c r="J234" s="324" t="n">
        <v>4.5116</v>
      </c>
      <c r="K234" s="161" t="n">
        <v>103</v>
      </c>
      <c r="L234" s="171">
        <f>M234-K234</f>
        <v/>
      </c>
      <c r="M234" s="171" t="n">
        <v>248</v>
      </c>
      <c r="N234" s="172" t="n">
        <v>43920</v>
      </c>
      <c r="O234" s="172" t="n">
        <v>44284</v>
      </c>
      <c r="P234" s="682" t="n"/>
      <c r="Q234" s="162">
        <f>E234*L234*X234</f>
        <v/>
      </c>
      <c r="R234" s="785">
        <f>E234*I234*L234*X234</f>
        <v/>
      </c>
      <c r="S234" s="682" t="n"/>
      <c r="T234" s="785">
        <f>E234*I234*20*X234</f>
        <v/>
      </c>
      <c r="U234" s="0" t="n">
        <v>9.119999999999999</v>
      </c>
      <c r="V234" s="304" t="n">
        <v>22</v>
      </c>
      <c r="W234" s="304" t="n">
        <v>40</v>
      </c>
      <c r="X234" s="678" t="n">
        <v>2</v>
      </c>
      <c r="Y234" s="173">
        <f>X234*V234*E234*I234</f>
        <v/>
      </c>
      <c r="Z234" s="173">
        <f>X234*W234*E234*I234</f>
        <v/>
      </c>
      <c r="AB234" s="163">
        <f>MONTH(O234)</f>
        <v/>
      </c>
      <c r="AC234" s="654">
        <f>YEAR(O234)</f>
        <v/>
      </c>
      <c r="AD234" s="654">
        <f>AB234&amp;"-"&amp;AC234&amp;"-"&amp;C234</f>
        <v/>
      </c>
      <c r="AE234" s="654">
        <f>C234</f>
        <v/>
      </c>
      <c r="AF234" s="685">
        <f>MATCH(AE234,ALLM!$C$34:$C$43,)</f>
        <v/>
      </c>
      <c r="AH234" s="163">
        <f>IF(C234="2333",IF(X234=2,1,0),0)</f>
        <v/>
      </c>
      <c r="AI234" s="163">
        <f>IF(C234="2333",IF(X234=1,1,0),0)</f>
        <v/>
      </c>
    </row>
    <row r="235">
      <c r="A235" s="147">
        <f>INDIRECT(ADDRESS(ROW()-1,COLUMN()))+1</f>
        <v/>
      </c>
      <c r="B235" s="496" t="inlineStr">
        <is>
          <t>Great Wall Motor</t>
        </is>
      </c>
      <c r="C235" s="159" t="inlineStr">
        <is>
          <t>2333</t>
        </is>
      </c>
      <c r="D235" s="160" t="inlineStr">
        <is>
          <t>GREATWALL - 44</t>
        </is>
      </c>
      <c r="E235" s="127" t="n">
        <v>5000</v>
      </c>
      <c r="F235" s="73" t="inlineStr">
        <is>
          <t>/</t>
        </is>
      </c>
      <c r="G235" s="128" t="n">
        <v>10000</v>
      </c>
      <c r="H235" s="324" t="n">
        <v>4.9173</v>
      </c>
      <c r="I235" s="325" t="n">
        <v>6.2602</v>
      </c>
      <c r="J235" s="324" t="n">
        <v>4.6714</v>
      </c>
      <c r="K235" s="161" t="n">
        <v>99</v>
      </c>
      <c r="L235" s="171">
        <f>M235-K235</f>
        <v/>
      </c>
      <c r="M235" s="171" t="n">
        <v>248</v>
      </c>
      <c r="N235" s="172" t="n">
        <v>43922</v>
      </c>
      <c r="O235" s="172" t="n">
        <v>44286</v>
      </c>
      <c r="P235" s="682" t="n"/>
      <c r="Q235" s="162">
        <f>E235*L235*X235</f>
        <v/>
      </c>
      <c r="R235" s="785">
        <f>E235*I235*L235*X235</f>
        <v/>
      </c>
      <c r="S235" s="682" t="n"/>
      <c r="T235" s="785">
        <f>E235*I235*20*X235</f>
        <v/>
      </c>
      <c r="U235" s="0" t="n">
        <v>9.119999999999999</v>
      </c>
      <c r="V235" s="304" t="n">
        <v>23</v>
      </c>
      <c r="W235" s="304" t="n">
        <v>0</v>
      </c>
      <c r="X235" s="678" t="n">
        <v>2</v>
      </c>
      <c r="Y235" s="173">
        <f>X235*V235*E235*I235</f>
        <v/>
      </c>
      <c r="Z235" s="173">
        <f>X235*W235*E235*I235</f>
        <v/>
      </c>
      <c r="AB235" s="163">
        <f>MONTH(O235)</f>
        <v/>
      </c>
      <c r="AC235" s="654">
        <f>YEAR(O235)</f>
        <v/>
      </c>
      <c r="AD235" s="654">
        <f>AB235&amp;"-"&amp;AC235&amp;"-"&amp;C235</f>
        <v/>
      </c>
      <c r="AE235" s="654">
        <f>C235</f>
        <v/>
      </c>
      <c r="AF235" s="685">
        <f>MATCH(AE235,ALLM!$C$34:$C$43,)</f>
        <v/>
      </c>
      <c r="AH235" s="163">
        <f>IF(C235="2333",IF(X235=2,1,0),0)</f>
        <v/>
      </c>
      <c r="AI235" s="163">
        <f>IF(C235="2333",IF(X235=1,1,0),0)</f>
        <v/>
      </c>
    </row>
    <row r="236">
      <c r="A236" s="147">
        <f>INDIRECT(ADDRESS(ROW()-1,COLUMN()))+1</f>
        <v/>
      </c>
      <c r="B236" s="496" t="inlineStr">
        <is>
          <t>Great Wall Motor</t>
        </is>
      </c>
      <c r="C236" s="159" t="inlineStr">
        <is>
          <t>2333</t>
        </is>
      </c>
      <c r="D236" s="160" t="inlineStr">
        <is>
          <t>GREATWALL - 45</t>
        </is>
      </c>
      <c r="E236" s="127" t="n">
        <v>4000</v>
      </c>
      <c r="F236" s="73" t="inlineStr">
        <is>
          <t>/</t>
        </is>
      </c>
      <c r="G236" s="128" t="n">
        <v>8000</v>
      </c>
      <c r="H236" s="324" t="n">
        <v>4.6542</v>
      </c>
      <c r="I236" s="325" t="n">
        <v>5.8708</v>
      </c>
      <c r="J236" s="324" t="n">
        <v>4.4215</v>
      </c>
      <c r="K236" s="161" t="n">
        <v>103</v>
      </c>
      <c r="L236" s="171">
        <f>M236-K236</f>
        <v/>
      </c>
      <c r="M236" s="171" t="n">
        <v>247</v>
      </c>
      <c r="N236" s="172" t="n">
        <v>43927</v>
      </c>
      <c r="O236" s="172" t="n">
        <v>44293</v>
      </c>
      <c r="P236" s="682" t="n"/>
      <c r="Q236" s="162">
        <f>E236*L236*X236</f>
        <v/>
      </c>
      <c r="R236" s="785">
        <f>E236*I236*L236*X236</f>
        <v/>
      </c>
      <c r="S236" s="682" t="n"/>
      <c r="T236" s="785">
        <f>E236*I236*20*X236</f>
        <v/>
      </c>
      <c r="U236" s="0" t="n">
        <v>9.119999999999999</v>
      </c>
      <c r="V236" s="304" t="n">
        <v>0</v>
      </c>
      <c r="W236" s="304" t="n">
        <v>20</v>
      </c>
      <c r="X236" s="678" t="n">
        <v>2</v>
      </c>
      <c r="Y236" s="173">
        <f>X236*V236*E236*I236</f>
        <v/>
      </c>
      <c r="Z236" s="173">
        <f>X236*W236*E236*I236</f>
        <v/>
      </c>
      <c r="AB236" s="163">
        <f>MONTH(O236)</f>
        <v/>
      </c>
      <c r="AC236" s="654">
        <f>YEAR(O236)</f>
        <v/>
      </c>
      <c r="AD236" s="654">
        <f>AB236&amp;"-"&amp;AC236&amp;"-"&amp;C236</f>
        <v/>
      </c>
      <c r="AE236" s="654">
        <f>C236</f>
        <v/>
      </c>
      <c r="AF236" s="685">
        <f>MATCH(AE236,ALLM!$C$34:$C$43,)</f>
        <v/>
      </c>
      <c r="AH236" s="163">
        <f>IF(C236="2333",IF(X236=2,1,0),0)</f>
        <v/>
      </c>
      <c r="AI236" s="163">
        <f>IF(C236="2333",IF(X236=1,1,0),0)</f>
        <v/>
      </c>
    </row>
    <row r="237">
      <c r="A237" s="147">
        <f>INDIRECT(ADDRESS(ROW()-1,COLUMN()))+1</f>
        <v/>
      </c>
      <c r="B237" s="496" t="inlineStr">
        <is>
          <t>Great Wall Motor</t>
        </is>
      </c>
      <c r="C237" s="159" t="inlineStr">
        <is>
          <t>2333</t>
        </is>
      </c>
      <c r="D237" s="160" t="inlineStr">
        <is>
          <t>GREATWALL - 46</t>
        </is>
      </c>
      <c r="E237" s="127" t="n">
        <v>5000</v>
      </c>
      <c r="F237" s="73" t="inlineStr">
        <is>
          <t>/</t>
        </is>
      </c>
      <c r="G237" s="128" t="n">
        <v>10000</v>
      </c>
      <c r="H237" s="324" t="n">
        <v>4.7945</v>
      </c>
      <c r="I237" s="325" t="n">
        <v>5.8502</v>
      </c>
      <c r="J237" s="324" t="n">
        <v>4.3151</v>
      </c>
      <c r="K237" s="161" t="n">
        <v>82</v>
      </c>
      <c r="L237" s="171">
        <f>M237-K237</f>
        <v/>
      </c>
      <c r="M237" s="171" t="n">
        <v>246</v>
      </c>
      <c r="N237" s="172" t="n">
        <v>43928</v>
      </c>
      <c r="O237" s="172" t="n">
        <v>44293</v>
      </c>
      <c r="P237" s="682" t="n"/>
      <c r="Q237" s="162">
        <f>E237*L237*X237</f>
        <v/>
      </c>
      <c r="R237" s="785">
        <f>E237*I237*L237*X237</f>
        <v/>
      </c>
      <c r="S237" s="682" t="n"/>
      <c r="T237" s="785">
        <f>E237*I237*20*X237</f>
        <v/>
      </c>
      <c r="U237" s="0" t="n">
        <v>9.119999999999999</v>
      </c>
      <c r="V237" s="304" t="n">
        <v>22</v>
      </c>
      <c r="W237" s="304" t="n">
        <v>41</v>
      </c>
      <c r="X237" s="678" t="n">
        <v>2</v>
      </c>
      <c r="Y237" s="173">
        <f>X237*V237*E237*I237</f>
        <v/>
      </c>
      <c r="Z237" s="173">
        <f>X237*W237*E237*I237</f>
        <v/>
      </c>
      <c r="AB237" s="163">
        <f>MONTH(O237)</f>
        <v/>
      </c>
      <c r="AC237" s="654">
        <f>YEAR(O237)</f>
        <v/>
      </c>
      <c r="AD237" s="654">
        <f>AB237&amp;"-"&amp;AC237&amp;"-"&amp;C237</f>
        <v/>
      </c>
      <c r="AE237" s="654">
        <f>C237</f>
        <v/>
      </c>
      <c r="AF237" s="685">
        <f>MATCH(AE237,ALLM!$C$34:$C$43,)</f>
        <v/>
      </c>
      <c r="AH237" s="163">
        <f>IF(C237="2333",IF(X237=2,1,0),0)</f>
        <v/>
      </c>
      <c r="AI237" s="163">
        <f>IF(C237="2333",IF(X237=1,1,0),0)</f>
        <v/>
      </c>
    </row>
    <row r="238">
      <c r="A238" s="147">
        <f>INDIRECT(ADDRESS(ROW()-1,COLUMN()))+1</f>
        <v/>
      </c>
      <c r="B238" s="496" t="inlineStr">
        <is>
          <t>Great Wall Motor</t>
        </is>
      </c>
      <c r="C238" s="159" t="inlineStr">
        <is>
          <t>2333</t>
        </is>
      </c>
      <c r="D238" s="160" t="inlineStr">
        <is>
          <t>GREATWALL - 47</t>
        </is>
      </c>
      <c r="E238" s="127" t="n">
        <v>5000</v>
      </c>
      <c r="F238" s="73" t="inlineStr">
        <is>
          <t>/</t>
        </is>
      </c>
      <c r="G238" s="128" t="n">
        <v>10000</v>
      </c>
      <c r="H238" s="324" t="n">
        <v>5.0119</v>
      </c>
      <c r="I238" s="325" t="n">
        <v>6.2754</v>
      </c>
      <c r="J238" s="324" t="n">
        <v>4.7613</v>
      </c>
      <c r="K238" s="161" t="n">
        <v>82</v>
      </c>
      <c r="L238" s="171">
        <f>M238-K238</f>
        <v/>
      </c>
      <c r="M238" s="171" t="n">
        <v>247</v>
      </c>
      <c r="N238" s="172" t="n">
        <v>43936</v>
      </c>
      <c r="O238" s="172" t="n">
        <v>44300</v>
      </c>
      <c r="P238" s="682" t="n"/>
      <c r="Q238" s="162">
        <f>E238*L238*X238</f>
        <v/>
      </c>
      <c r="R238" s="785">
        <f>E238*I238*L238*X238</f>
        <v/>
      </c>
      <c r="S238" s="682" t="n"/>
      <c r="T238" s="785">
        <f>E238*I238*20*X238</f>
        <v/>
      </c>
      <c r="U238" s="0" t="n">
        <v>9.119999999999999</v>
      </c>
      <c r="V238" s="304" t="n">
        <v>16</v>
      </c>
      <c r="W238" s="304" t="n">
        <v>39</v>
      </c>
      <c r="X238" s="678" t="n">
        <v>2</v>
      </c>
      <c r="Y238" s="173">
        <f>X238*V238*E238*I238</f>
        <v/>
      </c>
      <c r="Z238" s="173">
        <f>X238*W238*E238*I238</f>
        <v/>
      </c>
      <c r="AB238" s="163">
        <f>MONTH(O238)</f>
        <v/>
      </c>
      <c r="AC238" s="654">
        <f>YEAR(O238)</f>
        <v/>
      </c>
      <c r="AD238" s="654">
        <f>AB238&amp;"-"&amp;AC238&amp;"-"&amp;C238</f>
        <v/>
      </c>
      <c r="AE238" s="654">
        <f>C238</f>
        <v/>
      </c>
      <c r="AF238" s="685">
        <f>MATCH(AE238,ALLM!$C$34:$C$43,)</f>
        <v/>
      </c>
      <c r="AH238" s="163">
        <f>IF(C238="2333",IF(X238=2,1,0),0)</f>
        <v/>
      </c>
      <c r="AI238" s="163">
        <f>IF(C238="2333",IF(X238=1,1,0),0)</f>
        <v/>
      </c>
    </row>
    <row r="239">
      <c r="A239" s="147">
        <f>INDIRECT(ADDRESS(ROW()-1,COLUMN()))+1</f>
        <v/>
      </c>
      <c r="B239" s="496" t="inlineStr">
        <is>
          <t>Great Wall Motor</t>
        </is>
      </c>
      <c r="C239" s="159" t="inlineStr">
        <is>
          <t>2333</t>
        </is>
      </c>
      <c r="D239" s="160" t="inlineStr">
        <is>
          <t>GREATWALL - 48</t>
        </is>
      </c>
      <c r="E239" s="127" t="n">
        <v>5000</v>
      </c>
      <c r="F239" s="73" t="inlineStr">
        <is>
          <t>/</t>
        </is>
      </c>
      <c r="G239" s="128" t="n">
        <v>10000</v>
      </c>
      <c r="H239" s="324" t="n">
        <v>5.0216</v>
      </c>
      <c r="I239" s="325" t="n">
        <v>5.9315</v>
      </c>
      <c r="J239" s="324" t="n">
        <v>4.5194</v>
      </c>
      <c r="K239" s="161" t="n">
        <v>64</v>
      </c>
      <c r="L239" s="171">
        <f>M239-K239</f>
        <v/>
      </c>
      <c r="M239" s="171" t="n">
        <v>249</v>
      </c>
      <c r="N239" s="172" t="n">
        <v>43956</v>
      </c>
      <c r="O239" s="172" t="n">
        <v>44320</v>
      </c>
      <c r="P239" s="682" t="n"/>
      <c r="Q239" s="162">
        <f>E239*L239*X239</f>
        <v/>
      </c>
      <c r="R239" s="785">
        <f>E239*I239*L239*X239</f>
        <v/>
      </c>
      <c r="S239" s="682" t="n"/>
      <c r="T239" s="785">
        <f>E239*I239*20*X239</f>
        <v/>
      </c>
      <c r="U239" s="0" t="n">
        <v>9.119999999999999</v>
      </c>
      <c r="V239" s="304" t="n">
        <v>23</v>
      </c>
      <c r="W239" s="304" t="n">
        <v>42</v>
      </c>
      <c r="X239" s="678" t="n">
        <v>2</v>
      </c>
      <c r="Y239" s="173">
        <f>X239*V239*E239*I239</f>
        <v/>
      </c>
      <c r="Z239" s="173">
        <f>X239*W239*E239*I239</f>
        <v/>
      </c>
      <c r="AB239" s="163">
        <f>MONTH(O239)</f>
        <v/>
      </c>
      <c r="AC239" s="654">
        <f>YEAR(O239)</f>
        <v/>
      </c>
      <c r="AD239" s="654">
        <f>AB239&amp;"-"&amp;AC239&amp;"-"&amp;C239</f>
        <v/>
      </c>
      <c r="AE239" s="654">
        <f>C239</f>
        <v/>
      </c>
      <c r="AF239" s="685">
        <f>MATCH(AE239,ALLM!$C$34:$C$43,)</f>
        <v/>
      </c>
      <c r="AH239" s="163">
        <f>IF(C239="2333",IF(X239=2,1,0),0)</f>
        <v/>
      </c>
      <c r="AI239" s="163">
        <f>IF(C239="2333",IF(X239=1,1,0),0)</f>
        <v/>
      </c>
    </row>
    <row r="240">
      <c r="A240" s="147" t="n"/>
    </row>
    <row r="241">
      <c r="L241" s="71" t="n"/>
      <c r="N241" s="453" t="n"/>
      <c r="O241" s="453" t="inlineStr">
        <is>
          <t>Total</t>
        </is>
      </c>
      <c r="P241" s="453" t="n"/>
      <c r="Q241" s="663">
        <f>SUM(Q230:Q240)</f>
        <v/>
      </c>
      <c r="R241" s="94">
        <f>SUM(R230:R240)</f>
        <v/>
      </c>
      <c r="S241" s="453" t="n"/>
      <c r="T241" s="745">
        <f>SUM(T230:T240)</f>
        <v/>
      </c>
    </row>
    <row r="242">
      <c r="A242" s="72" t="n"/>
      <c r="B242" s="448" t="n"/>
      <c r="C242" s="448" t="n"/>
      <c r="D242" s="449" t="n"/>
      <c r="E242" s="448" t="n"/>
      <c r="F242" s="448" t="n"/>
      <c r="G242" s="448" t="n"/>
      <c r="H242" s="299" t="n"/>
      <c r="I242" s="300" t="n"/>
      <c r="J242" s="299" t="n"/>
      <c r="K242" s="72" t="n"/>
      <c r="Q242" s="656" t="inlineStr">
        <is>
          <t>Shares</t>
        </is>
      </c>
      <c r="R242" s="656" t="inlineStr">
        <is>
          <t>HKD</t>
        </is>
      </c>
      <c r="S242" s="656" t="n"/>
      <c r="T242" s="656" t="inlineStr">
        <is>
          <t>HKD</t>
        </is>
      </c>
    </row>
    <row r="243" ht="6.75" customHeight="1" s="671">
      <c r="A243" s="72" t="n"/>
      <c r="B243" s="448" t="n"/>
      <c r="C243" s="448" t="n"/>
      <c r="D243" s="449" t="n"/>
      <c r="E243" s="448" t="n"/>
      <c r="F243" s="448" t="n"/>
      <c r="G243" s="448" t="n"/>
      <c r="H243" s="299" t="n"/>
      <c r="I243" s="300" t="n"/>
      <c r="J243" s="299" t="n"/>
      <c r="K243" s="72" t="n"/>
      <c r="P243" s="682" t="n"/>
      <c r="Q243" s="682" t="n"/>
      <c r="R243" s="682" t="n"/>
      <c r="S243" s="682" t="n"/>
    </row>
    <row r="244" ht="18.75" customHeight="1" s="671">
      <c r="A244" s="72" t="n"/>
      <c r="B244" s="448" t="n"/>
      <c r="C244" s="448" t="n"/>
      <c r="D244" s="449" t="n"/>
      <c r="E244" s="448" t="n"/>
      <c r="F244" s="448" t="n"/>
      <c r="G244" s="448" t="n"/>
      <c r="H244" s="299" t="n"/>
      <c r="I244" s="300" t="n"/>
      <c r="J244" s="71" t="inlineStr">
        <is>
          <t>Total Shares to sell</t>
        </is>
      </c>
      <c r="K244" s="72" t="n"/>
      <c r="L244" s="654" t="n"/>
      <c r="M244" s="462" t="n"/>
      <c r="O244" s="462" t="n"/>
      <c r="P244" s="462" t="n"/>
      <c r="Q244" s="663">
        <f>Q241</f>
        <v/>
      </c>
      <c r="R244" s="750" t="n"/>
      <c r="S244" s="750" t="n"/>
      <c r="T244" s="750" t="n"/>
    </row>
    <row r="245" ht="18.75" customHeight="1" s="671">
      <c r="A245" s="72" t="n"/>
      <c r="B245" s="448" t="n"/>
      <c r="C245" s="448" t="n"/>
      <c r="D245" s="449" t="n"/>
      <c r="E245" s="448" t="n"/>
      <c r="F245" s="448" t="n"/>
      <c r="G245" s="448" t="n"/>
      <c r="H245" s="299" t="n"/>
      <c r="I245" s="300" t="n"/>
      <c r="J245" s="71" t="inlineStr">
        <is>
          <t>On hand</t>
        </is>
      </c>
      <c r="K245" s="72" t="n"/>
      <c r="L245" s="654" t="n"/>
      <c r="M245" s="71" t="n"/>
      <c r="N245" s="666" t="n"/>
      <c r="P245" s="462" t="n"/>
      <c r="Q245" s="663" t="n">
        <v>2705500</v>
      </c>
      <c r="R245" s="750" t="n"/>
      <c r="S245" s="750" t="n"/>
      <c r="T245" s="750" t="n"/>
    </row>
    <row r="246" ht="18.75" customHeight="1" s="671">
      <c r="A246" s="72" t="n"/>
      <c r="B246" s="448" t="n"/>
      <c r="C246" s="448" t="n"/>
      <c r="D246" s="449" t="n"/>
      <c r="E246" s="448" t="n"/>
      <c r="F246" s="448" t="n"/>
      <c r="G246" s="448" t="n"/>
      <c r="H246" s="299" t="n"/>
      <c r="I246" s="300" t="n"/>
      <c r="J246" s="71" t="inlineStr">
        <is>
          <t>Balance shares for decu</t>
        </is>
      </c>
      <c r="K246" s="72" t="n"/>
      <c r="L246" s="654" t="n"/>
      <c r="M246" s="71" t="n"/>
      <c r="N246" s="666" t="n"/>
      <c r="O246" s="666" t="n"/>
      <c r="P246" s="462" t="n"/>
      <c r="Q246" s="110">
        <f>Q244-Q245</f>
        <v/>
      </c>
      <c r="R246" s="750" t="n"/>
      <c r="S246" s="750" t="n"/>
      <c r="T246" s="750" t="n"/>
    </row>
    <row r="247" ht="14.25" customHeight="1" s="671">
      <c r="A247" s="72" t="n"/>
      <c r="B247" s="448" t="n"/>
      <c r="C247" s="448" t="n"/>
      <c r="D247" s="449" t="n"/>
      <c r="E247" s="448" t="n"/>
      <c r="F247" s="448" t="n"/>
      <c r="G247" s="448" t="n"/>
      <c r="H247" s="299" t="n"/>
      <c r="I247" s="300" t="n"/>
      <c r="J247" s="71" t="n"/>
      <c r="K247" s="72" t="n"/>
      <c r="L247" s="654" t="n"/>
      <c r="M247" s="71" t="n"/>
      <c r="N247" s="666" t="n"/>
      <c r="O247" s="666" t="n"/>
      <c r="P247" s="462" t="n"/>
      <c r="Q247" s="663" t="n"/>
      <c r="R247" s="750" t="n"/>
      <c r="S247" s="750" t="n"/>
      <c r="T247" s="750" t="n"/>
    </row>
    <row r="248" ht="18.75" customHeight="1" s="671">
      <c r="A248" s="72" t="n"/>
      <c r="B248" s="448" t="n"/>
      <c r="C248" s="448" t="n"/>
      <c r="D248" s="449" t="n"/>
      <c r="E248" s="448" t="n"/>
      <c r="F248" s="448" t="n"/>
      <c r="G248" s="448" t="n"/>
      <c r="H248" s="299" t="n"/>
      <c r="I248" s="300" t="n"/>
      <c r="J248" s="299" t="n"/>
      <c r="K248" s="72" t="n"/>
      <c r="L248" s="71" t="n"/>
      <c r="M248" s="71" t="n"/>
      <c r="N248" s="666" t="n"/>
      <c r="P248" s="462" t="n"/>
      <c r="R248" s="663" t="inlineStr">
        <is>
          <t>Estimated Amount</t>
        </is>
      </c>
      <c r="S248" s="109" t="n">
        <v>0.3</v>
      </c>
      <c r="T248" s="663" t="inlineStr">
        <is>
          <t>Margin requirement</t>
        </is>
      </c>
    </row>
    <row r="249" ht="18.75" customHeight="1" s="671">
      <c r="A249" s="72" t="n"/>
      <c r="B249" s="448" t="n"/>
      <c r="C249" s="448" t="n"/>
      <c r="D249" s="449" t="n"/>
      <c r="E249" s="448" t="n"/>
      <c r="F249" s="448" t="n"/>
      <c r="G249" s="448" t="n"/>
      <c r="H249" s="116" t="inlineStr">
        <is>
          <t>Collateral 2: 30% x Estimated Amount Total</t>
        </is>
      </c>
      <c r="I249" s="481" t="n"/>
      <c r="J249" s="117" t="n"/>
      <c r="K249" s="481" t="n"/>
      <c r="L249" s="481" t="n"/>
      <c r="M249" s="71" t="n"/>
      <c r="N249" s="666" t="n"/>
      <c r="O249" s="666" t="n"/>
      <c r="P249" s="462" t="n"/>
      <c r="R249" s="663">
        <f>R241</f>
        <v/>
      </c>
      <c r="S249" s="750" t="n"/>
      <c r="T249" s="323">
        <f>-R249*S248</f>
        <v/>
      </c>
    </row>
    <row r="250" ht="9.75" customHeight="1" s="671">
      <c r="A250" s="72" t="n"/>
      <c r="B250" s="448" t="n"/>
      <c r="C250" s="448" t="n"/>
      <c r="D250" s="449" t="n"/>
      <c r="E250" s="448" t="n"/>
      <c r="F250" s="448" t="n"/>
      <c r="G250" s="448" t="n"/>
      <c r="H250" s="71" t="n"/>
      <c r="I250" s="654" t="n"/>
      <c r="J250" s="72" t="n"/>
      <c r="K250" s="654" t="n"/>
      <c r="L250" s="654" t="n"/>
      <c r="M250" s="71" t="n"/>
      <c r="N250" s="666" t="n"/>
      <c r="O250" s="666" t="n"/>
      <c r="P250" s="462" t="n"/>
      <c r="Q250" s="663" t="n"/>
      <c r="R250" s="482" t="n"/>
      <c r="S250" s="750" t="n"/>
      <c r="T250" s="750" t="n"/>
    </row>
    <row r="251" ht="18.75" customHeight="1" s="671">
      <c r="A251" s="72" t="n"/>
      <c r="B251" s="448" t="n"/>
      <c r="C251" s="448" t="n"/>
      <c r="D251" s="449" t="n"/>
      <c r="E251" s="448" t="n"/>
      <c r="F251" s="448" t="n"/>
      <c r="G251" s="448" t="n"/>
      <c r="H251" s="299" t="n"/>
      <c r="I251" s="654" t="n"/>
      <c r="J251" s="72" t="n"/>
      <c r="K251" s="654" t="n"/>
      <c r="L251" s="71" t="n"/>
      <c r="M251" s="71" t="n"/>
      <c r="N251" s="666" t="n"/>
      <c r="O251" s="666" t="n"/>
      <c r="P251" s="462" t="n"/>
      <c r="Q251" s="750" t="inlineStr">
        <is>
          <t>Market Price</t>
        </is>
      </c>
      <c r="R251" s="485">
        <f>market_price</f>
        <v/>
      </c>
    </row>
    <row r="252" ht="30" customFormat="1" customHeight="1" s="665">
      <c r="A252" s="112" t="n"/>
      <c r="B252" s="487" t="n"/>
      <c r="C252" s="487" t="n"/>
      <c r="D252" s="487" t="n"/>
      <c r="E252" s="487" t="n"/>
      <c r="F252" s="487" t="n"/>
      <c r="G252" s="487" t="n"/>
      <c r="H252" s="326" t="n"/>
      <c r="J252" s="112" t="n"/>
      <c r="L252" s="664" t="inlineStr">
        <is>
          <t>Estimated Shares</t>
        </is>
      </c>
      <c r="N252" s="670" t="inlineStr">
        <is>
          <t>On Hand</t>
        </is>
      </c>
      <c r="P252" s="489" t="n"/>
      <c r="Q252" s="670" t="inlineStr">
        <is>
          <t>Balance shares for decu</t>
        </is>
      </c>
      <c r="R252" s="490" t="inlineStr">
        <is>
          <t>Strike Price minus Market Price</t>
        </is>
      </c>
      <c r="S252" s="786" t="n"/>
      <c r="T252" s="111" t="inlineStr">
        <is>
          <t>Collateral needed</t>
        </is>
      </c>
      <c r="W252" s="113" t="n"/>
      <c r="X252" s="113" t="n"/>
      <c r="Y252" s="114" t="n"/>
      <c r="Z252" s="114" t="n"/>
      <c r="AB252" s="115" t="n"/>
    </row>
    <row r="253" ht="15.75" customHeight="1" s="671">
      <c r="A253" s="72" t="n"/>
      <c r="B253" s="448" t="n"/>
      <c r="C253" s="448" t="n"/>
      <c r="D253" s="449" t="n"/>
      <c r="E253" s="448" t="n"/>
      <c r="F253" s="448" t="n"/>
      <c r="G253" s="448" t="n"/>
      <c r="H253" s="116" t="inlineStr">
        <is>
          <t xml:space="preserve">Collateral 3: </t>
        </is>
      </c>
      <c r="I253" s="481" t="n"/>
      <c r="J253" s="666" t="inlineStr">
        <is>
          <t>Strike 1</t>
        </is>
      </c>
      <c r="K253" s="654" t="n"/>
      <c r="L253" s="662">
        <f>I231</f>
        <v/>
      </c>
      <c r="N253" s="663">
        <f>Q231</f>
        <v/>
      </c>
      <c r="P253" s="462" t="n"/>
      <c r="Q253" s="663">
        <f>Q231-N253</f>
        <v/>
      </c>
      <c r="R253" s="327">
        <f>L253-market_price</f>
        <v/>
      </c>
      <c r="S253" s="750" t="n"/>
      <c r="T253" s="328">
        <f>Q253*R253</f>
        <v/>
      </c>
    </row>
    <row r="254" ht="15.75" customHeight="1" s="671">
      <c r="A254" s="72" t="n"/>
      <c r="B254" s="448" t="n"/>
      <c r="C254" s="448" t="n"/>
      <c r="D254" s="449" t="n"/>
      <c r="E254" s="448" t="n"/>
      <c r="F254" s="448" t="n"/>
      <c r="G254" s="448" t="n"/>
      <c r="H254" s="300" t="n"/>
      <c r="I254" s="299" t="n"/>
      <c r="J254" s="666" t="inlineStr">
        <is>
          <t>Strike 2</t>
        </is>
      </c>
      <c r="K254" s="654" t="n"/>
      <c r="L254" s="662">
        <f>I232</f>
        <v/>
      </c>
      <c r="N254" s="663">
        <f>Q245-N253</f>
        <v/>
      </c>
      <c r="P254" s="462" t="n"/>
      <c r="Q254" s="663">
        <f>Q232-N254</f>
        <v/>
      </c>
      <c r="R254" s="327">
        <f>L254-market_price</f>
        <v/>
      </c>
      <c r="S254" s="750" t="n"/>
      <c r="T254" s="328">
        <f>Q254*R254</f>
        <v/>
      </c>
    </row>
    <row r="255" ht="15.75" customHeight="1" s="671">
      <c r="A255" s="72" t="n"/>
      <c r="B255" s="448" t="n"/>
      <c r="C255" s="448" t="n"/>
      <c r="D255" s="449" t="n"/>
      <c r="E255" s="448" t="n"/>
      <c r="F255" s="448" t="n"/>
      <c r="G255" s="448" t="n"/>
      <c r="H255" s="300" t="n"/>
      <c r="I255" s="299" t="n"/>
      <c r="J255" s="666" t="inlineStr">
        <is>
          <t>Strike 3</t>
        </is>
      </c>
      <c r="K255" s="654" t="n"/>
      <c r="L255" s="662">
        <f>I233</f>
        <v/>
      </c>
      <c r="N255" s="663" t="n">
        <v>0</v>
      </c>
      <c r="P255" s="462" t="n"/>
      <c r="Q255" s="663">
        <f>Q233-N255</f>
        <v/>
      </c>
      <c r="R255" s="327">
        <f>L255-market_price</f>
        <v/>
      </c>
      <c r="S255" s="750" t="n"/>
      <c r="T255" s="328">
        <f>Q255*R255</f>
        <v/>
      </c>
    </row>
    <row r="256" ht="15.75" customHeight="1" s="671">
      <c r="A256" s="72" t="n"/>
      <c r="B256" s="448" t="n"/>
      <c r="C256" s="448" t="n"/>
      <c r="D256" s="449" t="n"/>
      <c r="E256" s="448" t="n"/>
      <c r="F256" s="448" t="n"/>
      <c r="G256" s="448" t="n"/>
      <c r="H256" s="300" t="n"/>
      <c r="I256" s="299" t="n"/>
      <c r="J256" s="666" t="inlineStr">
        <is>
          <t>Strike 4</t>
        </is>
      </c>
      <c r="K256" s="654" t="n"/>
      <c r="L256" s="662">
        <f>I234</f>
        <v/>
      </c>
      <c r="N256" s="663" t="n">
        <v>0</v>
      </c>
      <c r="P256" s="462" t="n"/>
      <c r="Q256" s="663">
        <f>Q234-N256</f>
        <v/>
      </c>
      <c r="R256" s="327">
        <f>L256-market_price</f>
        <v/>
      </c>
      <c r="S256" s="750" t="n"/>
      <c r="T256" s="328">
        <f>Q256*R256</f>
        <v/>
      </c>
    </row>
    <row r="257" ht="15.75" customHeight="1" s="671">
      <c r="A257" s="72" t="n"/>
      <c r="B257" s="448" t="n"/>
      <c r="C257" s="448" t="n"/>
      <c r="D257" s="449" t="n"/>
      <c r="E257" s="448" t="n"/>
      <c r="F257" s="448" t="n"/>
      <c r="G257" s="448" t="n"/>
      <c r="H257" s="300" t="n"/>
      <c r="I257" s="299" t="n"/>
      <c r="J257" s="666" t="inlineStr">
        <is>
          <t>Strike 5</t>
        </is>
      </c>
      <c r="K257" s="654" t="n"/>
      <c r="L257" s="662">
        <f>I235</f>
        <v/>
      </c>
      <c r="N257" s="663" t="n">
        <v>0</v>
      </c>
      <c r="P257" s="462" t="n"/>
      <c r="Q257" s="663">
        <f>Q235-N257</f>
        <v/>
      </c>
      <c r="R257" s="327">
        <f>L257-market_price</f>
        <v/>
      </c>
      <c r="S257" s="750" t="n"/>
      <c r="T257" s="328">
        <f>Q257*R257</f>
        <v/>
      </c>
    </row>
    <row r="258" ht="15.75" customHeight="1" s="671">
      <c r="A258" s="72" t="n"/>
      <c r="B258" s="448" t="n"/>
      <c r="C258" s="448" t="n"/>
      <c r="D258" s="449" t="n"/>
      <c r="E258" s="448" t="n"/>
      <c r="F258" s="448" t="n"/>
      <c r="G258" s="448" t="n"/>
      <c r="H258" s="300" t="n"/>
      <c r="I258" s="299" t="n"/>
      <c r="J258" s="666" t="inlineStr">
        <is>
          <t>Strike 6</t>
        </is>
      </c>
      <c r="K258" s="654" t="n"/>
      <c r="L258" s="662">
        <f>I236</f>
        <v/>
      </c>
      <c r="N258" s="663" t="n">
        <v>0</v>
      </c>
      <c r="P258" s="462" t="n"/>
      <c r="Q258" s="663">
        <f>Q236-N258</f>
        <v/>
      </c>
      <c r="R258" s="327">
        <f>L258-market_price</f>
        <v/>
      </c>
      <c r="S258" s="750" t="n"/>
      <c r="T258" s="328">
        <f>Q258*R258</f>
        <v/>
      </c>
    </row>
    <row r="259" ht="15.75" customHeight="1" s="671">
      <c r="A259" s="72" t="n"/>
      <c r="B259" s="448" t="n"/>
      <c r="C259" s="448" t="n"/>
      <c r="D259" s="449" t="n"/>
      <c r="E259" s="448" t="n"/>
      <c r="F259" s="448" t="n"/>
      <c r="G259" s="448" t="n"/>
      <c r="H259" s="300" t="n"/>
      <c r="I259" s="299" t="n"/>
      <c r="J259" s="666" t="inlineStr">
        <is>
          <t>Strike 7</t>
        </is>
      </c>
      <c r="K259" s="654" t="n"/>
      <c r="L259" s="662">
        <f>I237</f>
        <v/>
      </c>
      <c r="N259" s="663" t="n">
        <v>0</v>
      </c>
      <c r="P259" s="462" t="n"/>
      <c r="Q259" s="663">
        <f>Q237-N259</f>
        <v/>
      </c>
      <c r="R259" s="327">
        <f>L259-market_price</f>
        <v/>
      </c>
      <c r="S259" s="750" t="n"/>
      <c r="T259" s="328">
        <f>Q259*R259</f>
        <v/>
      </c>
    </row>
    <row r="260" ht="15.75" customHeight="1" s="671">
      <c r="A260" s="72" t="n"/>
      <c r="B260" s="448" t="n"/>
      <c r="C260" s="448" t="n"/>
      <c r="D260" s="449" t="n"/>
      <c r="E260" s="448" t="n"/>
      <c r="F260" s="448" t="n"/>
      <c r="G260" s="448" t="n"/>
      <c r="H260" s="300" t="n"/>
      <c r="I260" s="299" t="n"/>
      <c r="J260" s="666" t="inlineStr">
        <is>
          <t>Strike 8</t>
        </is>
      </c>
      <c r="K260" s="654" t="n"/>
      <c r="L260" s="662">
        <f>I238</f>
        <v/>
      </c>
      <c r="N260" s="663" t="n">
        <v>0</v>
      </c>
      <c r="P260" s="462" t="n"/>
      <c r="Q260" s="663">
        <f>Q238-N260</f>
        <v/>
      </c>
      <c r="R260" s="327">
        <f>L260-market_price</f>
        <v/>
      </c>
      <c r="S260" s="750" t="n"/>
      <c r="T260" s="328">
        <f>Q260*R260</f>
        <v/>
      </c>
    </row>
    <row r="261" ht="15.75" customHeight="1" s="671">
      <c r="A261" s="72" t="n"/>
      <c r="B261" s="448" t="n"/>
      <c r="C261" s="448" t="n"/>
      <c r="D261" s="449" t="n"/>
      <c r="E261" s="448" t="n"/>
      <c r="F261" s="448" t="n"/>
      <c r="G261" s="448" t="n"/>
      <c r="H261" s="300" t="n"/>
      <c r="I261" s="299" t="n"/>
      <c r="J261" s="666" t="inlineStr">
        <is>
          <t>Strike 9</t>
        </is>
      </c>
      <c r="K261" s="654" t="n"/>
      <c r="L261" s="662">
        <f>I239</f>
        <v/>
      </c>
      <c r="N261" s="663" t="n">
        <v>0</v>
      </c>
      <c r="P261" s="462" t="n"/>
      <c r="Q261" s="663">
        <f>Q239-N261</f>
        <v/>
      </c>
      <c r="R261" s="327">
        <f>L261-market_price</f>
        <v/>
      </c>
      <c r="S261" s="750" t="n"/>
      <c r="T261" s="328">
        <f>Q261*R261</f>
        <v/>
      </c>
    </row>
    <row r="262" ht="15.75" customHeight="1" s="671">
      <c r="A262" s="72" t="n"/>
      <c r="B262" s="448" t="n"/>
      <c r="C262" s="448" t="n"/>
      <c r="D262" s="449" t="n"/>
      <c r="E262" s="448" t="n"/>
      <c r="F262" s="448" t="n"/>
      <c r="G262" s="448" t="n"/>
      <c r="H262" s="300" t="n"/>
      <c r="I262" s="71" t="inlineStr">
        <is>
          <t>Sub Total</t>
        </is>
      </c>
      <c r="J262" s="654" t="n"/>
      <c r="K262" s="654" t="n"/>
      <c r="L262" s="666" t="n"/>
      <c r="M262" s="654" t="n"/>
      <c r="N262" s="667">
        <f>SUM(N253:O261)</f>
        <v/>
      </c>
      <c r="O262" s="625" t="n"/>
      <c r="P262" s="462" t="n"/>
      <c r="Q262" s="667">
        <f>SUM(Q253:Q261)</f>
        <v/>
      </c>
      <c r="R262" s="788" t="n"/>
      <c r="S262" s="788" t="n"/>
      <c r="T262" s="333">
        <f>SUM(T253:T261)</f>
        <v/>
      </c>
    </row>
    <row r="263" ht="15.75" customHeight="1" s="671">
      <c r="A263" s="72" t="n"/>
      <c r="B263" s="448" t="n"/>
      <c r="C263" s="448" t="n"/>
      <c r="D263" s="449" t="n"/>
      <c r="E263" s="448" t="n"/>
      <c r="F263" s="448" t="n"/>
      <c r="G263" s="448" t="n"/>
      <c r="H263" s="299" t="n"/>
      <c r="I263" s="300" t="n"/>
      <c r="J263" s="299" t="n"/>
      <c r="K263" s="72" t="n"/>
      <c r="L263" s="71" t="n"/>
      <c r="M263" s="71" t="n"/>
      <c r="N263" s="666" t="n"/>
      <c r="O263" s="666" t="n"/>
      <c r="P263" s="462" t="n"/>
      <c r="Q263" s="663" t="n"/>
      <c r="R263" s="750" t="n"/>
      <c r="S263" s="750" t="n"/>
      <c r="T263" s="750" t="n"/>
    </row>
    <row r="264" ht="15.75" customHeight="1" s="671">
      <c r="A264" s="72" t="n"/>
      <c r="B264" s="448" t="n"/>
      <c r="C264" s="448" t="n"/>
      <c r="D264" s="449" t="n"/>
      <c r="E264" s="448" t="n"/>
      <c r="F264" s="448" t="n"/>
      <c r="G264" s="448" t="n"/>
      <c r="H264" s="116" t="inlineStr">
        <is>
          <t>Total collateral needed</t>
        </is>
      </c>
      <c r="I264" s="331" t="n"/>
      <c r="J264" s="481" t="n"/>
      <c r="K264" s="72" t="n"/>
      <c r="L264" s="654" t="n"/>
      <c r="M264" s="71" t="n"/>
      <c r="N264" s="666" t="n"/>
      <c r="O264" s="666" t="n"/>
      <c r="P264" s="462" t="n"/>
      <c r="Q264" s="663" t="n"/>
      <c r="R264" s="750" t="n"/>
      <c r="S264" s="750" t="n"/>
      <c r="T264" s="323">
        <f>T249+T262+T227</f>
        <v/>
      </c>
    </row>
    <row r="265" ht="15.75" customHeight="1" s="671">
      <c r="A265" s="72" t="n"/>
      <c r="B265" s="448" t="n"/>
      <c r="C265" s="448" t="n"/>
      <c r="D265" s="449" t="n"/>
      <c r="E265" s="448" t="n"/>
      <c r="F265" s="448" t="n"/>
      <c r="G265" s="448" t="n"/>
      <c r="H265" s="71" t="n"/>
      <c r="I265" s="300" t="n"/>
      <c r="J265" s="654" t="n"/>
      <c r="K265" s="72" t="n"/>
      <c r="L265" s="654" t="n"/>
      <c r="M265" s="71" t="n"/>
      <c r="N265" s="666" t="n"/>
      <c r="O265" s="666" t="n"/>
      <c r="P265" s="462" t="n"/>
      <c r="Q265" s="663" t="n"/>
      <c r="R265" s="663" t="inlineStr">
        <is>
          <t>USD Rate 7.75</t>
        </is>
      </c>
      <c r="S265" s="750" t="n"/>
      <c r="T265" s="332">
        <f>T264/7.75</f>
        <v/>
      </c>
    </row>
    <row r="266" ht="15.75" customHeight="1" s="671">
      <c r="A266" s="76" t="inlineStr">
        <is>
          <t>MORGAN STANLEY Perfect Legend</t>
        </is>
      </c>
      <c r="B266" s="75" t="n"/>
      <c r="C266" s="447" t="n"/>
      <c r="D266" s="447" t="n"/>
      <c r="E266" s="681" t="n"/>
      <c r="F266" s="681" t="n"/>
      <c r="G266" s="681" t="n"/>
      <c r="H266" s="285" t="n"/>
      <c r="I266" s="285" t="n"/>
      <c r="J266" s="286" t="n"/>
      <c r="K266" s="298" t="n"/>
      <c r="L266" s="298" t="n"/>
      <c r="M266" s="298" t="n"/>
      <c r="N266" s="298" t="n"/>
      <c r="O266" s="298" t="n"/>
      <c r="P266" s="298" t="n"/>
      <c r="Q266" s="298" t="n"/>
      <c r="R266" s="298" t="n"/>
    </row>
    <row r="267" ht="9.75" customHeight="1" s="671">
      <c r="A267" s="72" t="n"/>
      <c r="B267" s="448" t="n"/>
      <c r="C267" s="448" t="n"/>
      <c r="D267" s="449" t="n"/>
      <c r="E267" s="448" t="inlineStr">
        <is>
          <t>`</t>
        </is>
      </c>
      <c r="F267" s="448" t="n"/>
      <c r="G267" s="448" t="n"/>
      <c r="H267" s="299" t="n"/>
      <c r="I267" s="300" t="inlineStr">
        <is>
          <t>`</t>
        </is>
      </c>
      <c r="J267" s="299" t="n"/>
      <c r="K267" s="298" t="n"/>
      <c r="L267" s="298" t="n"/>
      <c r="M267" s="298" t="n"/>
      <c r="N267" s="298" t="n"/>
      <c r="O267" s="298" t="n"/>
      <c r="P267" s="298" t="n"/>
      <c r="Q267" s="298" t="n"/>
      <c r="R267" s="298" t="n"/>
    </row>
    <row r="268" ht="15" customFormat="1" customHeight="1" s="642">
      <c r="A268" s="646" t="n"/>
      <c r="B268" s="640" t="inlineStr">
        <is>
          <t>ACCUMULATOR</t>
        </is>
      </c>
      <c r="C268" s="631" t="inlineStr">
        <is>
          <t>CODE</t>
        </is>
      </c>
      <c r="D268" s="631" t="n"/>
      <c r="E268" s="624" t="inlineStr">
        <is>
          <t>SHARES / DAY</t>
        </is>
      </c>
      <c r="F268" s="625" t="n"/>
      <c r="G268" s="626" t="n"/>
      <c r="H268" s="633" t="inlineStr">
        <is>
          <t>SPOT PRICE</t>
        </is>
      </c>
      <c r="I268" s="633" t="inlineStr">
        <is>
          <t>STRIKE PRICE</t>
        </is>
      </c>
      <c r="J268" s="633" t="inlineStr">
        <is>
          <t>K/O PRICE</t>
        </is>
      </c>
      <c r="K268" s="637" t="inlineStr">
        <is>
          <t>LIFE TERM OF CONTRACT</t>
        </is>
      </c>
      <c r="L268" s="638" t="n"/>
      <c r="M268" s="639" t="n"/>
      <c r="N268" s="622" t="inlineStr">
        <is>
          <t>START DATE</t>
        </is>
      </c>
      <c r="O268" s="622" t="inlineStr">
        <is>
          <t>END DATE</t>
        </is>
      </c>
      <c r="P268" s="682" t="n"/>
      <c r="Q268" s="632" t="inlineStr">
        <is>
          <t>Estimated Total Shares Remaining</t>
        </is>
      </c>
      <c r="R268" s="683" t="inlineStr">
        <is>
          <t>Estimated Amount</t>
        </is>
      </c>
      <c r="S268" s="682" t="n"/>
      <c r="T268" s="683" t="inlineStr">
        <is>
          <t>Estimated Amount per month</t>
        </is>
      </c>
      <c r="V268" s="678" t="n"/>
      <c r="W268" s="678" t="n"/>
      <c r="X268" s="155" t="n"/>
      <c r="Y268" s="154" t="inlineStr">
        <is>
          <t>Month 1</t>
        </is>
      </c>
      <c r="Z268" s="154" t="inlineStr">
        <is>
          <t>Month 2</t>
        </is>
      </c>
    </row>
    <row r="269" ht="20.45" customFormat="1" customHeight="1" s="642">
      <c r="A269" s="646" t="n"/>
      <c r="B269" s="623" t="n"/>
      <c r="C269" s="623" t="n"/>
      <c r="D269" s="390" t="inlineStr">
        <is>
          <t>CB1</t>
        </is>
      </c>
      <c r="E269" s="627" t="n"/>
      <c r="F269" s="628" t="n"/>
      <c r="G269" s="629" t="n"/>
      <c r="H269" s="623" t="n"/>
      <c r="I269" s="623" t="n"/>
      <c r="J269" s="623" t="n"/>
      <c r="K269" s="637" t="inlineStr">
        <is>
          <t>RCVD mos.</t>
        </is>
      </c>
      <c r="L269" s="637" t="inlineStr">
        <is>
          <t>REM mos.</t>
        </is>
      </c>
      <c r="M269" s="637" t="inlineStr">
        <is>
          <t>Total mos.</t>
        </is>
      </c>
      <c r="N269" s="623" t="n"/>
      <c r="O269" s="623" t="n"/>
      <c r="P269" s="682" t="n"/>
      <c r="Q269" s="623" t="n"/>
      <c r="R269" s="623" t="n"/>
      <c r="S269" s="682" t="n"/>
      <c r="T269" s="623" t="n"/>
      <c r="U269" s="642" t="inlineStr">
        <is>
          <t>Price</t>
        </is>
      </c>
      <c r="V269" s="678" t="inlineStr">
        <is>
          <t>NOW</t>
        </is>
      </c>
      <c r="W269" s="678" t="inlineStr">
        <is>
          <t>NEXT</t>
        </is>
      </c>
      <c r="X269" s="155" t="inlineStr">
        <is>
          <t>sd</t>
        </is>
      </c>
      <c r="Y269" s="154" t="inlineStr">
        <is>
          <t>hkd</t>
        </is>
      </c>
      <c r="Z269" s="154" t="inlineStr">
        <is>
          <t>hkd</t>
        </is>
      </c>
    </row>
    <row r="270" ht="14.1" customFormat="1" customHeight="1" s="642">
      <c r="A270" s="158">
        <f>INDIRECT(ADDRESS(ROW()-1,COLUMN()))+1</f>
        <v/>
      </c>
      <c r="B270" s="497" t="inlineStr">
        <is>
          <t>Great Wall Motor</t>
        </is>
      </c>
      <c r="C270" s="148" t="inlineStr">
        <is>
          <t>2333</t>
        </is>
      </c>
      <c r="D270" s="141" t="inlineStr">
        <is>
          <t>GREATWALL - 65</t>
        </is>
      </c>
      <c r="E270" s="123" t="n">
        <v>10000</v>
      </c>
      <c r="F270" s="278" t="inlineStr">
        <is>
          <t>/</t>
        </is>
      </c>
      <c r="G270" s="121" t="n">
        <v>20000</v>
      </c>
      <c r="H270" s="275" t="n">
        <v>9.157500000000001</v>
      </c>
      <c r="I270" s="276" t="n">
        <v>7.6905</v>
      </c>
      <c r="J270" s="275" t="n">
        <v>10.0733</v>
      </c>
      <c r="K270" s="47" t="n">
        <v>0</v>
      </c>
      <c r="L270" s="152">
        <f>M270-K270</f>
        <v/>
      </c>
      <c r="M270" s="152" t="n">
        <v>184</v>
      </c>
      <c r="N270" s="131" t="n">
        <v>44076</v>
      </c>
      <c r="O270" s="131" t="n">
        <v>44348</v>
      </c>
      <c r="P270" s="694" t="n"/>
      <c r="Q270" s="153">
        <f>E270*L270*X270</f>
        <v/>
      </c>
      <c r="R270" s="784">
        <f>E270*I270*L270*X270</f>
        <v/>
      </c>
      <c r="T270" s="784">
        <f>E270*I270*20*X270</f>
        <v/>
      </c>
      <c r="U270" s="0" t="n">
        <v>9.119999999999999</v>
      </c>
      <c r="V270" s="282" t="n">
        <v>0</v>
      </c>
      <c r="W270" s="282" t="n">
        <v>23</v>
      </c>
      <c r="X270" s="0" t="n">
        <v>1</v>
      </c>
      <c r="Y270" s="154">
        <f>X270*V270*E270*I270</f>
        <v/>
      </c>
      <c r="Z270" s="154">
        <f>X270*W270*E270*I270</f>
        <v/>
      </c>
      <c r="AB270" s="642">
        <f>MONTH(O270)</f>
        <v/>
      </c>
      <c r="AC270" s="642">
        <f>YEAR(O270)</f>
        <v/>
      </c>
      <c r="AD270" s="642">
        <f>AB270&amp;"-"&amp;AC270&amp;"-"&amp;C270</f>
        <v/>
      </c>
      <c r="AE270" s="642">
        <f>C270</f>
        <v/>
      </c>
      <c r="AF270" s="685">
        <f>MATCH(AE270,ALLM!C$2:C$13,)</f>
        <v/>
      </c>
    </row>
    <row r="271" ht="14.1" customFormat="1" customHeight="1" s="642">
      <c r="A271" s="158">
        <f>INDIRECT(ADDRESS(ROW()-1,COLUMN()))+1</f>
        <v/>
      </c>
      <c r="B271" s="497" t="inlineStr">
        <is>
          <t>Great Wall Motor</t>
        </is>
      </c>
      <c r="C271" s="148" t="inlineStr">
        <is>
          <t>2333</t>
        </is>
      </c>
      <c r="D271" s="141" t="inlineStr">
        <is>
          <t>GREATWALL - 66</t>
        </is>
      </c>
      <c r="E271" s="123" t="n">
        <v>6000</v>
      </c>
      <c r="F271" s="278" t="inlineStr">
        <is>
          <t>/</t>
        </is>
      </c>
      <c r="G271" s="121" t="n">
        <v>12000</v>
      </c>
      <c r="H271" s="275" t="n">
        <v>9.1149</v>
      </c>
      <c r="I271" s="276" t="n">
        <v>7.3831</v>
      </c>
      <c r="J271" s="275" t="n">
        <v>10.0264</v>
      </c>
      <c r="K271" s="47" t="n">
        <v>0</v>
      </c>
      <c r="L271" s="152">
        <f>M271-K271</f>
        <v/>
      </c>
      <c r="M271" s="152" t="n">
        <v>248</v>
      </c>
      <c r="N271" s="131" t="n">
        <v>44077</v>
      </c>
      <c r="O271" s="131" t="n">
        <v>44441</v>
      </c>
      <c r="P271" s="694" t="n"/>
      <c r="Q271" s="153">
        <f>E271*L271*X271</f>
        <v/>
      </c>
      <c r="R271" s="784">
        <f>E271*I271*L271*X271</f>
        <v/>
      </c>
      <c r="T271" s="784">
        <f>E271*I271*20*X271</f>
        <v/>
      </c>
      <c r="U271" s="0" t="n">
        <v>9.119999999999999</v>
      </c>
      <c r="V271" s="282" t="n">
        <v>0</v>
      </c>
      <c r="W271" s="282" t="n">
        <v>23</v>
      </c>
      <c r="X271" s="0" t="n">
        <v>1</v>
      </c>
      <c r="Y271" s="154">
        <f>X271*V271*E271*I271</f>
        <v/>
      </c>
      <c r="Z271" s="154">
        <f>X271*W271*E271*I271</f>
        <v/>
      </c>
      <c r="AB271" s="642">
        <f>MONTH(O271)</f>
        <v/>
      </c>
      <c r="AC271" s="642">
        <f>YEAR(O271)</f>
        <v/>
      </c>
      <c r="AD271" s="642">
        <f>AB271&amp;"-"&amp;AC271&amp;"-"&amp;C271</f>
        <v/>
      </c>
      <c r="AE271" s="642">
        <f>C271</f>
        <v/>
      </c>
      <c r="AF271" s="685">
        <f>MATCH(AE271,ALLM!C$2:C$13,)</f>
        <v/>
      </c>
    </row>
    <row r="272" ht="15.6" customFormat="1" customHeight="1" s="642">
      <c r="A272" s="64" t="n"/>
      <c r="B272" s="388" t="n"/>
      <c r="C272" s="388" t="n"/>
      <c r="D272" s="388" t="n"/>
      <c r="E272" s="388" t="n"/>
      <c r="F272" s="388" t="n"/>
      <c r="G272" s="388" t="n"/>
      <c r="H272" s="247" t="n"/>
      <c r="I272" s="248" t="n"/>
      <c r="J272" s="247" t="n"/>
      <c r="K272" s="64" t="n"/>
      <c r="L272" s="646" t="n"/>
      <c r="M272" s="646" t="n"/>
      <c r="N272" s="394" t="n"/>
      <c r="O272" s="394" t="n"/>
      <c r="V272" s="678" t="n"/>
      <c r="W272" s="678" t="n"/>
      <c r="X272" s="155" t="n"/>
      <c r="Y272" s="154" t="n"/>
      <c r="Z272" s="154" t="n"/>
    </row>
    <row r="273" ht="15.6" customFormat="1" customHeight="1" s="353">
      <c r="A273" s="66" t="n"/>
      <c r="B273" s="395" t="n"/>
      <c r="C273" s="395" t="n"/>
      <c r="D273" s="395" t="n"/>
      <c r="E273" s="395" t="n"/>
      <c r="F273" s="395" t="n"/>
      <c r="G273" s="395" t="n"/>
      <c r="H273" s="251" t="n"/>
      <c r="I273" s="252" t="n"/>
      <c r="J273" s="251" t="n"/>
      <c r="K273" s="66" t="n"/>
      <c r="L273" s="54" t="n"/>
      <c r="M273" s="54" t="n"/>
      <c r="N273" s="394" t="n"/>
      <c r="O273" s="394" t="inlineStr">
        <is>
          <t>Total</t>
        </is>
      </c>
      <c r="P273" s="686" t="n"/>
      <c r="Q273" s="44">
        <f>SUM(Q269:Q272)</f>
        <v/>
      </c>
      <c r="R273" s="686">
        <f>SUM(R269:R272)</f>
        <v/>
      </c>
      <c r="S273" s="686" t="n"/>
      <c r="T273" s="686">
        <f>SUM(T269:T272)</f>
        <v/>
      </c>
      <c r="V273" s="687" t="n"/>
      <c r="W273" s="687" t="n"/>
      <c r="X273" s="102" t="n"/>
      <c r="Y273" s="43" t="n"/>
      <c r="Z273" s="43" t="n"/>
    </row>
    <row r="274" ht="15.6" customFormat="1" customHeight="1" s="353">
      <c r="A274" s="66" t="n"/>
      <c r="B274" s="395" t="n"/>
      <c r="C274" s="395" t="n"/>
      <c r="D274" s="395" t="n"/>
      <c r="E274" s="395" t="n"/>
      <c r="F274" s="395" t="n"/>
      <c r="G274" s="395" t="n"/>
      <c r="H274" s="251" t="n"/>
      <c r="I274" s="252" t="n"/>
      <c r="J274" s="251" t="n"/>
      <c r="K274" s="66" t="n"/>
      <c r="L274" s="54" t="n"/>
      <c r="M274" s="54" t="n"/>
      <c r="N274" s="394" t="n"/>
      <c r="O274" s="394" t="n"/>
      <c r="P274" s="686" t="n"/>
      <c r="Q274" s="44" t="n"/>
      <c r="R274" s="688" t="inlineStr">
        <is>
          <t>HKD</t>
        </is>
      </c>
      <c r="S274" s="688" t="n"/>
      <c r="T274" s="688" t="inlineStr">
        <is>
          <t>HKD</t>
        </is>
      </c>
      <c r="V274" s="687" t="n"/>
      <c r="W274" s="687" t="n"/>
      <c r="X274" s="102" t="n"/>
      <c r="Y274" s="43" t="n"/>
      <c r="Z274" s="43" t="n"/>
    </row>
    <row r="275" ht="6.75" customFormat="1" customHeight="1" s="353">
      <c r="A275" s="66" t="n"/>
      <c r="B275" s="395" t="n"/>
      <c r="C275" s="395" t="n"/>
      <c r="D275" s="395" t="n"/>
      <c r="E275" s="395" t="n"/>
      <c r="F275" s="395" t="n"/>
      <c r="G275" s="395" t="n"/>
      <c r="H275" s="251" t="n"/>
      <c r="I275" s="252" t="n"/>
      <c r="J275" s="251" t="n"/>
      <c r="K275" s="66" t="n"/>
      <c r="L275" s="54" t="n"/>
      <c r="M275" s="54" t="n"/>
      <c r="N275" s="394" t="n"/>
      <c r="O275" s="394" t="n"/>
      <c r="P275" s="686" t="n"/>
      <c r="Q275" s="44" t="n"/>
      <c r="R275" s="95" t="n"/>
      <c r="S275" s="686" t="n"/>
      <c r="T275" s="95" t="n"/>
      <c r="V275" s="687" t="n"/>
      <c r="W275" s="687" t="n"/>
      <c r="X275" s="102" t="n"/>
      <c r="Y275" s="43" t="n"/>
      <c r="Z275" s="43" t="n"/>
    </row>
    <row r="276" ht="18" customHeight="1" s="671">
      <c r="A276" s="72" t="n"/>
      <c r="B276" s="448" t="n"/>
      <c r="C276" s="448" t="n"/>
      <c r="D276" s="449" t="n"/>
      <c r="E276" s="448" t="n"/>
      <c r="F276" s="448" t="n"/>
      <c r="G276" s="448" t="n"/>
      <c r="H276" s="299" t="n"/>
      <c r="I276" s="300" t="n"/>
      <c r="J276" s="299" t="n"/>
      <c r="K276" s="72" t="n"/>
      <c r="L276" s="71" t="n"/>
      <c r="M276" s="71" t="n"/>
      <c r="N276" s="666" t="n"/>
      <c r="P276" s="462" t="n"/>
      <c r="R276" s="663" t="inlineStr">
        <is>
          <t>Estimated Amount</t>
        </is>
      </c>
      <c r="S276" s="109" t="n">
        <v>0.3</v>
      </c>
      <c r="T276" s="663" t="inlineStr">
        <is>
          <t>Margin requirement</t>
        </is>
      </c>
    </row>
    <row r="277" ht="18.75" customHeight="1" s="671">
      <c r="A277" s="72" t="n"/>
      <c r="B277" s="448" t="n"/>
      <c r="C277" s="448" t="n"/>
      <c r="D277" s="449" t="n"/>
      <c r="E277" s="448" t="n"/>
      <c r="F277" s="448" t="n"/>
      <c r="G277" s="448" t="n"/>
      <c r="H277" s="116" t="inlineStr">
        <is>
          <t>Collateral 1: 30% x Estimated Amount Total</t>
        </is>
      </c>
      <c r="I277" s="481" t="n"/>
      <c r="J277" s="117" t="n"/>
      <c r="K277" s="481" t="n"/>
      <c r="L277" s="481" t="n"/>
      <c r="M277" s="71" t="n"/>
      <c r="N277" s="666" t="n"/>
      <c r="O277" s="666" t="n"/>
      <c r="P277" s="462" t="n"/>
      <c r="R277" s="663">
        <f>R273</f>
        <v/>
      </c>
      <c r="S277" s="750" t="n"/>
      <c r="T277" s="323">
        <f>-R277*S276</f>
        <v/>
      </c>
    </row>
    <row r="278" ht="8.25" customHeight="1" s="671">
      <c r="A278" s="72" t="n"/>
      <c r="B278" s="448" t="n"/>
      <c r="C278" s="448" t="n"/>
      <c r="D278" s="449" t="n"/>
      <c r="E278" s="448" t="n"/>
      <c r="F278" s="448" t="n"/>
      <c r="G278" s="448" t="n"/>
      <c r="H278" s="71" t="n"/>
      <c r="I278" s="654" t="n"/>
      <c r="J278" s="72" t="n"/>
      <c r="K278" s="654" t="n"/>
      <c r="L278" s="654" t="n"/>
      <c r="M278" s="71" t="n"/>
      <c r="N278" s="666" t="n"/>
      <c r="O278" s="666" t="n"/>
      <c r="P278" s="462" t="n"/>
      <c r="Q278" s="663" t="n"/>
      <c r="R278" s="482" t="n"/>
      <c r="S278" s="750" t="n"/>
      <c r="T278" s="750" t="n"/>
    </row>
    <row r="279" ht="15" customHeight="1" s="671">
      <c r="B279" s="640" t="inlineStr">
        <is>
          <t>DECUMULATOR</t>
        </is>
      </c>
      <c r="C279" s="631" t="inlineStr">
        <is>
          <t>CODE</t>
        </is>
      </c>
      <c r="D279" s="631" t="n"/>
      <c r="E279" s="624" t="inlineStr">
        <is>
          <t>SHARES / DAY</t>
        </is>
      </c>
      <c r="F279" s="625" t="n"/>
      <c r="G279" s="626" t="n"/>
      <c r="H279" s="633" t="inlineStr">
        <is>
          <t>SPOT PRICE</t>
        </is>
      </c>
      <c r="I279" s="633" t="inlineStr">
        <is>
          <t>STRIKE PRICE</t>
        </is>
      </c>
      <c r="J279" s="633" t="inlineStr">
        <is>
          <t>K/O PRICE</t>
        </is>
      </c>
      <c r="K279" s="637" t="inlineStr">
        <is>
          <t>LIFE TERM OF CONTRACT</t>
        </is>
      </c>
      <c r="L279" s="638" t="n"/>
      <c r="M279" s="639" t="n"/>
      <c r="N279" s="622" t="inlineStr">
        <is>
          <t>START DATE</t>
        </is>
      </c>
      <c r="O279" s="622" t="inlineStr">
        <is>
          <t>END DATE</t>
        </is>
      </c>
      <c r="P279" s="682" t="n"/>
      <c r="Q279" s="632" t="inlineStr">
        <is>
          <t>Estimated  Shares to sell</t>
        </is>
      </c>
      <c r="R279" s="683" t="inlineStr">
        <is>
          <t>Estimated Amount</t>
        </is>
      </c>
      <c r="S279" s="682" t="n"/>
      <c r="T279" s="683" t="inlineStr">
        <is>
          <t>Estimated Amount per month</t>
        </is>
      </c>
      <c r="Y279" s="173" t="inlineStr">
        <is>
          <t>july</t>
        </is>
      </c>
      <c r="Z279" s="173" t="inlineStr">
        <is>
          <t>aug</t>
        </is>
      </c>
      <c r="AH279" s="163">
        <f>SUM(#REF!)</f>
        <v/>
      </c>
      <c r="AI279" s="163">
        <f>SUM(#REF!)</f>
        <v/>
      </c>
    </row>
    <row r="280" ht="22.5" customHeight="1" s="671">
      <c r="B280" s="623" t="n"/>
      <c r="C280" s="623" t="n"/>
      <c r="D280" s="390" t="inlineStr">
        <is>
          <t>CB1</t>
        </is>
      </c>
      <c r="E280" s="627" t="n"/>
      <c r="F280" s="628" t="n"/>
      <c r="G280" s="629" t="n"/>
      <c r="H280" s="623" t="n"/>
      <c r="I280" s="623" t="n"/>
      <c r="J280" s="623" t="n"/>
      <c r="K280" s="637" t="inlineStr">
        <is>
          <t>RCVD mos.</t>
        </is>
      </c>
      <c r="L280" s="637" t="inlineStr">
        <is>
          <t>REM mos.</t>
        </is>
      </c>
      <c r="M280" s="637" t="inlineStr">
        <is>
          <t>Total mos.</t>
        </is>
      </c>
      <c r="N280" s="623" t="n"/>
      <c r="O280" s="623" t="n"/>
      <c r="P280" s="682" t="n"/>
      <c r="Q280" s="623" t="n"/>
      <c r="R280" s="623" t="n"/>
      <c r="S280" s="682" t="n"/>
      <c r="T280" s="623" t="n"/>
      <c r="U280" s="654" t="inlineStr">
        <is>
          <t>Closing</t>
        </is>
      </c>
      <c r="V280" s="652" t="inlineStr">
        <is>
          <t>Current</t>
        </is>
      </c>
      <c r="W280" s="652" t="inlineStr">
        <is>
          <t>Next</t>
        </is>
      </c>
      <c r="X280" s="652" t="inlineStr">
        <is>
          <t>sd</t>
        </is>
      </c>
      <c r="Y280" s="173" t="inlineStr">
        <is>
          <t>hkd</t>
        </is>
      </c>
      <c r="Z280" s="173" t="inlineStr">
        <is>
          <t>hkd</t>
        </is>
      </c>
      <c r="AH280" s="654" t="inlineStr">
        <is>
          <t>Double</t>
        </is>
      </c>
      <c r="AI280" s="654" t="inlineStr">
        <is>
          <t>Single</t>
        </is>
      </c>
    </row>
    <row r="281" ht="14.1" customHeight="1" s="671">
      <c r="A281" s="147">
        <f>INDIRECT(ADDRESS(ROW()-1,COLUMN()))+1</f>
        <v/>
      </c>
      <c r="B281" s="495" t="inlineStr">
        <is>
          <t>Great Wall Motor</t>
        </is>
      </c>
      <c r="C281" s="159" t="inlineStr">
        <is>
          <t>2333</t>
        </is>
      </c>
      <c r="D281" s="160" t="inlineStr">
        <is>
          <t>GREATWALL - 81</t>
        </is>
      </c>
      <c r="E281" s="127" t="n">
        <v>5000</v>
      </c>
      <c r="F281" s="73" t="inlineStr">
        <is>
          <t>/</t>
        </is>
      </c>
      <c r="G281" s="128" t="n">
        <v>10000</v>
      </c>
      <c r="H281" s="324" t="n">
        <v>4.7574</v>
      </c>
      <c r="I281" s="325" t="n">
        <v>6.1451</v>
      </c>
      <c r="J281" s="324" t="n">
        <v>4.5195</v>
      </c>
      <c r="K281" s="161" t="n">
        <v>103</v>
      </c>
      <c r="L281" s="171">
        <f>M281-K281</f>
        <v/>
      </c>
      <c r="M281" s="171" t="n">
        <v>248</v>
      </c>
      <c r="N281" s="172" t="n">
        <v>43916</v>
      </c>
      <c r="O281" s="172" t="n">
        <v>44280</v>
      </c>
      <c r="P281" s="682" t="n"/>
      <c r="Q281" s="162">
        <f>E281*L281*X281</f>
        <v/>
      </c>
      <c r="R281" s="785">
        <f>E281*I281*L281*X281</f>
        <v/>
      </c>
      <c r="S281" s="682" t="n"/>
      <c r="T281" s="785">
        <f>E281*I281*20*X281</f>
        <v/>
      </c>
      <c r="U281" s="0" t="n">
        <v>9.119999999999999</v>
      </c>
      <c r="V281" s="304" t="n">
        <v>23</v>
      </c>
      <c r="W281" s="304" t="n">
        <v>42</v>
      </c>
      <c r="X281" s="678" t="n">
        <v>2</v>
      </c>
      <c r="Y281" s="173">
        <f>X281*V281*E281*I281</f>
        <v/>
      </c>
      <c r="Z281" s="173">
        <f>X281*W281*E281*I281</f>
        <v/>
      </c>
      <c r="AB281" s="163">
        <f>MONTH(O281)</f>
        <v/>
      </c>
      <c r="AC281" s="654">
        <f>YEAR(O281)</f>
        <v/>
      </c>
      <c r="AD281" s="654">
        <f>AB281&amp;"-"&amp;AC281&amp;"-"&amp;C281</f>
        <v/>
      </c>
      <c r="AE281" s="654">
        <f>C281</f>
        <v/>
      </c>
      <c r="AF281" s="685">
        <f>MATCH(AE281,ALLM!$C$34:$C$43,)</f>
        <v/>
      </c>
      <c r="AH281" s="163">
        <f>IF(C281="2333",IF(X281=2,1,0),0)</f>
        <v/>
      </c>
      <c r="AI281" s="163">
        <f>IF(C281="2333",IF(X281=1,1,0),0)</f>
        <v/>
      </c>
    </row>
    <row r="282" ht="14.1" customHeight="1" s="671">
      <c r="A282" s="147">
        <f>INDIRECT(ADDRESS(ROW()-1,COLUMN()))+1</f>
        <v/>
      </c>
      <c r="B282" s="495" t="inlineStr">
        <is>
          <t>Great Wall Motor</t>
        </is>
      </c>
      <c r="C282" s="159" t="inlineStr">
        <is>
          <t>2333</t>
        </is>
      </c>
      <c r="D282" s="160" t="inlineStr">
        <is>
          <t>GREATWALL - 82</t>
        </is>
      </c>
      <c r="E282" s="127" t="n">
        <v>5000</v>
      </c>
      <c r="F282" s="73" t="inlineStr">
        <is>
          <t>/</t>
        </is>
      </c>
      <c r="G282" s="128" t="n">
        <v>10000</v>
      </c>
      <c r="H282" s="324" t="n">
        <v>4.7574</v>
      </c>
      <c r="I282" s="325" t="n">
        <v>6.1451</v>
      </c>
      <c r="J282" s="324" t="n">
        <v>4.5195</v>
      </c>
      <c r="K282" s="161" t="n">
        <v>103</v>
      </c>
      <c r="L282" s="171">
        <f>M282-K282</f>
        <v/>
      </c>
      <c r="M282" s="171" t="n">
        <v>248</v>
      </c>
      <c r="N282" s="172" t="n">
        <v>43916</v>
      </c>
      <c r="O282" s="172" t="n">
        <v>44280</v>
      </c>
      <c r="P282" s="682" t="n"/>
      <c r="Q282" s="162">
        <f>E282*L282*X282</f>
        <v/>
      </c>
      <c r="R282" s="785">
        <f>E282*I282*L282*X282</f>
        <v/>
      </c>
      <c r="S282" s="682" t="n"/>
      <c r="T282" s="785">
        <f>E282*I282*20*X282</f>
        <v/>
      </c>
      <c r="U282" s="0" t="n">
        <v>9.119999999999999</v>
      </c>
      <c r="V282" s="304" t="n">
        <v>23</v>
      </c>
      <c r="W282" s="304" t="n">
        <v>42</v>
      </c>
      <c r="X282" s="678" t="n">
        <v>2</v>
      </c>
      <c r="Y282" s="173">
        <f>X282*V282*E282*I282</f>
        <v/>
      </c>
      <c r="Z282" s="173">
        <f>X282*W282*E282*I282</f>
        <v/>
      </c>
      <c r="AB282" s="163">
        <f>MONTH(O282)</f>
        <v/>
      </c>
      <c r="AC282" s="654">
        <f>YEAR(O282)</f>
        <v/>
      </c>
      <c r="AD282" s="654">
        <f>AB282&amp;"-"&amp;AC282&amp;"-"&amp;C282</f>
        <v/>
      </c>
      <c r="AE282" s="654">
        <f>C282</f>
        <v/>
      </c>
      <c r="AF282" s="685">
        <f>MATCH(AE282,ALLM!$C$34:$C$43,)</f>
        <v/>
      </c>
      <c r="AH282" s="163">
        <f>IF(C282="2333",IF(X282=2,1,0),0)</f>
        <v/>
      </c>
      <c r="AI282" s="163">
        <f>IF(C282="2333",IF(X282=1,1,0),0)</f>
        <v/>
      </c>
    </row>
    <row r="283" ht="14.1" customHeight="1" s="671">
      <c r="A283" s="147">
        <f>INDIRECT(ADDRESS(ROW()-1,COLUMN()))+1</f>
        <v/>
      </c>
      <c r="B283" s="495" t="inlineStr">
        <is>
          <t>Great Wall Motor</t>
        </is>
      </c>
      <c r="C283" s="159" t="inlineStr">
        <is>
          <t>2333</t>
        </is>
      </c>
      <c r="D283" s="160" t="inlineStr">
        <is>
          <t>GREATWALL - 83</t>
        </is>
      </c>
      <c r="E283" s="127" t="n">
        <v>6000</v>
      </c>
      <c r="F283" s="73" t="inlineStr">
        <is>
          <t>/</t>
        </is>
      </c>
      <c r="G283" s="128" t="n">
        <v>12000</v>
      </c>
      <c r="H283" s="324" t="n">
        <v>4.686</v>
      </c>
      <c r="I283" s="325" t="n">
        <v>5.9522</v>
      </c>
      <c r="J283" s="324" t="n">
        <v>4.4517</v>
      </c>
      <c r="K283" s="161" t="n">
        <v>103</v>
      </c>
      <c r="L283" s="171">
        <f>M283-K283</f>
        <v/>
      </c>
      <c r="M283" s="171" t="n">
        <v>248</v>
      </c>
      <c r="N283" s="172" t="n">
        <v>43917</v>
      </c>
      <c r="O283" s="172" t="n">
        <v>44281</v>
      </c>
      <c r="P283" s="682" t="n"/>
      <c r="Q283" s="162">
        <f>E283*L283*X283</f>
        <v/>
      </c>
      <c r="R283" s="785">
        <f>E283*I283*L283*X283</f>
        <v/>
      </c>
      <c r="S283" s="682" t="n"/>
      <c r="T283" s="785">
        <f>E283*I283*20*X283</f>
        <v/>
      </c>
      <c r="U283" s="0" t="n">
        <v>9.119999999999999</v>
      </c>
      <c r="V283" s="304" t="n">
        <v>23</v>
      </c>
      <c r="W283" s="304" t="n">
        <v>41</v>
      </c>
      <c r="X283" s="678" t="n">
        <v>2</v>
      </c>
      <c r="Y283" s="173">
        <f>X283*V283*E283*I283</f>
        <v/>
      </c>
      <c r="Z283" s="173">
        <f>X283*W283*E283*I283</f>
        <v/>
      </c>
      <c r="AB283" s="163">
        <f>MONTH(O283)</f>
        <v/>
      </c>
      <c r="AC283" s="654">
        <f>YEAR(O283)</f>
        <v/>
      </c>
      <c r="AD283" s="654">
        <f>AB283&amp;"-"&amp;AC283&amp;"-"&amp;C283</f>
        <v/>
      </c>
      <c r="AE283" s="654">
        <f>C283</f>
        <v/>
      </c>
      <c r="AF283" s="685">
        <f>MATCH(AE283,ALLM!$C$34:$C$43,)</f>
        <v/>
      </c>
      <c r="AH283" s="163">
        <f>IF(C283="2333",IF(X283=2,1,0),0)</f>
        <v/>
      </c>
      <c r="AI283" s="163">
        <f>IF(C283="2333",IF(X283=1,1,0),0)</f>
        <v/>
      </c>
    </row>
    <row r="284" ht="14.1" customHeight="1" s="671">
      <c r="A284" s="147">
        <f>INDIRECT(ADDRESS(ROW()-1,COLUMN()))+1</f>
        <v/>
      </c>
      <c r="B284" s="495" t="inlineStr">
        <is>
          <t>Great Wall Motor</t>
        </is>
      </c>
      <c r="C284" s="159" t="inlineStr">
        <is>
          <t>2333</t>
        </is>
      </c>
      <c r="D284" s="160" t="inlineStr">
        <is>
          <t>GREATWALL - 84</t>
        </is>
      </c>
      <c r="E284" s="127" t="n">
        <v>5000</v>
      </c>
      <c r="F284" s="73" t="inlineStr">
        <is>
          <t>/</t>
        </is>
      </c>
      <c r="G284" s="128" t="n">
        <v>10000</v>
      </c>
      <c r="H284" s="324" t="n">
        <v>4.7491</v>
      </c>
      <c r="I284" s="325" t="n">
        <v>6.0822</v>
      </c>
      <c r="J284" s="324" t="n">
        <v>4.5116</v>
      </c>
      <c r="K284" s="161" t="n">
        <v>103</v>
      </c>
      <c r="L284" s="171">
        <f>M284-K284</f>
        <v/>
      </c>
      <c r="M284" s="171" t="n">
        <v>248</v>
      </c>
      <c r="N284" s="172" t="n">
        <v>43920</v>
      </c>
      <c r="O284" s="172" t="n">
        <v>44284</v>
      </c>
      <c r="P284" s="682" t="n"/>
      <c r="Q284" s="162">
        <f>E284*L284*X284</f>
        <v/>
      </c>
      <c r="R284" s="785">
        <f>E284*I284*L284*X284</f>
        <v/>
      </c>
      <c r="S284" s="682" t="n"/>
      <c r="T284" s="785">
        <f>E284*I284*20*X284</f>
        <v/>
      </c>
      <c r="U284" s="0" t="n">
        <v>9.119999999999999</v>
      </c>
      <c r="V284" s="304" t="n">
        <v>22</v>
      </c>
      <c r="W284" s="304" t="n">
        <v>40</v>
      </c>
      <c r="X284" s="678" t="n">
        <v>2</v>
      </c>
      <c r="Y284" s="173">
        <f>X284*V284*E284*I284</f>
        <v/>
      </c>
      <c r="Z284" s="173">
        <f>X284*W284*E284*I284</f>
        <v/>
      </c>
      <c r="AB284" s="163">
        <f>MONTH(O284)</f>
        <v/>
      </c>
      <c r="AC284" s="654">
        <f>YEAR(O284)</f>
        <v/>
      </c>
      <c r="AD284" s="654">
        <f>AB284&amp;"-"&amp;AC284&amp;"-"&amp;C284</f>
        <v/>
      </c>
      <c r="AE284" s="654">
        <f>C284</f>
        <v/>
      </c>
      <c r="AF284" s="685">
        <f>MATCH(AE284,ALLM!$C$34:$C$43,)</f>
        <v/>
      </c>
      <c r="AH284" s="163">
        <f>IF(C284="2333",IF(X284=2,1,0),0)</f>
        <v/>
      </c>
      <c r="AI284" s="163">
        <f>IF(C284="2333",IF(X284=1,1,0),0)</f>
        <v/>
      </c>
    </row>
    <row r="285" ht="14.1" customHeight="1" s="671">
      <c r="A285" s="147">
        <f>INDIRECT(ADDRESS(ROW()-1,COLUMN()))+1</f>
        <v/>
      </c>
      <c r="B285" s="495" t="inlineStr">
        <is>
          <t>Great Wall Motor</t>
        </is>
      </c>
      <c r="C285" s="159" t="inlineStr">
        <is>
          <t>2333</t>
        </is>
      </c>
      <c r="D285" s="160" t="inlineStr">
        <is>
          <t>GREATWALL - 85</t>
        </is>
      </c>
      <c r="E285" s="127" t="n">
        <v>6000</v>
      </c>
      <c r="F285" s="73" t="inlineStr">
        <is>
          <t>/</t>
        </is>
      </c>
      <c r="G285" s="128" t="n">
        <v>12000</v>
      </c>
      <c r="H285" s="324" t="n">
        <v>4.9173</v>
      </c>
      <c r="I285" s="325" t="n">
        <v>5.9455</v>
      </c>
      <c r="J285" s="324" t="n">
        <v>4.4256</v>
      </c>
      <c r="K285" s="161" t="n">
        <v>103</v>
      </c>
      <c r="L285" s="171">
        <f>M285-K285</f>
        <v/>
      </c>
      <c r="M285" s="171" t="n">
        <v>187</v>
      </c>
      <c r="N285" s="172" t="n">
        <v>43922</v>
      </c>
      <c r="O285" s="172" t="n">
        <v>44196</v>
      </c>
      <c r="P285" s="682" t="n"/>
      <c r="Q285" s="162">
        <f>E285*L285*X285</f>
        <v/>
      </c>
      <c r="R285" s="785">
        <f>E285*I285*L285*X285</f>
        <v/>
      </c>
      <c r="S285" s="682" t="n"/>
      <c r="T285" s="785">
        <f>E285*I285*20*X285</f>
        <v/>
      </c>
      <c r="U285" s="0" t="n">
        <v>9.119999999999999</v>
      </c>
      <c r="V285" s="304" t="n">
        <v>22</v>
      </c>
      <c r="W285" s="304" t="n">
        <v>0</v>
      </c>
      <c r="X285" s="678" t="n">
        <v>2</v>
      </c>
      <c r="Y285" s="173">
        <f>X285*V285*E285*I285</f>
        <v/>
      </c>
      <c r="Z285" s="173">
        <f>X285*W285*E285*I285</f>
        <v/>
      </c>
      <c r="AB285" s="163">
        <f>MONTH(O285)</f>
        <v/>
      </c>
      <c r="AC285" s="654">
        <f>YEAR(O285)</f>
        <v/>
      </c>
      <c r="AD285" s="654">
        <f>AB285&amp;"-"&amp;AC285&amp;"-"&amp;C285</f>
        <v/>
      </c>
      <c r="AE285" s="654">
        <f>C285</f>
        <v/>
      </c>
      <c r="AF285" s="685">
        <f>MATCH(AE285,ALLM!$C$34:$C$43,)</f>
        <v/>
      </c>
      <c r="AH285" s="163">
        <f>IF(C285="2333",IF(X285=2,1,0),0)</f>
        <v/>
      </c>
      <c r="AI285" s="163">
        <f>IF(C285="2333",IF(X285=1,1,0),0)</f>
        <v/>
      </c>
    </row>
    <row r="286" ht="14.1" customHeight="1" s="671">
      <c r="A286" s="147">
        <f>INDIRECT(ADDRESS(ROW()-1,COLUMN()))+1</f>
        <v/>
      </c>
      <c r="B286" s="495" t="inlineStr">
        <is>
          <t>Great Wall Motor</t>
        </is>
      </c>
      <c r="C286" s="159" t="inlineStr">
        <is>
          <t>2333</t>
        </is>
      </c>
      <c r="D286" s="160" t="inlineStr">
        <is>
          <t>GREATWALL - 86</t>
        </is>
      </c>
      <c r="E286" s="127" t="n">
        <v>5000</v>
      </c>
      <c r="F286" s="73" t="inlineStr">
        <is>
          <t>/</t>
        </is>
      </c>
      <c r="G286" s="128" t="n">
        <v>10000</v>
      </c>
      <c r="H286" s="324" t="n">
        <v>5.0119</v>
      </c>
      <c r="I286" s="325" t="n">
        <v>6.2754</v>
      </c>
      <c r="J286" s="324" t="n">
        <v>4.7613</v>
      </c>
      <c r="K286" s="161" t="n">
        <v>84</v>
      </c>
      <c r="L286" s="171">
        <f>M286-K286</f>
        <v/>
      </c>
      <c r="M286" s="171" t="n">
        <v>247</v>
      </c>
      <c r="N286" s="172" t="n">
        <v>43936</v>
      </c>
      <c r="O286" s="172" t="n">
        <v>44300</v>
      </c>
      <c r="P286" s="682" t="n"/>
      <c r="Q286" s="162">
        <f>E286*L286*X286</f>
        <v/>
      </c>
      <c r="R286" s="785">
        <f>E286*I286*L286*X286</f>
        <v/>
      </c>
      <c r="S286" s="682" t="n"/>
      <c r="T286" s="785">
        <f>E286*I286*20*X286</f>
        <v/>
      </c>
      <c r="U286" s="0" t="n">
        <v>9.119999999999999</v>
      </c>
      <c r="V286" s="304" t="n">
        <v>21</v>
      </c>
      <c r="W286" s="304" t="n">
        <v>41</v>
      </c>
      <c r="X286" s="678" t="n">
        <v>2</v>
      </c>
      <c r="Y286" s="173">
        <f>X286*V286*E286*I286</f>
        <v/>
      </c>
      <c r="Z286" s="173">
        <f>X286*W286*E286*I286</f>
        <v/>
      </c>
      <c r="AB286" s="163">
        <f>MONTH(O286)</f>
        <v/>
      </c>
      <c r="AC286" s="654">
        <f>YEAR(O286)</f>
        <v/>
      </c>
      <c r="AD286" s="654">
        <f>AB286&amp;"-"&amp;AC286&amp;"-"&amp;C286</f>
        <v/>
      </c>
      <c r="AE286" s="654">
        <f>C286</f>
        <v/>
      </c>
      <c r="AF286" s="685">
        <f>MATCH(AE286,ALLM!$C$34:$C$43,)</f>
        <v/>
      </c>
      <c r="AH286" s="163">
        <f>IF(C286="2333",IF(X286=2,1,0),0)</f>
        <v/>
      </c>
      <c r="AI286" s="163">
        <f>IF(C286="2333",IF(X286=1,1,0),0)</f>
        <v/>
      </c>
    </row>
    <row r="287" ht="14.1" customHeight="1" s="671">
      <c r="A287" s="147">
        <f>INDIRECT(ADDRESS(ROW()-1,COLUMN()))+1</f>
        <v/>
      </c>
      <c r="B287" s="495" t="inlineStr">
        <is>
          <t>Great Wall Motor</t>
        </is>
      </c>
      <c r="C287" s="159" t="inlineStr">
        <is>
          <t>2333</t>
        </is>
      </c>
      <c r="D287" s="160" t="inlineStr">
        <is>
          <t>GREATWALL - 87</t>
        </is>
      </c>
      <c r="E287" s="127" t="n">
        <v>6000</v>
      </c>
      <c r="F287" s="73" t="inlineStr">
        <is>
          <t>/</t>
        </is>
      </c>
      <c r="G287" s="128" t="n">
        <v>12000</v>
      </c>
      <c r="H287" s="324" t="n">
        <v>4.9104</v>
      </c>
      <c r="I287" s="325" t="n">
        <v>5.9475</v>
      </c>
      <c r="J287" s="324" t="n">
        <v>4.6649</v>
      </c>
      <c r="K287" s="161" t="n">
        <v>84</v>
      </c>
      <c r="L287" s="171">
        <f>M287-K287</f>
        <v/>
      </c>
      <c r="M287" s="171" t="n">
        <v>247</v>
      </c>
      <c r="N287" s="172" t="n">
        <v>43943</v>
      </c>
      <c r="O287" s="172" t="n">
        <v>44307</v>
      </c>
      <c r="P287" s="682" t="n"/>
      <c r="Q287" s="162">
        <f>E287*L287*X287</f>
        <v/>
      </c>
      <c r="R287" s="785">
        <f>E287*I287*L287*X287</f>
        <v/>
      </c>
      <c r="S287" s="682" t="n"/>
      <c r="T287" s="785">
        <f>E287*I287*20*X287</f>
        <v/>
      </c>
      <c r="U287" s="0" t="n">
        <v>9.119999999999999</v>
      </c>
      <c r="V287" s="304" t="n">
        <v>21</v>
      </c>
      <c r="W287" s="304" t="n">
        <v>41</v>
      </c>
      <c r="X287" s="678" t="n">
        <v>2</v>
      </c>
      <c r="Y287" s="173">
        <f>X287*V287*E287*I287</f>
        <v/>
      </c>
      <c r="Z287" s="173">
        <f>X287*W287*E287*I287</f>
        <v/>
      </c>
      <c r="AB287" s="163">
        <f>MONTH(O287)</f>
        <v/>
      </c>
      <c r="AC287" s="654">
        <f>YEAR(O287)</f>
        <v/>
      </c>
      <c r="AD287" s="654">
        <f>AB287&amp;"-"&amp;AC287&amp;"-"&amp;C287</f>
        <v/>
      </c>
      <c r="AE287" s="654">
        <f>C287</f>
        <v/>
      </c>
      <c r="AF287" s="685">
        <f>MATCH(AE287,ALLM!$C$34:$C$43,)</f>
        <v/>
      </c>
      <c r="AH287" s="163">
        <f>IF(C287="2333",IF(X287=2,1,0),0)</f>
        <v/>
      </c>
      <c r="AI287" s="163">
        <f>IF(C287="2333",IF(X287=1,1,0),0)</f>
        <v/>
      </c>
    </row>
    <row r="288" ht="14.1" customHeight="1" s="671">
      <c r="A288" s="147">
        <f>INDIRECT(ADDRESS(ROW()-1,COLUMN()))+1</f>
        <v/>
      </c>
      <c r="B288" s="495" t="inlineStr">
        <is>
          <t>Great Wall Motor</t>
        </is>
      </c>
      <c r="C288" s="159" t="inlineStr">
        <is>
          <t>2333</t>
        </is>
      </c>
      <c r="D288" s="160" t="inlineStr">
        <is>
          <t>GREATWALL - 88</t>
        </is>
      </c>
      <c r="E288" s="127" t="n">
        <v>5000</v>
      </c>
      <c r="F288" s="73" t="inlineStr">
        <is>
          <t>/</t>
        </is>
      </c>
      <c r="G288" s="128" t="n">
        <v>10000</v>
      </c>
      <c r="H288" s="324" t="n">
        <v>4.88</v>
      </c>
      <c r="I288" s="325" t="n">
        <v>5.8955</v>
      </c>
      <c r="J288" s="324" t="n">
        <v>4.392</v>
      </c>
      <c r="K288" s="161" t="n">
        <v>83</v>
      </c>
      <c r="L288" s="171">
        <f>M288-K288</f>
        <v/>
      </c>
      <c r="M288" s="171" t="n">
        <v>247</v>
      </c>
      <c r="N288" s="172" t="n">
        <v>43945</v>
      </c>
      <c r="O288" s="172" t="n">
        <v>44309</v>
      </c>
      <c r="P288" s="682" t="n"/>
      <c r="Q288" s="162">
        <f>E288*L288*X288</f>
        <v/>
      </c>
      <c r="R288" s="785">
        <f>E288*I288*L288*X288</f>
        <v/>
      </c>
      <c r="S288" s="682" t="n"/>
      <c r="T288" s="785">
        <f>E288*I288*20*X288</f>
        <v/>
      </c>
      <c r="U288" s="0" t="n">
        <v>9.119999999999999</v>
      </c>
      <c r="V288" s="304" t="n">
        <v>22</v>
      </c>
      <c r="W288" s="304" t="n">
        <v>42</v>
      </c>
      <c r="X288" s="678" t="n">
        <v>2</v>
      </c>
      <c r="Y288" s="173">
        <f>X288*V288*E288*I288</f>
        <v/>
      </c>
      <c r="Z288" s="173">
        <f>X288*W288*E288*I288</f>
        <v/>
      </c>
      <c r="AB288" s="163">
        <f>MONTH(O288)</f>
        <v/>
      </c>
      <c r="AC288" s="654">
        <f>YEAR(O288)</f>
        <v/>
      </c>
      <c r="AD288" s="654">
        <f>AB288&amp;"-"&amp;AC288&amp;"-"&amp;C288</f>
        <v/>
      </c>
      <c r="AE288" s="654">
        <f>C288</f>
        <v/>
      </c>
      <c r="AF288" s="685">
        <f>MATCH(AE288,ALLM!$C$34:$C$43,)</f>
        <v/>
      </c>
      <c r="AH288" s="163">
        <f>IF(C288="2333",IF(X288=2,1,0),0)</f>
        <v/>
      </c>
      <c r="AI288" s="163">
        <f>IF(C288="2333",IF(X288=1,1,0),0)</f>
        <v/>
      </c>
    </row>
    <row r="289" ht="14.1" customHeight="1" s="671">
      <c r="A289" s="147">
        <f>INDIRECT(ADDRESS(ROW()-1,COLUMN()))+1</f>
        <v/>
      </c>
      <c r="B289" s="495" t="inlineStr">
        <is>
          <t>Great Wall Motor</t>
        </is>
      </c>
      <c r="C289" s="159" t="inlineStr">
        <is>
          <t>2333</t>
        </is>
      </c>
      <c r="D289" s="160" t="inlineStr">
        <is>
          <t>GREATWALL - 89</t>
        </is>
      </c>
      <c r="E289" s="127" t="n">
        <v>6000</v>
      </c>
      <c r="F289" s="73" t="inlineStr">
        <is>
          <t>/</t>
        </is>
      </c>
      <c r="G289" s="128" t="n">
        <v>12000</v>
      </c>
      <c r="H289" s="324" t="n">
        <v>5.0216</v>
      </c>
      <c r="I289" s="325" t="n">
        <v>5.9315</v>
      </c>
      <c r="J289" s="324" t="n">
        <v>4.5194</v>
      </c>
      <c r="K289" s="161" t="n">
        <v>64</v>
      </c>
      <c r="L289" s="171">
        <f>M289-K289</f>
        <v/>
      </c>
      <c r="M289" s="171" t="n">
        <v>249</v>
      </c>
      <c r="N289" s="172" t="n">
        <v>43956</v>
      </c>
      <c r="O289" s="172" t="n">
        <v>44320</v>
      </c>
      <c r="P289" s="682" t="n"/>
      <c r="Q289" s="162">
        <f>E289*L289*X289</f>
        <v/>
      </c>
      <c r="R289" s="785">
        <f>E289*I289*L289*X289</f>
        <v/>
      </c>
      <c r="S289" s="682" t="n"/>
      <c r="T289" s="785">
        <f>E289*I289*20*X289</f>
        <v/>
      </c>
      <c r="U289" s="0" t="n">
        <v>9.119999999999999</v>
      </c>
      <c r="V289" s="304" t="n">
        <v>23</v>
      </c>
      <c r="W289" s="304" t="n">
        <v>42</v>
      </c>
      <c r="X289" s="678" t="n">
        <v>2</v>
      </c>
      <c r="Y289" s="173">
        <f>X289*V289*E289*I289</f>
        <v/>
      </c>
      <c r="Z289" s="173">
        <f>X289*W289*E289*I289</f>
        <v/>
      </c>
      <c r="AB289" s="163">
        <f>MONTH(O289)</f>
        <v/>
      </c>
      <c r="AC289" s="654">
        <f>YEAR(O289)</f>
        <v/>
      </c>
      <c r="AD289" s="654">
        <f>AB289&amp;"-"&amp;AC289&amp;"-"&amp;C289</f>
        <v/>
      </c>
      <c r="AE289" s="654">
        <f>C289</f>
        <v/>
      </c>
      <c r="AF289" s="685">
        <f>MATCH(AE289,ALLM!$C$34:$C$43,)</f>
        <v/>
      </c>
      <c r="AH289" s="163">
        <f>IF(C289="2333",IF(X289=2,1,0),0)</f>
        <v/>
      </c>
      <c r="AI289" s="163">
        <f>IF(C289="2333",IF(X289=1,1,0),0)</f>
        <v/>
      </c>
    </row>
    <row r="290" ht="14.1" customHeight="1" s="671">
      <c r="A290" s="147">
        <f>INDIRECT(ADDRESS(ROW()-1,COLUMN()))+1</f>
        <v/>
      </c>
      <c r="B290" s="495" t="inlineStr">
        <is>
          <t>Great Wall Motor</t>
        </is>
      </c>
      <c r="C290" s="159" t="inlineStr">
        <is>
          <t>2333</t>
        </is>
      </c>
      <c r="D290" s="160" t="inlineStr">
        <is>
          <t>GREATWALL - 90</t>
        </is>
      </c>
      <c r="E290" s="127" t="n">
        <v>5000</v>
      </c>
      <c r="F290" s="73" t="inlineStr">
        <is>
          <t>/</t>
        </is>
      </c>
      <c r="G290" s="128" t="n">
        <v>10000</v>
      </c>
      <c r="H290" s="324" t="n">
        <v>5.1615</v>
      </c>
      <c r="I290" s="325" t="n">
        <v>5.8444</v>
      </c>
      <c r="J290" s="324" t="n">
        <v>4.6454</v>
      </c>
      <c r="K290" s="161" t="n">
        <v>64</v>
      </c>
      <c r="L290" s="171">
        <f>M290-K290</f>
        <v/>
      </c>
      <c r="M290" s="171" t="n">
        <v>248</v>
      </c>
      <c r="N290" s="172" t="n">
        <v>43986</v>
      </c>
      <c r="O290" s="172" t="n">
        <v>44350</v>
      </c>
      <c r="P290" s="682" t="n"/>
      <c r="Q290" s="162">
        <f>E290*L290*X290</f>
        <v/>
      </c>
      <c r="R290" s="785">
        <f>E290*I290*L290*X290</f>
        <v/>
      </c>
      <c r="S290" s="682" t="n"/>
      <c r="T290" s="785">
        <f>E290*I290*20*X290</f>
        <v/>
      </c>
      <c r="U290" s="0" t="n">
        <v>9.119999999999999</v>
      </c>
      <c r="V290" s="304" t="n">
        <v>0</v>
      </c>
      <c r="W290" s="304" t="n">
        <v>20</v>
      </c>
      <c r="X290" s="678" t="n">
        <v>2</v>
      </c>
      <c r="Y290" s="173">
        <f>X290*V290*E290*I290</f>
        <v/>
      </c>
      <c r="Z290" s="173">
        <f>X290*W290*E290*I290</f>
        <v/>
      </c>
      <c r="AB290" s="163">
        <f>MONTH(O290)</f>
        <v/>
      </c>
      <c r="AC290" s="654">
        <f>YEAR(O290)</f>
        <v/>
      </c>
      <c r="AD290" s="654">
        <f>AB290&amp;"-"&amp;AC290&amp;"-"&amp;C290</f>
        <v/>
      </c>
      <c r="AE290" s="654">
        <f>C290</f>
        <v/>
      </c>
      <c r="AF290" s="685">
        <f>MATCH(AE290,ALLM!$C$34:$C$43,)</f>
        <v/>
      </c>
      <c r="AH290" s="163">
        <f>IF(C290="2333",IF(X290=2,1,0),0)</f>
        <v/>
      </c>
      <c r="AI290" s="163">
        <f>IF(C290="2333",IF(X290=1,1,0),0)</f>
        <v/>
      </c>
    </row>
    <row r="291" ht="14.1" customHeight="1" s="671">
      <c r="A291" s="147">
        <f>INDIRECT(ADDRESS(ROW()-1,COLUMN()))+1</f>
        <v/>
      </c>
      <c r="B291" s="495" t="inlineStr">
        <is>
          <t>Great Wall Motor</t>
        </is>
      </c>
      <c r="C291" s="159" t="inlineStr">
        <is>
          <t>2333</t>
        </is>
      </c>
      <c r="D291" s="160" t="inlineStr">
        <is>
          <t>GREATWALL - 91</t>
        </is>
      </c>
      <c r="E291" s="127" t="n">
        <v>5000</v>
      </c>
      <c r="F291" s="73" t="inlineStr">
        <is>
          <t>/</t>
        </is>
      </c>
      <c r="G291" s="128" t="n">
        <v>10000</v>
      </c>
      <c r="H291" s="324" t="n">
        <v>5.2034</v>
      </c>
      <c r="I291" s="325" t="n">
        <v>6.1962</v>
      </c>
      <c r="J291" s="324" t="n">
        <v>4.9432</v>
      </c>
      <c r="K291" s="161" t="n">
        <v>44</v>
      </c>
      <c r="L291" s="171">
        <f>M291-K291</f>
        <v/>
      </c>
      <c r="M291" s="171" t="n">
        <v>248</v>
      </c>
      <c r="N291" s="172" t="n">
        <v>44018</v>
      </c>
      <c r="O291" s="172" t="n">
        <v>44382</v>
      </c>
      <c r="P291" s="682" t="n"/>
      <c r="Q291" s="162">
        <f>E291*L291*X291</f>
        <v/>
      </c>
      <c r="R291" s="785">
        <f>E291*I291*L291*X291</f>
        <v/>
      </c>
      <c r="S291" s="682" t="n"/>
      <c r="T291" s="785">
        <f>E291*I291*20*X291</f>
        <v/>
      </c>
      <c r="U291" s="0" t="n">
        <v>9.119999999999999</v>
      </c>
      <c r="V291" s="304" t="n">
        <v>0</v>
      </c>
      <c r="W291" s="304" t="n">
        <v>20</v>
      </c>
      <c r="X291" s="678" t="n">
        <v>2</v>
      </c>
      <c r="Y291" s="173">
        <f>X291*V291*E291*I291</f>
        <v/>
      </c>
      <c r="Z291" s="173">
        <f>X291*W291*E291*I291</f>
        <v/>
      </c>
      <c r="AB291" s="163">
        <f>MONTH(O291)</f>
        <v/>
      </c>
      <c r="AC291" s="654">
        <f>YEAR(O291)</f>
        <v/>
      </c>
      <c r="AD291" s="654">
        <f>AB291&amp;"-"&amp;AC291&amp;"-"&amp;C291</f>
        <v/>
      </c>
      <c r="AE291" s="654">
        <f>C291</f>
        <v/>
      </c>
      <c r="AF291" s="685">
        <f>MATCH(AE291,ALLM!$C$34:$C$43,)</f>
        <v/>
      </c>
      <c r="AH291" s="163">
        <f>IF(C291="2333",IF(X291=2,1,0),0)</f>
        <v/>
      </c>
      <c r="AI291" s="163">
        <f>IF(C291="2333",IF(X291=1,1,0),0)</f>
        <v/>
      </c>
    </row>
    <row r="292" ht="7.5" customHeight="1" s="671">
      <c r="A292" s="147" t="n"/>
    </row>
    <row r="293">
      <c r="L293" s="71" t="n"/>
      <c r="N293" s="453" t="n"/>
      <c r="O293" s="453" t="inlineStr">
        <is>
          <t>Total</t>
        </is>
      </c>
      <c r="P293" s="453" t="n"/>
      <c r="Q293" s="663">
        <f>SUM(Q280:Q292)</f>
        <v/>
      </c>
      <c r="R293" s="94">
        <f>SUM(R280:R292)</f>
        <v/>
      </c>
      <c r="S293" s="453" t="n"/>
      <c r="T293" s="745">
        <f>SUM(T280:T292)</f>
        <v/>
      </c>
    </row>
    <row r="294">
      <c r="A294" s="72" t="n"/>
      <c r="B294" s="448" t="n"/>
      <c r="C294" s="448" t="n"/>
      <c r="D294" s="449" t="n"/>
      <c r="E294" s="448" t="n"/>
      <c r="F294" s="448" t="n"/>
      <c r="G294" s="448" t="n"/>
      <c r="H294" s="299" t="n"/>
      <c r="I294" s="300" t="n"/>
      <c r="J294" s="299" t="n"/>
      <c r="K294" s="72" t="n"/>
      <c r="Q294" s="656" t="inlineStr">
        <is>
          <t>Shares</t>
        </is>
      </c>
      <c r="R294" s="656" t="inlineStr">
        <is>
          <t>HKD</t>
        </is>
      </c>
      <c r="S294" s="656" t="n"/>
      <c r="T294" s="656" t="inlineStr">
        <is>
          <t>HKD</t>
        </is>
      </c>
    </row>
    <row r="295" ht="6.75" customHeight="1" s="671">
      <c r="A295" s="72" t="n"/>
      <c r="B295" s="448" t="n"/>
      <c r="C295" s="448" t="n"/>
      <c r="D295" s="449" t="n"/>
      <c r="E295" s="448" t="n"/>
      <c r="F295" s="448" t="n"/>
      <c r="G295" s="448" t="n"/>
      <c r="H295" s="299" t="n"/>
      <c r="I295" s="300" t="n"/>
      <c r="J295" s="299" t="n"/>
      <c r="K295" s="72" t="n"/>
      <c r="P295" s="682" t="n"/>
      <c r="Q295" s="682" t="n"/>
      <c r="R295" s="682" t="n"/>
      <c r="S295" s="682" t="n"/>
    </row>
    <row r="296" ht="18.75" customHeight="1" s="671">
      <c r="A296" s="72" t="n"/>
      <c r="B296" s="448" t="n"/>
      <c r="C296" s="448" t="n"/>
      <c r="D296" s="449" t="n"/>
      <c r="E296" s="448" t="n"/>
      <c r="F296" s="448" t="n"/>
      <c r="G296" s="448" t="n"/>
      <c r="H296" s="299" t="n"/>
      <c r="I296" s="300" t="n"/>
      <c r="J296" s="71" t="inlineStr">
        <is>
          <t>Total Shares to sell</t>
        </is>
      </c>
      <c r="K296" s="72" t="n"/>
      <c r="L296" s="654" t="n"/>
      <c r="M296" s="462" t="n"/>
      <c r="O296" s="462" t="n"/>
      <c r="P296" s="462" t="n"/>
      <c r="Q296" s="663">
        <f>Q293</f>
        <v/>
      </c>
      <c r="R296" s="750" t="n"/>
      <c r="S296" s="750" t="n"/>
      <c r="T296" s="750" t="n"/>
    </row>
    <row r="297" ht="18.75" customHeight="1" s="671">
      <c r="A297" s="72" t="n"/>
      <c r="B297" s="448" t="n"/>
      <c r="C297" s="448" t="n"/>
      <c r="D297" s="449" t="n"/>
      <c r="E297" s="448" t="n"/>
      <c r="F297" s="448" t="n"/>
      <c r="G297" s="448" t="n"/>
      <c r="H297" s="299" t="n"/>
      <c r="I297" s="300" t="n"/>
      <c r="J297" s="71" t="inlineStr">
        <is>
          <t>On hand</t>
        </is>
      </c>
      <c r="K297" s="72" t="n"/>
      <c r="L297" s="654" t="n"/>
      <c r="M297" s="71" t="n"/>
      <c r="N297" s="666" t="n"/>
      <c r="P297" s="462" t="n"/>
      <c r="Q297" s="663" t="n">
        <v>2205500</v>
      </c>
      <c r="R297" s="750" t="n"/>
      <c r="S297" s="750" t="n"/>
      <c r="T297" s="750" t="n"/>
    </row>
    <row r="298" ht="18.75" customHeight="1" s="671">
      <c r="A298" s="72" t="n"/>
      <c r="B298" s="448" t="n"/>
      <c r="C298" s="448" t="n"/>
      <c r="D298" s="449" t="n"/>
      <c r="E298" s="448" t="n"/>
      <c r="F298" s="448" t="n"/>
      <c r="G298" s="448" t="n"/>
      <c r="H298" s="299" t="n"/>
      <c r="I298" s="300" t="n"/>
      <c r="J298" s="71" t="inlineStr">
        <is>
          <t>Balance shares for decu</t>
        </is>
      </c>
      <c r="K298" s="72" t="n"/>
      <c r="L298" s="654" t="n"/>
      <c r="M298" s="71" t="n"/>
      <c r="N298" s="666" t="n"/>
      <c r="O298" s="666" t="n"/>
      <c r="P298" s="462" t="n"/>
      <c r="Q298" s="110">
        <f>Q296-Q297</f>
        <v/>
      </c>
      <c r="R298" s="750" t="n"/>
      <c r="S298" s="750" t="n"/>
      <c r="T298" s="750" t="n"/>
    </row>
    <row r="299" ht="7.5" customHeight="1" s="671">
      <c r="A299" s="72" t="n"/>
      <c r="B299" s="448" t="n"/>
      <c r="C299" s="448" t="n"/>
      <c r="D299" s="449" t="n"/>
      <c r="E299" s="448" t="n"/>
      <c r="F299" s="448" t="n"/>
      <c r="G299" s="448" t="n"/>
      <c r="H299" s="299" t="n"/>
      <c r="I299" s="300" t="n"/>
      <c r="J299" s="71" t="n"/>
      <c r="K299" s="72" t="n"/>
      <c r="L299" s="654" t="n"/>
      <c r="M299" s="71" t="n"/>
      <c r="N299" s="666" t="n"/>
      <c r="O299" s="666" t="n"/>
      <c r="P299" s="462" t="n"/>
      <c r="Q299" s="663" t="n"/>
      <c r="R299" s="750" t="n"/>
      <c r="S299" s="750" t="n"/>
      <c r="T299" s="750" t="n"/>
    </row>
    <row r="300" ht="18.75" customHeight="1" s="671">
      <c r="A300" s="72" t="n"/>
      <c r="B300" s="448" t="n"/>
      <c r="C300" s="448" t="n"/>
      <c r="D300" s="449" t="n"/>
      <c r="E300" s="448" t="n"/>
      <c r="F300" s="448" t="n"/>
      <c r="G300" s="448" t="n"/>
      <c r="H300" s="299" t="n"/>
      <c r="I300" s="300" t="n"/>
      <c r="J300" s="299" t="n"/>
      <c r="K300" s="72" t="n"/>
      <c r="L300" s="71" t="n"/>
      <c r="M300" s="71" t="n"/>
      <c r="N300" s="666" t="n"/>
      <c r="P300" s="462" t="n"/>
      <c r="R300" s="663" t="inlineStr">
        <is>
          <t>Estimated Amount</t>
        </is>
      </c>
      <c r="S300" s="109" t="n">
        <v>0.3</v>
      </c>
      <c r="T300" s="663" t="inlineStr">
        <is>
          <t>Margin requirement</t>
        </is>
      </c>
    </row>
    <row r="301" ht="14.1" customHeight="1" s="671">
      <c r="A301" s="72" t="n"/>
      <c r="B301" s="448" t="n"/>
      <c r="C301" s="448" t="n"/>
      <c r="D301" s="449" t="n"/>
      <c r="E301" s="448" t="n"/>
      <c r="F301" s="448" t="n"/>
      <c r="G301" s="448" t="n"/>
      <c r="H301" s="116" t="inlineStr">
        <is>
          <t>Collateral 2: 30% x Estimated Amount Total</t>
        </is>
      </c>
      <c r="I301" s="481" t="n"/>
      <c r="J301" s="117" t="n"/>
      <c r="K301" s="481" t="n"/>
      <c r="L301" s="481" t="n"/>
      <c r="M301" s="71" t="n"/>
      <c r="N301" s="666" t="n"/>
      <c r="O301" s="666" t="n"/>
      <c r="P301" s="462" t="n"/>
      <c r="R301" s="663">
        <f>R293</f>
        <v/>
      </c>
      <c r="S301" s="750" t="n"/>
      <c r="T301" s="323">
        <f>-R301*S300</f>
        <v/>
      </c>
    </row>
    <row r="302" ht="9.75" customHeight="1" s="671">
      <c r="A302" s="72" t="n"/>
      <c r="B302" s="448" t="n"/>
      <c r="C302" s="448" t="n"/>
      <c r="D302" s="449" t="n"/>
      <c r="E302" s="448" t="n"/>
      <c r="F302" s="448" t="n"/>
      <c r="G302" s="448" t="n"/>
      <c r="H302" s="71" t="n"/>
      <c r="I302" s="654" t="n"/>
      <c r="J302" s="72" t="n"/>
      <c r="K302" s="654" t="n"/>
      <c r="L302" s="654" t="n"/>
      <c r="M302" s="71" t="n"/>
      <c r="N302" s="666" t="n"/>
      <c r="O302" s="666" t="n"/>
      <c r="P302" s="462" t="n"/>
      <c r="Q302" s="663" t="n"/>
      <c r="R302" s="482" t="n"/>
      <c r="S302" s="750" t="n"/>
      <c r="T302" s="750" t="n"/>
    </row>
    <row r="303" ht="18.75" customHeight="1" s="671">
      <c r="A303" s="72" t="n"/>
      <c r="B303" s="448" t="n"/>
      <c r="C303" s="448" t="n"/>
      <c r="D303" s="449" t="n"/>
      <c r="E303" s="448" t="n"/>
      <c r="F303" s="448" t="n"/>
      <c r="G303" s="448" t="n"/>
      <c r="H303" s="299" t="n"/>
      <c r="I303" s="654" t="n"/>
      <c r="J303" s="72" t="n"/>
      <c r="K303" s="654" t="n"/>
      <c r="L303" s="71" t="n"/>
      <c r="M303" s="71" t="n"/>
      <c r="N303" s="666" t="n"/>
      <c r="O303" s="666" t="n"/>
      <c r="P303" s="462" t="n"/>
      <c r="Q303" s="750" t="inlineStr">
        <is>
          <t>Market Price</t>
        </is>
      </c>
      <c r="R303" s="485">
        <f>market_price</f>
        <v/>
      </c>
    </row>
    <row r="304" ht="30" customFormat="1" customHeight="1" s="665">
      <c r="A304" s="112" t="n"/>
      <c r="B304" s="487" t="n"/>
      <c r="C304" s="487" t="n"/>
      <c r="D304" s="487" t="n"/>
      <c r="E304" s="487" t="n"/>
      <c r="F304" s="487" t="n"/>
      <c r="G304" s="487" t="n"/>
      <c r="H304" s="326" t="n"/>
      <c r="J304" s="112" t="n"/>
      <c r="L304" s="664" t="inlineStr">
        <is>
          <t>Estimated Shares</t>
        </is>
      </c>
      <c r="N304" s="670" t="inlineStr">
        <is>
          <t>On Hand</t>
        </is>
      </c>
      <c r="P304" s="489" t="n"/>
      <c r="Q304" s="670" t="inlineStr">
        <is>
          <t>Balance shares for decu</t>
        </is>
      </c>
      <c r="R304" s="490" t="inlineStr">
        <is>
          <t>Strike Price minus Market Price</t>
        </is>
      </c>
      <c r="S304" s="786" t="n"/>
      <c r="T304" s="111" t="inlineStr">
        <is>
          <t>Collateral needed</t>
        </is>
      </c>
      <c r="W304" s="113" t="n"/>
      <c r="X304" s="113" t="n"/>
      <c r="Y304" s="114" t="n"/>
      <c r="Z304" s="114" t="n"/>
      <c r="AB304" s="115" t="n"/>
    </row>
    <row r="305" ht="14.1" customHeight="1" s="671">
      <c r="A305" s="72" t="n"/>
      <c r="B305" s="448" t="n"/>
      <c r="C305" s="448" t="n"/>
      <c r="D305" s="449" t="n"/>
      <c r="E305" s="448" t="n"/>
      <c r="F305" s="448" t="n"/>
      <c r="G305" s="448" t="n"/>
      <c r="H305" s="116" t="inlineStr">
        <is>
          <t xml:space="preserve">Collateral 3: </t>
        </is>
      </c>
      <c r="I305" s="481" t="n"/>
      <c r="J305" s="666" t="inlineStr">
        <is>
          <t>Strike 1</t>
        </is>
      </c>
      <c r="K305" s="654" t="n"/>
      <c r="L305" s="662">
        <f>I281</f>
        <v/>
      </c>
      <c r="N305" s="663">
        <f>Q281</f>
        <v/>
      </c>
      <c r="P305" s="462" t="n"/>
      <c r="Q305" s="663">
        <f>Q281-N305</f>
        <v/>
      </c>
      <c r="R305" s="327">
        <f>L305-market_price</f>
        <v/>
      </c>
      <c r="S305" s="750" t="n"/>
      <c r="T305" s="328">
        <f>Q305*R305</f>
        <v/>
      </c>
    </row>
    <row r="306" ht="14.1" customHeight="1" s="671">
      <c r="A306" s="72" t="n"/>
      <c r="B306" s="448" t="n"/>
      <c r="C306" s="448" t="n"/>
      <c r="D306" s="449" t="n"/>
      <c r="E306" s="448" t="n"/>
      <c r="F306" s="448" t="n"/>
      <c r="G306" s="448" t="n"/>
      <c r="H306" s="300" t="n"/>
      <c r="I306" s="299" t="n"/>
      <c r="J306" s="666" t="inlineStr">
        <is>
          <t>Strike 2</t>
        </is>
      </c>
      <c r="K306" s="654" t="n"/>
      <c r="L306" s="662">
        <f>I282</f>
        <v/>
      </c>
      <c r="N306" s="663">
        <f>Q297-N305</f>
        <v/>
      </c>
      <c r="P306" s="462" t="n"/>
      <c r="Q306" s="663">
        <f>Q282-N306</f>
        <v/>
      </c>
      <c r="R306" s="327">
        <f>L306-market_price</f>
        <v/>
      </c>
      <c r="S306" s="750" t="n"/>
      <c r="T306" s="328">
        <f>Q306*R306</f>
        <v/>
      </c>
    </row>
    <row r="307" ht="14.1" customHeight="1" s="671">
      <c r="A307" s="72" t="n"/>
      <c r="B307" s="448" t="n"/>
      <c r="C307" s="448" t="n"/>
      <c r="D307" s="449" t="n"/>
      <c r="E307" s="448" t="n"/>
      <c r="F307" s="448" t="n"/>
      <c r="G307" s="448" t="n"/>
      <c r="H307" s="300" t="n"/>
      <c r="I307" s="299" t="n"/>
      <c r="J307" s="666" t="inlineStr">
        <is>
          <t>Strike 3</t>
        </is>
      </c>
      <c r="K307" s="654" t="n"/>
      <c r="L307" s="662">
        <f>I283</f>
        <v/>
      </c>
      <c r="N307" s="663" t="n">
        <v>0</v>
      </c>
      <c r="P307" s="462" t="n"/>
      <c r="Q307" s="663">
        <f>Q283-N307</f>
        <v/>
      </c>
      <c r="R307" s="327">
        <f>L307-market_price</f>
        <v/>
      </c>
      <c r="S307" s="750" t="n"/>
      <c r="T307" s="328">
        <f>Q307*R307</f>
        <v/>
      </c>
    </row>
    <row r="308" ht="14.1" customHeight="1" s="671">
      <c r="A308" s="72" t="n"/>
      <c r="B308" s="448" t="n"/>
      <c r="C308" s="448" t="n"/>
      <c r="D308" s="449" t="n"/>
      <c r="E308" s="448" t="n"/>
      <c r="F308" s="448" t="n"/>
      <c r="G308" s="448" t="n"/>
      <c r="H308" s="300" t="n"/>
      <c r="I308" s="299" t="n"/>
      <c r="J308" s="666" t="inlineStr">
        <is>
          <t>Strike 4</t>
        </is>
      </c>
      <c r="K308" s="654" t="n"/>
      <c r="L308" s="662">
        <f>I284</f>
        <v/>
      </c>
      <c r="N308" s="663" t="n">
        <v>0</v>
      </c>
      <c r="P308" s="462" t="n"/>
      <c r="Q308" s="663">
        <f>Q284-N308</f>
        <v/>
      </c>
      <c r="R308" s="327">
        <f>L308-market_price</f>
        <v/>
      </c>
      <c r="S308" s="750" t="n"/>
      <c r="T308" s="328">
        <f>Q308*R308</f>
        <v/>
      </c>
    </row>
    <row r="309" ht="14.1" customHeight="1" s="671">
      <c r="A309" s="72" t="n"/>
      <c r="B309" s="448" t="n"/>
      <c r="C309" s="448" t="n"/>
      <c r="D309" s="449" t="n"/>
      <c r="E309" s="448" t="n"/>
      <c r="F309" s="448" t="n"/>
      <c r="G309" s="448" t="n"/>
      <c r="H309" s="300" t="n"/>
      <c r="I309" s="299" t="n"/>
      <c r="J309" s="666" t="inlineStr">
        <is>
          <t>Strike 5</t>
        </is>
      </c>
      <c r="K309" s="654" t="n"/>
      <c r="L309" s="662">
        <f>I285</f>
        <v/>
      </c>
      <c r="N309" s="663" t="n">
        <v>0</v>
      </c>
      <c r="P309" s="462" t="n"/>
      <c r="Q309" s="663">
        <f>Q285-N309</f>
        <v/>
      </c>
      <c r="R309" s="327">
        <f>L309-market_price</f>
        <v/>
      </c>
      <c r="S309" s="750" t="n"/>
      <c r="T309" s="328">
        <f>Q309*R309</f>
        <v/>
      </c>
    </row>
    <row r="310" ht="14.1" customHeight="1" s="671">
      <c r="A310" s="72" t="n"/>
      <c r="B310" s="448" t="n"/>
      <c r="C310" s="448" t="n"/>
      <c r="D310" s="449" t="n"/>
      <c r="E310" s="448" t="n"/>
      <c r="F310" s="448" t="n"/>
      <c r="G310" s="448" t="n"/>
      <c r="H310" s="300" t="n"/>
      <c r="I310" s="299" t="n"/>
      <c r="J310" s="666" t="inlineStr">
        <is>
          <t>Strike 6</t>
        </is>
      </c>
      <c r="K310" s="654" t="n"/>
      <c r="L310" s="662">
        <f>I286</f>
        <v/>
      </c>
      <c r="N310" s="663" t="n">
        <v>0</v>
      </c>
      <c r="P310" s="462" t="n"/>
      <c r="Q310" s="663">
        <f>Q286-N310</f>
        <v/>
      </c>
      <c r="R310" s="327">
        <f>L310-market_price</f>
        <v/>
      </c>
      <c r="S310" s="750" t="n"/>
      <c r="T310" s="328">
        <f>Q310*R310</f>
        <v/>
      </c>
    </row>
    <row r="311" ht="14.1" customHeight="1" s="671">
      <c r="A311" s="72" t="n"/>
      <c r="B311" s="448" t="n"/>
      <c r="C311" s="448" t="n"/>
      <c r="D311" s="449" t="n"/>
      <c r="E311" s="448" t="n"/>
      <c r="F311" s="448" t="n"/>
      <c r="G311" s="448" t="n"/>
      <c r="H311" s="300" t="n"/>
      <c r="I311" s="299" t="n"/>
      <c r="J311" s="666" t="inlineStr">
        <is>
          <t>Strike 7</t>
        </is>
      </c>
      <c r="K311" s="654" t="n"/>
      <c r="L311" s="662">
        <f>I287</f>
        <v/>
      </c>
      <c r="N311" s="663" t="n">
        <v>0</v>
      </c>
      <c r="P311" s="462" t="n"/>
      <c r="Q311" s="663">
        <f>Q287-N311</f>
        <v/>
      </c>
      <c r="R311" s="327">
        <f>L311-market_price</f>
        <v/>
      </c>
      <c r="S311" s="750" t="n"/>
      <c r="T311" s="328">
        <f>Q311*R311</f>
        <v/>
      </c>
    </row>
    <row r="312" ht="14.1" customHeight="1" s="671">
      <c r="A312" s="72" t="n"/>
      <c r="B312" s="448" t="n"/>
      <c r="C312" s="448" t="n"/>
      <c r="D312" s="449" t="n"/>
      <c r="E312" s="448" t="n"/>
      <c r="F312" s="448" t="n"/>
      <c r="G312" s="448" t="n"/>
      <c r="H312" s="300" t="n"/>
      <c r="I312" s="299" t="n"/>
      <c r="J312" s="666" t="inlineStr">
        <is>
          <t>Strike 8</t>
        </is>
      </c>
      <c r="K312" s="654" t="n"/>
      <c r="L312" s="662">
        <f>I288</f>
        <v/>
      </c>
      <c r="N312" s="663" t="n">
        <v>0</v>
      </c>
      <c r="P312" s="462" t="n"/>
      <c r="Q312" s="663">
        <f>Q288-N312</f>
        <v/>
      </c>
      <c r="R312" s="327">
        <f>L312-market_price</f>
        <v/>
      </c>
      <c r="S312" s="750" t="n"/>
      <c r="T312" s="328">
        <f>Q312*R312</f>
        <v/>
      </c>
    </row>
    <row r="313" ht="14.1" customHeight="1" s="671">
      <c r="A313" s="72" t="n"/>
      <c r="B313" s="448" t="n"/>
      <c r="C313" s="448" t="n"/>
      <c r="D313" s="449" t="n"/>
      <c r="E313" s="448" t="n"/>
      <c r="F313" s="448" t="n"/>
      <c r="G313" s="448" t="n"/>
      <c r="H313" s="300" t="n"/>
      <c r="I313" s="299" t="n"/>
      <c r="J313" s="666" t="inlineStr">
        <is>
          <t>Strike 9</t>
        </is>
      </c>
      <c r="K313" s="654" t="n"/>
      <c r="L313" s="662">
        <f>I289</f>
        <v/>
      </c>
      <c r="N313" s="663" t="n">
        <v>0</v>
      </c>
      <c r="P313" s="462" t="n"/>
      <c r="Q313" s="663">
        <f>Q289-N313</f>
        <v/>
      </c>
      <c r="R313" s="327">
        <f>L313-market_price</f>
        <v/>
      </c>
      <c r="S313" s="750" t="n"/>
      <c r="T313" s="328">
        <f>Q313*R313</f>
        <v/>
      </c>
    </row>
    <row r="314" ht="14.1" customHeight="1" s="671">
      <c r="A314" s="72" t="n"/>
      <c r="B314" s="448" t="n"/>
      <c r="C314" s="448" t="n"/>
      <c r="D314" s="449" t="n"/>
      <c r="E314" s="448" t="n"/>
      <c r="F314" s="448" t="n"/>
      <c r="G314" s="448" t="n"/>
      <c r="H314" s="300" t="n"/>
      <c r="I314" s="299" t="n"/>
      <c r="J314" s="666" t="inlineStr">
        <is>
          <t>Strike 10</t>
        </is>
      </c>
      <c r="K314" s="654" t="n"/>
      <c r="L314" s="662">
        <f>I290</f>
        <v/>
      </c>
      <c r="N314" s="663" t="n">
        <v>0</v>
      </c>
      <c r="P314" s="462" t="n"/>
      <c r="Q314" s="663">
        <f>Q290-N314</f>
        <v/>
      </c>
      <c r="R314" s="327">
        <f>L314-market_price</f>
        <v/>
      </c>
      <c r="S314" s="750" t="n"/>
      <c r="T314" s="328">
        <f>Q314*R314</f>
        <v/>
      </c>
    </row>
    <row r="315" ht="14.1" customHeight="1" s="671">
      <c r="A315" s="72" t="n"/>
      <c r="B315" s="448" t="n"/>
      <c r="C315" s="448" t="n"/>
      <c r="D315" s="449" t="n"/>
      <c r="E315" s="448" t="n"/>
      <c r="F315" s="448" t="n"/>
      <c r="G315" s="448" t="n"/>
      <c r="H315" s="300" t="n"/>
      <c r="I315" s="299" t="n"/>
      <c r="J315" s="666" t="inlineStr">
        <is>
          <t>Strike 11</t>
        </is>
      </c>
      <c r="K315" s="654" t="n"/>
      <c r="L315" s="662">
        <f>I291</f>
        <v/>
      </c>
      <c r="N315" s="668" t="n">
        <v>0</v>
      </c>
      <c r="O315" s="628" t="n"/>
      <c r="P315" s="462" t="n"/>
      <c r="Q315" s="663">
        <f>Q291-N315</f>
        <v/>
      </c>
      <c r="R315" s="327">
        <f>L315-market_price</f>
        <v/>
      </c>
      <c r="S315" s="750" t="n"/>
      <c r="T315" s="328">
        <f>Q315*R315</f>
        <v/>
      </c>
    </row>
    <row r="316" ht="14.1" customHeight="1" s="671">
      <c r="A316" s="72" t="n"/>
      <c r="B316" s="448" t="n"/>
      <c r="C316" s="448" t="n"/>
      <c r="D316" s="449" t="n"/>
      <c r="E316" s="448" t="n"/>
      <c r="F316" s="448" t="n"/>
      <c r="G316" s="448" t="n"/>
      <c r="H316" s="300" t="n"/>
      <c r="I316" s="71" t="inlineStr">
        <is>
          <t>Sub Total</t>
        </is>
      </c>
      <c r="J316" s="654" t="n"/>
      <c r="K316" s="654" t="n"/>
      <c r="L316" s="666" t="n"/>
      <c r="M316" s="654" t="n"/>
      <c r="N316" s="667">
        <f>SUM(N305:O315)</f>
        <v/>
      </c>
      <c r="O316" s="625" t="n"/>
      <c r="P316" s="462" t="n"/>
      <c r="Q316" s="667">
        <f>SUM(Q305:Q315)</f>
        <v/>
      </c>
      <c r="R316" s="788" t="n"/>
      <c r="S316" s="788" t="n"/>
      <c r="T316" s="333">
        <f>SUM(T305:T315)</f>
        <v/>
      </c>
    </row>
    <row r="317" ht="6.75" customHeight="1" s="671">
      <c r="A317" s="72" t="n"/>
      <c r="B317" s="448" t="n"/>
      <c r="C317" s="448" t="n"/>
      <c r="D317" s="449" t="n"/>
      <c r="E317" s="448" t="n"/>
      <c r="F317" s="448" t="n"/>
      <c r="G317" s="448" t="n"/>
      <c r="H317" s="299" t="n"/>
      <c r="I317" s="300" t="n"/>
      <c r="J317" s="299" t="n"/>
      <c r="K317" s="72" t="n"/>
      <c r="L317" s="71" t="n"/>
      <c r="M317" s="71" t="n"/>
      <c r="N317" s="666" t="n"/>
      <c r="O317" s="666" t="n"/>
      <c r="P317" s="462" t="n"/>
      <c r="Q317" s="663" t="n"/>
      <c r="R317" s="750" t="n"/>
      <c r="S317" s="750" t="n"/>
      <c r="T317" s="750" t="n"/>
    </row>
    <row r="318" ht="14.1" customHeight="1" s="671">
      <c r="A318" s="72" t="n"/>
      <c r="B318" s="448" t="n"/>
      <c r="C318" s="448" t="n"/>
      <c r="D318" s="449" t="n"/>
      <c r="E318" s="448" t="n"/>
      <c r="F318" s="448" t="n"/>
      <c r="G318" s="448" t="n"/>
      <c r="H318" s="116" t="inlineStr">
        <is>
          <t>Total collateral needed</t>
        </is>
      </c>
      <c r="I318" s="331" t="n"/>
      <c r="J318" s="481" t="n"/>
      <c r="K318" s="72" t="n"/>
      <c r="L318" s="654" t="n"/>
      <c r="M318" s="71" t="n"/>
      <c r="N318" s="666" t="n"/>
      <c r="O318" s="666" t="n"/>
      <c r="P318" s="462" t="n"/>
      <c r="Q318" s="663" t="n"/>
      <c r="R318" s="750" t="n"/>
      <c r="S318" s="750" t="n"/>
      <c r="T318" s="323">
        <f>T301+T316+T277</f>
        <v/>
      </c>
    </row>
    <row r="319" ht="14.1" customHeight="1" s="671">
      <c r="A319" s="72" t="n"/>
      <c r="B319" s="448" t="n"/>
      <c r="C319" s="448" t="n"/>
      <c r="D319" s="449" t="n"/>
      <c r="E319" s="448" t="n"/>
      <c r="F319" s="448" t="n"/>
      <c r="G319" s="448" t="n"/>
      <c r="H319" s="71" t="n"/>
      <c r="I319" s="300" t="n"/>
      <c r="J319" s="654" t="n"/>
      <c r="K319" s="72" t="n"/>
      <c r="L319" s="654" t="n"/>
      <c r="M319" s="71" t="n"/>
      <c r="N319" s="666" t="n"/>
      <c r="O319" s="666" t="n"/>
      <c r="P319" s="462" t="n"/>
      <c r="Q319" s="663" t="n"/>
      <c r="R319" s="663" t="inlineStr">
        <is>
          <t>USD Rate 7.75</t>
        </is>
      </c>
      <c r="S319" s="750" t="n"/>
      <c r="T319" s="332">
        <f>T318/7.75</f>
        <v/>
      </c>
    </row>
  </sheetData>
  <mergeCells count="295">
    <mergeCell ref="I145:I146"/>
    <mergeCell ref="H180:H181"/>
    <mergeCell ref="L253:M253"/>
    <mergeCell ref="I268:I269"/>
    <mergeCell ref="J180:J181"/>
    <mergeCell ref="N256:O256"/>
    <mergeCell ref="T180:T181"/>
    <mergeCell ref="B61:B62"/>
    <mergeCell ref="H50:H51"/>
    <mergeCell ref="L308:M308"/>
    <mergeCell ref="E145:G146"/>
    <mergeCell ref="T50:T51"/>
    <mergeCell ref="R133:R134"/>
    <mergeCell ref="J229:J230"/>
    <mergeCell ref="B229:B230"/>
    <mergeCell ref="N311:O311"/>
    <mergeCell ref="T133:T134"/>
    <mergeCell ref="N180:N181"/>
    <mergeCell ref="L304:M304"/>
    <mergeCell ref="N61:N62"/>
    <mergeCell ref="K145:M145"/>
    <mergeCell ref="L166:M166"/>
    <mergeCell ref="H61:H62"/>
    <mergeCell ref="N248:O248"/>
    <mergeCell ref="K268:M268"/>
    <mergeCell ref="N169:O169"/>
    <mergeCell ref="I17:I18"/>
    <mergeCell ref="E17:G18"/>
    <mergeCell ref="K17:M17"/>
    <mergeCell ref="L39:M39"/>
    <mergeCell ref="N39:O39"/>
    <mergeCell ref="N167:O167"/>
    <mergeCell ref="N14:O14"/>
    <mergeCell ref="N312:O312"/>
    <mergeCell ref="R268:R269"/>
    <mergeCell ref="H90:H91"/>
    <mergeCell ref="O133:O134"/>
    <mergeCell ref="J268:J269"/>
    <mergeCell ref="J100:J101"/>
    <mergeCell ref="N29:O29"/>
    <mergeCell ref="L209:M209"/>
    <mergeCell ref="L38:M38"/>
    <mergeCell ref="N200:O200"/>
    <mergeCell ref="Q90:Q91"/>
    <mergeCell ref="N38:O38"/>
    <mergeCell ref="H145:H146"/>
    <mergeCell ref="O17:O18"/>
    <mergeCell ref="T7:T8"/>
    <mergeCell ref="J145:J146"/>
    <mergeCell ref="Q17:Q18"/>
    <mergeCell ref="L122:M122"/>
    <mergeCell ref="L79:M79"/>
    <mergeCell ref="L306:M306"/>
    <mergeCell ref="L255:M255"/>
    <mergeCell ref="C190:C191"/>
    <mergeCell ref="N90:N91"/>
    <mergeCell ref="N258:O258"/>
    <mergeCell ref="L40:M40"/>
    <mergeCell ref="I50:I51"/>
    <mergeCell ref="N211:O211"/>
    <mergeCell ref="O190:O191"/>
    <mergeCell ref="N40:O40"/>
    <mergeCell ref="N245:O245"/>
    <mergeCell ref="N145:N146"/>
    <mergeCell ref="L81:M81"/>
    <mergeCell ref="E229:G230"/>
    <mergeCell ref="N168:O168"/>
    <mergeCell ref="N313:O313"/>
    <mergeCell ref="N226:O226"/>
    <mergeCell ref="N208:O208"/>
    <mergeCell ref="O180:O181"/>
    <mergeCell ref="N260:O260"/>
    <mergeCell ref="I279:I280"/>
    <mergeCell ref="N300:O300"/>
    <mergeCell ref="J219:J220"/>
    <mergeCell ref="N79:O79"/>
    <mergeCell ref="K100:M100"/>
    <mergeCell ref="N315:O315"/>
    <mergeCell ref="O229:O230"/>
    <mergeCell ref="Q229:Q230"/>
    <mergeCell ref="E50:G51"/>
    <mergeCell ref="L120:M120"/>
    <mergeCell ref="Q145:Q146"/>
    <mergeCell ref="L305:M305"/>
    <mergeCell ref="B90:B91"/>
    <mergeCell ref="N305:O305"/>
    <mergeCell ref="O279:O280"/>
    <mergeCell ref="B17:B18"/>
    <mergeCell ref="N203:O203"/>
    <mergeCell ref="E100:G101"/>
    <mergeCell ref="N50:N51"/>
    <mergeCell ref="K229:M229"/>
    <mergeCell ref="I7:I8"/>
    <mergeCell ref="B145:B146"/>
    <mergeCell ref="N122:O122"/>
    <mergeCell ref="H133:H134"/>
    <mergeCell ref="N276:O276"/>
    <mergeCell ref="N171:O171"/>
    <mergeCell ref="C100:C101"/>
    <mergeCell ref="K279:M279"/>
    <mergeCell ref="L121:M121"/>
    <mergeCell ref="H17:H18"/>
    <mergeCell ref="N121:O121"/>
    <mergeCell ref="N115:O115"/>
    <mergeCell ref="R17:R18"/>
    <mergeCell ref="N42:O42"/>
    <mergeCell ref="T17:T18"/>
    <mergeCell ref="L254:M254"/>
    <mergeCell ref="N170:O170"/>
    <mergeCell ref="K7:M7"/>
    <mergeCell ref="H190:H191"/>
    <mergeCell ref="A3:E3"/>
    <mergeCell ref="J133:J134"/>
    <mergeCell ref="N262:O262"/>
    <mergeCell ref="I219:I220"/>
    <mergeCell ref="N166:O166"/>
    <mergeCell ref="R100:R101"/>
    <mergeCell ref="C17:C18"/>
    <mergeCell ref="L256:M256"/>
    <mergeCell ref="N172:O172"/>
    <mergeCell ref="O100:O101"/>
    <mergeCell ref="N279:N280"/>
    <mergeCell ref="C268:C269"/>
    <mergeCell ref="L311:M311"/>
    <mergeCell ref="O219:O220"/>
    <mergeCell ref="L167:M167"/>
    <mergeCell ref="N78:O78"/>
    <mergeCell ref="R229:R230"/>
    <mergeCell ref="L314:M314"/>
    <mergeCell ref="T229:T230"/>
    <mergeCell ref="N314:O314"/>
    <mergeCell ref="N158:O158"/>
    <mergeCell ref="T145:T146"/>
    <mergeCell ref="N210:O210"/>
    <mergeCell ref="B268:B269"/>
    <mergeCell ref="R279:R280"/>
    <mergeCell ref="L80:M80"/>
    <mergeCell ref="K219:M219"/>
    <mergeCell ref="N142:O142"/>
    <mergeCell ref="N80:O80"/>
    <mergeCell ref="B7:B8"/>
    <mergeCell ref="L169:M169"/>
    <mergeCell ref="Q133:Q134"/>
    <mergeCell ref="T279:T280"/>
    <mergeCell ref="N7:N8"/>
    <mergeCell ref="I133:I134"/>
    <mergeCell ref="C229:C230"/>
    <mergeCell ref="N306:O306"/>
    <mergeCell ref="I61:I62"/>
    <mergeCell ref="N32:O32"/>
    <mergeCell ref="R7:R8"/>
    <mergeCell ref="N41:O41"/>
    <mergeCell ref="K180:M180"/>
    <mergeCell ref="N112:O112"/>
    <mergeCell ref="C50:C51"/>
    <mergeCell ref="I190:I191"/>
    <mergeCell ref="L258:M258"/>
    <mergeCell ref="N252:O252"/>
    <mergeCell ref="N209:O209"/>
    <mergeCell ref="K190:M190"/>
    <mergeCell ref="I100:I101"/>
    <mergeCell ref="N161:O161"/>
    <mergeCell ref="I180:I181"/>
    <mergeCell ref="N17:N18"/>
    <mergeCell ref="K61:M61"/>
    <mergeCell ref="L260:M260"/>
    <mergeCell ref="H100:H101"/>
    <mergeCell ref="N58:O58"/>
    <mergeCell ref="L309:M309"/>
    <mergeCell ref="N309:O309"/>
    <mergeCell ref="T100:T101"/>
    <mergeCell ref="N190:N191"/>
    <mergeCell ref="R219:R220"/>
    <mergeCell ref="L259:M259"/>
    <mergeCell ref="L310:M310"/>
    <mergeCell ref="R50:R51"/>
    <mergeCell ref="C219:C220"/>
    <mergeCell ref="B279:B280"/>
    <mergeCell ref="N253:O253"/>
    <mergeCell ref="N82:O82"/>
    <mergeCell ref="T219:T220"/>
    <mergeCell ref="Q61:Q62"/>
    <mergeCell ref="L123:M123"/>
    <mergeCell ref="Q219:Q220"/>
    <mergeCell ref="J50:J51"/>
    <mergeCell ref="C7:C8"/>
    <mergeCell ref="N123:O123"/>
    <mergeCell ref="J90:J91"/>
    <mergeCell ref="T90:T91"/>
    <mergeCell ref="N308:O308"/>
    <mergeCell ref="R190:R191"/>
    <mergeCell ref="B133:B134"/>
    <mergeCell ref="L168:M168"/>
    <mergeCell ref="T190:T191"/>
    <mergeCell ref="O7:O8"/>
    <mergeCell ref="Q7:Q8"/>
    <mergeCell ref="E279:G280"/>
    <mergeCell ref="N304:O304"/>
    <mergeCell ref="N133:N134"/>
    <mergeCell ref="Q268:Q269"/>
    <mergeCell ref="H229:H230"/>
    <mergeCell ref="N187:O187"/>
    <mergeCell ref="I90:I91"/>
    <mergeCell ref="R180:R181"/>
    <mergeCell ref="R61:R62"/>
    <mergeCell ref="J61:J62"/>
    <mergeCell ref="L124:M124"/>
    <mergeCell ref="N124:O124"/>
    <mergeCell ref="L207:M207"/>
    <mergeCell ref="N207:O207"/>
    <mergeCell ref="O268:O269"/>
    <mergeCell ref="O90:O91"/>
    <mergeCell ref="E268:G269"/>
    <mergeCell ref="B190:B191"/>
    <mergeCell ref="L170:M170"/>
    <mergeCell ref="E7:G8"/>
    <mergeCell ref="B100:B101"/>
    <mergeCell ref="L257:M257"/>
    <mergeCell ref="N257:O257"/>
    <mergeCell ref="B180:B181"/>
    <mergeCell ref="N268:N269"/>
    <mergeCell ref="K50:M50"/>
    <mergeCell ref="N100:N101"/>
    <mergeCell ref="K90:M90"/>
    <mergeCell ref="B219:B220"/>
    <mergeCell ref="L312:M312"/>
    <mergeCell ref="H279:H280"/>
    <mergeCell ref="L37:M37"/>
    <mergeCell ref="N255:O255"/>
    <mergeCell ref="L208:M208"/>
    <mergeCell ref="N37:O37"/>
    <mergeCell ref="J279:J280"/>
    <mergeCell ref="N97:O97"/>
    <mergeCell ref="R90:R91"/>
    <mergeCell ref="N229:N230"/>
    <mergeCell ref="L165:M165"/>
    <mergeCell ref="C180:C181"/>
    <mergeCell ref="N125:O125"/>
    <mergeCell ref="L78:M78"/>
    <mergeCell ref="C133:C134"/>
    <mergeCell ref="N165:O165"/>
    <mergeCell ref="Q190:Q191"/>
    <mergeCell ref="N81:O81"/>
    <mergeCell ref="H219:H220"/>
    <mergeCell ref="R145:R146"/>
    <mergeCell ref="N297:O297"/>
    <mergeCell ref="L210:M210"/>
    <mergeCell ref="T61:T62"/>
    <mergeCell ref="E219:G220"/>
    <mergeCell ref="Q180:Q181"/>
    <mergeCell ref="C90:C91"/>
    <mergeCell ref="L313:M313"/>
    <mergeCell ref="N71:O71"/>
    <mergeCell ref="H7:H8"/>
    <mergeCell ref="L307:M307"/>
    <mergeCell ref="O50:O51"/>
    <mergeCell ref="Q50:Q51"/>
    <mergeCell ref="N307:O307"/>
    <mergeCell ref="J7:J8"/>
    <mergeCell ref="N219:N220"/>
    <mergeCell ref="I229:I230"/>
    <mergeCell ref="E190:G191"/>
    <mergeCell ref="C61:C62"/>
    <mergeCell ref="N120:O120"/>
    <mergeCell ref="L315:M315"/>
    <mergeCell ref="L171:M171"/>
    <mergeCell ref="Q279:Q280"/>
    <mergeCell ref="O61:O62"/>
    <mergeCell ref="E180:G181"/>
    <mergeCell ref="L119:M119"/>
    <mergeCell ref="H268:H269"/>
    <mergeCell ref="N119:O119"/>
    <mergeCell ref="L41:M41"/>
    <mergeCell ref="N259:O259"/>
    <mergeCell ref="L36:M36"/>
    <mergeCell ref="T268:T269"/>
    <mergeCell ref="E90:G91"/>
    <mergeCell ref="L252:M252"/>
    <mergeCell ref="E133:G134"/>
    <mergeCell ref="L261:M261"/>
    <mergeCell ref="K133:M133"/>
    <mergeCell ref="N261:O261"/>
    <mergeCell ref="J17:J18"/>
    <mergeCell ref="Q100:Q101"/>
    <mergeCell ref="C145:C146"/>
    <mergeCell ref="O145:O146"/>
    <mergeCell ref="E61:G62"/>
    <mergeCell ref="C279:C280"/>
    <mergeCell ref="N74:O74"/>
    <mergeCell ref="N316:O316"/>
    <mergeCell ref="B50:B51"/>
    <mergeCell ref="N254:O254"/>
    <mergeCell ref="N310:O310"/>
    <mergeCell ref="N36:O36"/>
    <mergeCell ref="J190:J191"/>
  </mergeCells>
  <conditionalFormatting sqref="D285">
    <cfRule type="duplicateValues" priority="7" dxfId="0"/>
  </conditionalFormatting>
  <conditionalFormatting sqref="D286">
    <cfRule type="duplicateValues" priority="6" dxfId="0"/>
  </conditionalFormatting>
  <conditionalFormatting sqref="D287">
    <cfRule type="duplicateValues" priority="5" dxfId="0"/>
  </conditionalFormatting>
  <conditionalFormatting sqref="D288">
    <cfRule type="duplicateValues" priority="4" dxfId="0"/>
  </conditionalFormatting>
  <conditionalFormatting sqref="D289">
    <cfRule type="duplicateValues" priority="3" dxfId="0"/>
  </conditionalFormatting>
  <conditionalFormatting sqref="D290">
    <cfRule type="duplicateValues" priority="2" dxfId="0"/>
  </conditionalFormatting>
  <conditionalFormatting sqref="D291">
    <cfRule type="duplicateValues" priority="1" dxfId="0"/>
  </conditionalFormatting>
  <pageMargins left="0.2" right="0.2" top="0.2" bottom="0.2" header="0.3" footer="0.3"/>
  <pageSetup orientation="landscape" paperSize="10001" scale="71" fitToHeight="100" horizontalDpi="300" verticalDpi="300"/>
  <rowBreaks count="5" manualBreakCount="5">
    <brk id="45" min="0" max="19" man="1"/>
    <brk id="87" min="0" max="19" man="1"/>
    <brk id="130" min="0" max="19" man="1"/>
    <brk id="177" min="0" max="19" man="1"/>
    <brk id="216" min="0" max="19" man="1"/>
  </rowBreaks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B1:H33"/>
  <sheetViews>
    <sheetView view="pageBreakPreview" zoomScaleSheetLayoutView="100" workbookViewId="0">
      <selection activeCell="L265" sqref="L265"/>
    </sheetView>
  </sheetViews>
  <sheetFormatPr baseColWidth="8" defaultColWidth="9.140625" defaultRowHeight="15.75" outlineLevelCol="0"/>
  <cols>
    <col width="36.5703125" customWidth="1" style="353" min="1" max="1"/>
    <col width="34.7109375" bestFit="1" customWidth="1" style="353" min="2" max="2"/>
    <col width="21.7109375" bestFit="1" customWidth="1" style="1" min="3" max="3"/>
    <col width="15.28515625" customWidth="1" style="620" min="4" max="4"/>
    <col width="10.5703125" customWidth="1" style="620" min="5" max="5"/>
    <col width="17.7109375" bestFit="1" customWidth="1" style="620" min="6" max="6"/>
    <col width="16.42578125" bestFit="1" customWidth="1" style="620" min="7" max="7"/>
    <col width="10.5703125" customWidth="1" style="620" min="8" max="8"/>
    <col width="9.140625" customWidth="1" style="353" min="9" max="679"/>
    <col width="9.140625" customWidth="1" style="353" min="680" max="16384"/>
  </cols>
  <sheetData>
    <row r="1" ht="69" customHeight="1" s="671">
      <c r="B1" s="354" t="inlineStr">
        <is>
          <t>ACCUMULATORS</t>
        </is>
      </c>
      <c r="C1" s="672">
        <f>ALLHKD!C1</f>
        <v/>
      </c>
      <c r="E1" s="645" t="n"/>
      <c r="F1" s="645" t="n"/>
      <c r="G1" s="353" t="n"/>
      <c r="H1" s="353" t="n"/>
    </row>
    <row r="2" ht="16.15" customHeight="1" s="671" thickBot="1"/>
    <row r="3" ht="29.25" customFormat="1" customHeight="1" s="356" thickBot="1">
      <c r="B3" s="366" t="inlineStr">
        <is>
          <t>Account</t>
        </is>
      </c>
      <c r="C3" s="7" t="inlineStr">
        <is>
          <t>Estimated Amount</t>
        </is>
      </c>
      <c r="D3" s="6" t="inlineStr">
        <is>
          <t>Estimated Amount (%)</t>
        </is>
      </c>
    </row>
    <row r="4" hidden="1" s="671">
      <c r="B4" s="498" t="inlineStr">
        <is>
          <t>Citibank - Account 1</t>
        </is>
      </c>
      <c r="C4" s="91" t="n"/>
      <c r="D4" s="5">
        <f>C4/$C$15</f>
        <v/>
      </c>
      <c r="E4" s="353" t="n"/>
      <c r="F4" s="353" t="n"/>
      <c r="G4" s="353" t="n"/>
      <c r="H4" s="353" t="n"/>
    </row>
    <row r="5" hidden="1" s="671">
      <c r="B5" s="359" t="inlineStr">
        <is>
          <t>Citibank - Account 2</t>
        </is>
      </c>
      <c r="C5" s="92" t="n"/>
      <c r="D5" s="5">
        <f>C5/$C$15</f>
        <v/>
      </c>
      <c r="E5" s="353" t="n"/>
      <c r="F5" s="353" t="n"/>
      <c r="G5" s="353" t="n"/>
      <c r="H5" s="353" t="n"/>
    </row>
    <row r="6" hidden="1" s="671">
      <c r="B6" s="359" t="inlineStr">
        <is>
          <t>Citibank - Berry Hill</t>
        </is>
      </c>
      <c r="C6" s="92" t="n"/>
      <c r="D6" s="5">
        <f>C6/$C$15</f>
        <v/>
      </c>
      <c r="E6" s="353" t="n"/>
      <c r="F6" s="353" t="n"/>
      <c r="G6" s="353" t="n"/>
      <c r="H6" s="353" t="n"/>
    </row>
    <row r="7" hidden="1" s="671">
      <c r="B7" s="359" t="inlineStr">
        <is>
          <t>Deutsche Bank - Personal</t>
        </is>
      </c>
      <c r="C7" s="92" t="n"/>
      <c r="D7" s="5">
        <f>C7/$C$15</f>
        <v/>
      </c>
      <c r="E7" s="353" t="n"/>
      <c r="F7" s="353" t="n"/>
      <c r="G7" s="353" t="n"/>
      <c r="H7" s="353" t="n"/>
    </row>
    <row r="8" hidden="1" s="671">
      <c r="B8" s="359" t="inlineStr">
        <is>
          <t>Deutsche Bank - Perfect Legend</t>
        </is>
      </c>
      <c r="C8" s="92" t="n"/>
      <c r="D8" s="5">
        <f>C8/$C$15</f>
        <v/>
      </c>
      <c r="E8" s="353" t="n"/>
      <c r="F8" s="353" t="n"/>
      <c r="G8" s="353" t="n"/>
      <c r="H8" s="353" t="n"/>
    </row>
    <row r="9" hidden="1" s="671">
      <c r="B9" s="359" t="inlineStr">
        <is>
          <t>Standard Chartered</t>
        </is>
      </c>
      <c r="C9" s="92" t="n"/>
      <c r="D9" s="5">
        <f>C9/$C$15</f>
        <v/>
      </c>
      <c r="E9" s="353" t="n"/>
      <c r="F9" s="353" t="n"/>
      <c r="G9" s="353" t="n"/>
      <c r="H9" s="353" t="n"/>
    </row>
    <row r="10" hidden="1" s="671">
      <c r="B10" s="359" t="inlineStr">
        <is>
          <t>Sun Hung Kai</t>
        </is>
      </c>
      <c r="C10" s="92" t="n"/>
      <c r="D10" s="5">
        <f>C10/$C$15</f>
        <v/>
      </c>
      <c r="E10" s="353" t="n"/>
      <c r="F10" s="353" t="n"/>
      <c r="G10" s="353" t="n"/>
      <c r="H10" s="353" t="n"/>
    </row>
    <row r="11" hidden="1" s="671">
      <c r="B11" s="359" t="inlineStr">
        <is>
          <t>Morgan Stanley - Titan 1</t>
        </is>
      </c>
      <c r="C11" s="92" t="n"/>
      <c r="D11" s="5">
        <f>C11/$C$15</f>
        <v/>
      </c>
      <c r="E11" s="353" t="n"/>
      <c r="F11" s="353" t="n"/>
      <c r="G11" s="353" t="n"/>
      <c r="H11" s="353" t="n"/>
    </row>
    <row r="12" hidden="1" s="671">
      <c r="B12" s="359" t="inlineStr">
        <is>
          <t>Morgan Stanley - Titan 2</t>
        </is>
      </c>
      <c r="C12" s="92" t="n"/>
      <c r="D12" s="5">
        <f>C12/$C$15</f>
        <v/>
      </c>
      <c r="E12" s="353" t="n"/>
      <c r="F12" s="353" t="n"/>
      <c r="G12" s="353" t="n"/>
      <c r="H12" s="353" t="n"/>
    </row>
    <row r="13" ht="16.5" customHeight="1" s="671" thickBot="1">
      <c r="B13" s="359" t="inlineStr">
        <is>
          <t>Morgan Stanley - Perfect Legend</t>
        </is>
      </c>
      <c r="C13" s="92">
        <f>'ACCU AUD'!R12</f>
        <v/>
      </c>
      <c r="D13" s="5">
        <f>C13/$C$15</f>
        <v/>
      </c>
      <c r="E13" s="353" t="n"/>
      <c r="F13" s="353" t="n"/>
      <c r="G13" s="353" t="n"/>
      <c r="H13" s="353" t="n"/>
    </row>
    <row r="14" hidden="1" ht="16.15" customHeight="1" s="671" thickBot="1">
      <c r="B14" s="360" t="inlineStr">
        <is>
          <t>Bank of Singapore</t>
        </is>
      </c>
      <c r="C14" s="93" t="n"/>
      <c r="D14" s="8">
        <f>C14/$C$15</f>
        <v/>
      </c>
      <c r="E14" s="353" t="n"/>
      <c r="F14" s="673" t="n"/>
      <c r="G14" s="673" t="n"/>
      <c r="H14" s="353" t="n"/>
    </row>
    <row r="15" ht="16.15" customHeight="1" s="671" thickBot="1">
      <c r="C15" s="335">
        <f>SUM(C4:C14)</f>
        <v/>
      </c>
      <c r="D15" s="2">
        <f>C15/$C$15</f>
        <v/>
      </c>
      <c r="E15" s="353" t="n"/>
      <c r="F15" s="673">
        <f>'ACCU AUD'!R12</f>
        <v/>
      </c>
      <c r="G15" s="673">
        <f>C15-F15</f>
        <v/>
      </c>
      <c r="H15" s="353" t="n"/>
    </row>
    <row r="17" ht="25.9" customHeight="1" s="671">
      <c r="B17" s="364" t="inlineStr">
        <is>
          <t>Decumulators</t>
        </is>
      </c>
      <c r="C17" s="674">
        <f>C1</f>
        <v/>
      </c>
      <c r="E17" s="645" t="n"/>
      <c r="F17" s="645" t="n"/>
      <c r="G17" s="353" t="n"/>
      <c r="H17" s="353" t="n"/>
    </row>
    <row r="18" ht="16.15" customHeight="1" s="671" thickBot="1"/>
    <row r="19" ht="29.25" customFormat="1" customHeight="1" s="356" thickBot="1">
      <c r="B19" s="366" t="inlineStr">
        <is>
          <t>Account</t>
        </is>
      </c>
      <c r="C19" s="7" t="inlineStr">
        <is>
          <t>Estimated Amount</t>
        </is>
      </c>
      <c r="D19" s="6" t="inlineStr">
        <is>
          <t>Estimated Amount (%)</t>
        </is>
      </c>
    </row>
    <row r="20" hidden="1" s="671">
      <c r="B20" s="498" t="inlineStr">
        <is>
          <t>Citibank - Account 1</t>
        </is>
      </c>
      <c r="C20" s="91" t="n"/>
      <c r="D20" s="5">
        <f>C20/$C$31</f>
        <v/>
      </c>
      <c r="E20" s="353" t="n"/>
      <c r="F20" s="353" t="n"/>
      <c r="G20" s="353" t="n"/>
      <c r="H20" s="353" t="n"/>
    </row>
    <row r="21" hidden="1" s="671">
      <c r="B21" s="359" t="inlineStr">
        <is>
          <t>Citibank - Account 2</t>
        </is>
      </c>
      <c r="C21" s="92" t="n"/>
      <c r="D21" s="4">
        <f>C21/$C$31</f>
        <v/>
      </c>
      <c r="E21" s="353" t="n"/>
      <c r="F21" s="353" t="n"/>
      <c r="G21" s="353" t="n"/>
      <c r="H21" s="353" t="n"/>
    </row>
    <row r="22" hidden="1" s="671">
      <c r="B22" s="359" t="inlineStr">
        <is>
          <t>Citibank - Berry Hill</t>
        </is>
      </c>
      <c r="C22" s="92" t="n"/>
      <c r="D22" s="4">
        <f>C22/$C$31</f>
        <v/>
      </c>
      <c r="E22" s="353" t="n"/>
      <c r="F22" s="353" t="n"/>
      <c r="G22" s="353" t="n"/>
      <c r="H22" s="353" t="n"/>
    </row>
    <row r="23" hidden="1" s="671">
      <c r="B23" s="359" t="inlineStr">
        <is>
          <t>Deutsche Bank - Personal</t>
        </is>
      </c>
      <c r="C23" s="92" t="n"/>
      <c r="D23" s="4">
        <f>C23/$C$31</f>
        <v/>
      </c>
      <c r="E23" s="353" t="n"/>
      <c r="F23" s="353" t="n"/>
      <c r="G23" s="353" t="n"/>
      <c r="H23" s="353" t="n"/>
    </row>
    <row r="24" hidden="1" s="671">
      <c r="B24" s="359" t="inlineStr">
        <is>
          <t>Deutsche Bank - Perfect Legend</t>
        </is>
      </c>
      <c r="C24" s="92" t="n"/>
      <c r="D24" s="4">
        <f>C24/$C$31</f>
        <v/>
      </c>
      <c r="E24" s="353" t="n"/>
      <c r="F24" s="353" t="n"/>
      <c r="G24" s="353" t="n"/>
      <c r="H24" s="353" t="n"/>
    </row>
    <row r="25" hidden="1" s="671">
      <c r="B25" s="359" t="inlineStr">
        <is>
          <t>Standard Chartered</t>
        </is>
      </c>
      <c r="C25" s="92" t="n"/>
      <c r="D25" s="4">
        <f>C25/$C$31</f>
        <v/>
      </c>
      <c r="E25" s="353" t="n"/>
      <c r="F25" s="353" t="n"/>
      <c r="G25" s="353" t="n"/>
      <c r="H25" s="353" t="n"/>
    </row>
    <row r="26" hidden="1" s="671">
      <c r="B26" s="359" t="inlineStr">
        <is>
          <t>Sun Hung Kai</t>
        </is>
      </c>
      <c r="C26" s="92" t="n"/>
      <c r="D26" s="4">
        <f>C26/$C$31</f>
        <v/>
      </c>
      <c r="E26" s="353" t="n"/>
      <c r="F26" s="353" t="n"/>
      <c r="G26" s="353" t="n"/>
      <c r="H26" s="353" t="n"/>
    </row>
    <row r="27" hidden="1" s="671">
      <c r="B27" s="359" t="inlineStr">
        <is>
          <t>Morgan Stanley - Titan 1</t>
        </is>
      </c>
      <c r="C27" s="92" t="n"/>
      <c r="D27" s="4">
        <f>C27/$C$31</f>
        <v/>
      </c>
      <c r="E27" s="353" t="n"/>
      <c r="F27" s="353" t="n"/>
      <c r="G27" s="353" t="n"/>
      <c r="H27" s="353" t="n"/>
    </row>
    <row r="28" hidden="1" s="671">
      <c r="B28" s="359" t="inlineStr">
        <is>
          <t>Morgan Stanley - Titan 2</t>
        </is>
      </c>
      <c r="C28" s="92" t="n"/>
      <c r="D28" s="4">
        <f>C28/$C$31</f>
        <v/>
      </c>
      <c r="E28" s="353" t="n"/>
      <c r="F28" s="353" t="n"/>
      <c r="G28" s="353" t="n"/>
      <c r="H28" s="353" t="n"/>
    </row>
    <row r="29" ht="16.5" customHeight="1" s="671" thickBot="1">
      <c r="B29" s="359" t="inlineStr">
        <is>
          <t>Morgan Stanley - Perfect Legend</t>
        </is>
      </c>
      <c r="C29" s="92">
        <f>'DECU AUD'!R11</f>
        <v/>
      </c>
      <c r="D29" s="4">
        <f>C29/$C$31</f>
        <v/>
      </c>
      <c r="E29" s="353" t="n"/>
      <c r="F29" s="353" t="n"/>
      <c r="G29" s="353" t="n"/>
      <c r="H29" s="353" t="n"/>
    </row>
    <row r="30" hidden="1" ht="16.15" customHeight="1" s="671" thickBot="1">
      <c r="B30" s="360" t="inlineStr">
        <is>
          <t>Bank of Singapore</t>
        </is>
      </c>
      <c r="C30" s="93" t="n"/>
      <c r="D30" s="3">
        <f>C30/$C$31</f>
        <v/>
      </c>
      <c r="E30" s="353" t="n"/>
      <c r="F30" s="673" t="n"/>
      <c r="G30" s="673" t="n"/>
      <c r="H30" s="353" t="n"/>
    </row>
    <row r="31" ht="16.15" customHeight="1" s="671" thickBot="1">
      <c r="C31" s="335">
        <f>SUM(C20:C30)</f>
        <v/>
      </c>
      <c r="D31" s="2">
        <f>C31/$C$31</f>
        <v/>
      </c>
      <c r="E31" s="353" t="n"/>
      <c r="F31" s="673">
        <f>'DECU AUD'!R11</f>
        <v/>
      </c>
      <c r="G31" s="673">
        <f>C31-F31</f>
        <v/>
      </c>
      <c r="H31" s="353" t="n"/>
    </row>
    <row r="33">
      <c r="F33" s="673">
        <f>F15-F31</f>
        <v/>
      </c>
    </row>
  </sheetData>
  <mergeCells count="2">
    <mergeCell ref="C1:D1"/>
    <mergeCell ref="C17:D17"/>
  </mergeCells>
  <pageMargins left="0.25" right="0.25" top="0.25" bottom="0.25" header="0.3" footer="0.3"/>
  <pageSetup orientation="landscape" paperSize="122" scale="52" fitToHeight="100" horizontalDpi="4294967293" verticalDpi="300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B1:O31"/>
  <sheetViews>
    <sheetView view="pageBreakPreview" zoomScaleSheetLayoutView="100" workbookViewId="0">
      <selection activeCell="L265" sqref="L265"/>
    </sheetView>
  </sheetViews>
  <sheetFormatPr baseColWidth="8" defaultColWidth="9.140625" defaultRowHeight="15.75" outlineLevelCol="0"/>
  <cols>
    <col width="2.85546875" customWidth="1" style="353" min="1" max="1"/>
    <col width="28.28515625" customWidth="1" style="353" min="2" max="2"/>
    <col width="5.5703125" bestFit="1" customWidth="1" style="353" min="3" max="3"/>
    <col width="10.5703125" customWidth="1" style="1" min="4" max="4"/>
    <col width="10.5703125" customWidth="1" style="620" min="5" max="12"/>
    <col width="1.7109375" customWidth="1" style="353" min="13" max="13"/>
    <col width="21.7109375" bestFit="1" customWidth="1" style="353" min="14" max="14"/>
    <col width="11" bestFit="1" customWidth="1" style="353" min="15" max="15"/>
    <col width="9.140625" customWidth="1" style="353" min="16" max="686"/>
    <col width="9.140625" customWidth="1" style="353" min="687" max="16384"/>
  </cols>
  <sheetData>
    <row r="1" ht="26.45" customHeight="1" s="671" thickBot="1">
      <c r="B1" s="364" t="inlineStr">
        <is>
          <t>ACCUMULATORS</t>
        </is>
      </c>
      <c r="F1" s="674">
        <f>ACCU!B1</f>
        <v/>
      </c>
    </row>
    <row r="2" ht="29.25" customFormat="1" customHeight="1" s="356" thickBot="1">
      <c r="B2" s="366" t="inlineStr">
        <is>
          <t>AU Stock</t>
        </is>
      </c>
      <c r="C2" s="367" t="inlineStr">
        <is>
          <t>Code</t>
        </is>
      </c>
      <c r="D2" s="18" t="inlineStr">
        <is>
          <t>Total</t>
        </is>
      </c>
      <c r="E2" s="34">
        <f>ALLM!E2</f>
        <v/>
      </c>
      <c r="F2" s="34">
        <f>ALLM!F2</f>
        <v/>
      </c>
      <c r="G2" s="34">
        <f>ALLM!G2</f>
        <v/>
      </c>
      <c r="H2" s="34">
        <f>ALLM!H2</f>
        <v/>
      </c>
      <c r="I2" s="34">
        <f>ALLM!I2</f>
        <v/>
      </c>
      <c r="J2" s="34">
        <f>ALLM!J2</f>
        <v/>
      </c>
      <c r="K2" s="34">
        <f>ALLM!K2</f>
        <v/>
      </c>
      <c r="L2" s="34">
        <f>ALLM!L2</f>
        <v/>
      </c>
      <c r="N2" s="83" t="inlineStr">
        <is>
          <t>Estimated Amount</t>
        </is>
      </c>
      <c r="O2" s="6" t="inlineStr">
        <is>
          <t>%</t>
        </is>
      </c>
    </row>
    <row r="3" hidden="1" ht="29.25" customFormat="1" customHeight="1" s="356" thickBot="1">
      <c r="B3" s="368" t="n"/>
      <c r="C3" s="369" t="n"/>
      <c r="D3" s="32" t="n"/>
      <c r="E3" s="34">
        <f>ALLM!E3</f>
        <v/>
      </c>
      <c r="F3" s="34">
        <f>ALLM!F3</f>
        <v/>
      </c>
      <c r="G3" s="34">
        <f>ALLM!G3</f>
        <v/>
      </c>
      <c r="H3" s="34">
        <f>ALLM!H3</f>
        <v/>
      </c>
      <c r="I3" s="34">
        <f>ALLM!I3</f>
        <v/>
      </c>
      <c r="J3" s="34">
        <f>ALLM!J3</f>
        <v/>
      </c>
      <c r="K3" s="34">
        <f>ALLM!K3</f>
        <v/>
      </c>
      <c r="L3" s="34" t="n"/>
      <c r="N3" s="370" t="n"/>
      <c r="O3" s="35" t="n"/>
    </row>
    <row r="4" ht="16.5" customHeight="1" s="671" thickBot="1">
      <c r="B4" s="498" t="inlineStr">
        <is>
          <t>Rio Tinto</t>
        </is>
      </c>
      <c r="C4" s="29" t="inlineStr">
        <is>
          <t>RIO</t>
        </is>
      </c>
      <c r="D4" s="28">
        <f>SUM(E4:L4)</f>
        <v/>
      </c>
      <c r="E4" s="27">
        <f>IF(COUNTIF('ACCU AUD'!$AD:$AD,E$3&amp;"-"&amp;$C4)=0,"",COUNTIF('ACCU AUD'!$AD:$AD,E$3&amp;"-"&amp;$C4))</f>
        <v/>
      </c>
      <c r="F4" s="27">
        <f>IF(COUNTIF('ACCU AUD'!$AD:$AD,F$3&amp;"-"&amp;$C4)=0,"",COUNTIF('ACCU AUD'!$AD:$AD,F$3&amp;"-"&amp;$C4))</f>
        <v/>
      </c>
      <c r="G4" s="27">
        <f>IF(COUNTIF('ACCU AUD'!$AD:$AD,G$3&amp;"-"&amp;$C4)=0,"",COUNTIF('ACCU AUD'!$AD:$AD,G$3&amp;"-"&amp;$C4))</f>
        <v/>
      </c>
      <c r="H4" s="27">
        <f>IF(COUNTIF('ACCU AUD'!$AD:$AD,H$3&amp;"-"&amp;$C4)=0,"",COUNTIF('ACCU AUD'!$AD:$AD,H$3&amp;"-"&amp;$C4))</f>
        <v/>
      </c>
      <c r="I4" s="27">
        <f>IF(COUNTIF('ACCU AUD'!$AD:$AD,I$3&amp;"-"&amp;$C4)=0,"",COUNTIF('ACCU AUD'!$AD:$AD,I$3&amp;"-"&amp;$C4))</f>
        <v/>
      </c>
      <c r="J4" s="27">
        <f>IF(COUNTIF('ACCU AUD'!$AD:$AD,J$3&amp;"-"&amp;$C4)=0,"",COUNTIF('ACCU AUD'!$AD:$AD,J$3&amp;"-"&amp;$C4))</f>
        <v/>
      </c>
      <c r="K4" s="26">
        <f>IF(COUNTIF('ACCU AUD'!$AD:$AD,K$3&amp;"-"&amp;$C4)=0,"",COUNTIF('ACCU AUD'!$AD:$AD,K$3&amp;"-"&amp;$C4))</f>
        <v/>
      </c>
      <c r="L4" s="25">
        <f>COUNTIF('ACCU AUD'!$AE:$AE,$C4)-SUM(E4:K4)</f>
        <v/>
      </c>
      <c r="N4" s="98">
        <f>SUMIF('ACCU AUD'!AE:AE,C4,'ACCU AUD'!R:R)</f>
        <v/>
      </c>
      <c r="O4" s="84">
        <f>N4/N$17</f>
        <v/>
      </c>
    </row>
    <row r="5" hidden="1" ht="16.5" customHeight="1" s="671" thickBot="1">
      <c r="B5" s="498" t="inlineStr">
        <is>
          <t>Geely Motor</t>
        </is>
      </c>
      <c r="C5" s="29" t="inlineStr">
        <is>
          <t>0175</t>
        </is>
      </c>
      <c r="D5" s="28">
        <f>SUM(E5:L5)</f>
        <v/>
      </c>
      <c r="E5" s="27">
        <f>IF(COUNTIF('ACCU AUD'!$AD:$AD,E$3&amp;"-"&amp;$C5)=0,"",COUNTIF('ACCU AUD'!$AD:$AD,E$3&amp;"-"&amp;$C5))</f>
        <v/>
      </c>
      <c r="F5" s="27">
        <f>IF(COUNTIF('ACCU AUD'!$AD:$AD,F$3&amp;"-"&amp;$C5)=0,"",COUNTIF('ACCU AUD'!$AD:$AD,F$3&amp;"-"&amp;$C5))</f>
        <v/>
      </c>
      <c r="G5" s="27">
        <f>IF(COUNTIF('ACCU AUD'!$AD:$AD,G$3&amp;"-"&amp;$C5)=0,"",COUNTIF('ACCU AUD'!$AD:$AD,G$3&amp;"-"&amp;$C5))</f>
        <v/>
      </c>
      <c r="H5" s="27">
        <f>IF(COUNTIF('ACCU AUD'!$AD:$AD,H$3&amp;"-"&amp;$C5)=0,"",COUNTIF('ACCU AUD'!$AD:$AD,H$3&amp;"-"&amp;$C5))</f>
        <v/>
      </c>
      <c r="I5" s="27">
        <f>IF(COUNTIF('ACCU AUD'!$AD:$AD,I$3&amp;"-"&amp;$C5)=0,"",COUNTIF('ACCU AUD'!$AD:$AD,I$3&amp;"-"&amp;$C5))</f>
        <v/>
      </c>
      <c r="J5" s="27">
        <f>IF(COUNTIF('ACCU AUD'!$AD:$AD,J$3&amp;"-"&amp;$C5)=0,"",COUNTIF('ACCU AUD'!$AD:$AD,J$3&amp;"-"&amp;$C5))</f>
        <v/>
      </c>
      <c r="K5" s="26">
        <f>IF(COUNTIF('ACCU AUD'!$AD:$AD,K$3&amp;"-"&amp;$C5)=0,"",COUNTIF('ACCU AUD'!$AD:$AD,K$3&amp;"-"&amp;$C5))</f>
        <v/>
      </c>
      <c r="L5" s="25">
        <f>COUNTIF('ACCU AUD'!$AE:$AE,$C5)-SUM(E5:K5)</f>
        <v/>
      </c>
      <c r="N5" s="98">
        <f>SUMIF('ACCU AUD'!AE:AE,C5,'ACCU AUD'!R:R)</f>
        <v/>
      </c>
      <c r="O5" s="84">
        <f>N5/N$17</f>
        <v/>
      </c>
    </row>
    <row r="6" hidden="1" ht="16.5" customHeight="1" s="671" thickBot="1">
      <c r="B6" s="499" t="inlineStr">
        <is>
          <t>Cathay Pacific Airways LTD</t>
        </is>
      </c>
      <c r="C6" s="29" t="inlineStr">
        <is>
          <t>0293</t>
        </is>
      </c>
      <c r="D6" s="28">
        <f>SUM(E6:L6)</f>
        <v/>
      </c>
      <c r="E6" s="27">
        <f>IF(COUNTIF('ACCU AUD'!$AD:$AD,E$3&amp;"-"&amp;$C6)=0,"",COUNTIF('ACCU AUD'!$AD:$AD,E$3&amp;"-"&amp;$C6))</f>
        <v/>
      </c>
      <c r="F6" s="27">
        <f>IF(COUNTIF('ACCU AUD'!$AD:$AD,F$3&amp;"-"&amp;$C6)=0,"",COUNTIF('ACCU AUD'!$AD:$AD,F$3&amp;"-"&amp;$C6))</f>
        <v/>
      </c>
      <c r="G6" s="27">
        <f>IF(COUNTIF('ACCU AUD'!$AD:$AD,G$3&amp;"-"&amp;$C6)=0,"",COUNTIF('ACCU AUD'!$AD:$AD,G$3&amp;"-"&amp;$C6))</f>
        <v/>
      </c>
      <c r="H6" s="27">
        <f>IF(COUNTIF('ACCU AUD'!$AD:$AD,H$3&amp;"-"&amp;$C6)=0,"",COUNTIF('ACCU AUD'!$AD:$AD,H$3&amp;"-"&amp;$C6))</f>
        <v/>
      </c>
      <c r="I6" s="27">
        <f>IF(COUNTIF('ACCU AUD'!$AD:$AD,I$3&amp;"-"&amp;$C6)=0,"",COUNTIF('ACCU AUD'!$AD:$AD,I$3&amp;"-"&amp;$C6))</f>
        <v/>
      </c>
      <c r="J6" s="27">
        <f>IF(COUNTIF('ACCU AUD'!$AD:$AD,J$3&amp;"-"&amp;$C6)=0,"",COUNTIF('ACCU AUD'!$AD:$AD,J$3&amp;"-"&amp;$C6))</f>
        <v/>
      </c>
      <c r="K6" s="26">
        <f>IF(COUNTIF('ACCU AUD'!$AD:$AD,K$3&amp;"-"&amp;$C6)=0,"",COUNTIF('ACCU AUD'!$AD:$AD,K$3&amp;"-"&amp;$C6))</f>
        <v/>
      </c>
      <c r="L6" s="25">
        <f>COUNTIF('ACCU AUD'!$AE:$AE,$C6)-SUM(E6:K6)</f>
        <v/>
      </c>
      <c r="N6" s="98">
        <f>SUMIF('ACCU AUD'!AE:AE,C6,'ACCU AUD'!R:R)</f>
        <v/>
      </c>
      <c r="O6" s="84">
        <f>N6/N$17</f>
        <v/>
      </c>
    </row>
    <row r="7" hidden="1" ht="16.5" customHeight="1" s="671" thickBot="1">
      <c r="B7" s="359" t="inlineStr">
        <is>
          <t>Jiangxi Copper</t>
        </is>
      </c>
      <c r="C7" s="24" t="inlineStr">
        <is>
          <t>0358</t>
        </is>
      </c>
      <c r="D7" s="23">
        <f>SUM(E7:L7)</f>
        <v/>
      </c>
      <c r="E7" s="22">
        <f>IF(COUNTIF('ACCU AUD'!$AD:$AD,E$3&amp;"-"&amp;$C7)=0,"",COUNTIF('ACCU AUD'!$AD:$AD,E$3&amp;"-"&amp;$C7))</f>
        <v/>
      </c>
      <c r="F7" s="22">
        <f>IF(COUNTIF('ACCU AUD'!$AD:$AD,F$3&amp;"-"&amp;$C7)=0,"",COUNTIF('ACCU AUD'!$AD:$AD,F$3&amp;"-"&amp;$C7))</f>
        <v/>
      </c>
      <c r="G7" s="22">
        <f>IF(COUNTIF('ACCU AUD'!$AD:$AD,G$3&amp;"-"&amp;$C7)=0,"",COUNTIF('ACCU AUD'!$AD:$AD,G$3&amp;"-"&amp;$C7))</f>
        <v/>
      </c>
      <c r="H7" s="22">
        <f>IF(COUNTIF('ACCU AUD'!$AD:$AD,H$3&amp;"-"&amp;$C7)=0,"",COUNTIF('ACCU AUD'!$AD:$AD,H$3&amp;"-"&amp;$C7))</f>
        <v/>
      </c>
      <c r="I7" s="22">
        <f>IF(COUNTIF('ACCU AUD'!$AD:$AD,I$3&amp;"-"&amp;$C7)=0,"",COUNTIF('ACCU AUD'!$AD:$AD,I$3&amp;"-"&amp;$C7))</f>
        <v/>
      </c>
      <c r="J7" s="22">
        <f>IF(COUNTIF('ACCU AUD'!$AD:$AD,J$3&amp;"-"&amp;$C7)=0,"",COUNTIF('ACCU AUD'!$AD:$AD,J$3&amp;"-"&amp;$C7))</f>
        <v/>
      </c>
      <c r="K7" s="21">
        <f>IF(COUNTIF('ACCU AUD'!$AD:$AD,K$3&amp;"-"&amp;$C7)=0,"",COUNTIF('ACCU AUD'!$AD:$AD,K$3&amp;"-"&amp;$C7))</f>
        <v/>
      </c>
      <c r="L7" s="20">
        <f>COUNTIF('ACCU AUD'!$AE:$AE,$C7)-SUM(E7:K7)</f>
        <v/>
      </c>
      <c r="N7" s="98">
        <f>SUMIF('ACCU AUD'!AE:AE,C7,'ACCU AUD'!R:R)</f>
        <v/>
      </c>
      <c r="O7" s="84">
        <f>N7/N$17</f>
        <v/>
      </c>
    </row>
    <row r="8" hidden="1" ht="16.5" customHeight="1" s="671" thickBot="1">
      <c r="B8" s="359" t="inlineStr">
        <is>
          <t>Tencent</t>
        </is>
      </c>
      <c r="C8" s="24" t="inlineStr">
        <is>
          <t>0700</t>
        </is>
      </c>
      <c r="D8" s="23">
        <f>SUM(E8:L8)</f>
        <v/>
      </c>
      <c r="E8" s="22">
        <f>IF(COUNTIF('ACCU AUD'!$AD:$AD,E$3&amp;"-"&amp;$C8)=0,"",COUNTIF('ACCU AUD'!$AD:$AD,E$3&amp;"-"&amp;$C8))</f>
        <v/>
      </c>
      <c r="F8" s="22">
        <f>IF(COUNTIF('ACCU AUD'!$AD:$AD,F$3&amp;"-"&amp;$C8)=0,"",COUNTIF('ACCU AUD'!$AD:$AD,F$3&amp;"-"&amp;$C8))</f>
        <v/>
      </c>
      <c r="G8" s="22">
        <f>IF(COUNTIF('ACCU AUD'!$AD:$AD,G$3&amp;"-"&amp;$C8)=0,"",COUNTIF('ACCU AUD'!$AD:$AD,G$3&amp;"-"&amp;$C8))</f>
        <v/>
      </c>
      <c r="H8" s="22">
        <f>IF(COUNTIF('ACCU AUD'!$AD:$AD,H$3&amp;"-"&amp;$C8)=0,"",COUNTIF('ACCU AUD'!$AD:$AD,H$3&amp;"-"&amp;$C8))</f>
        <v/>
      </c>
      <c r="I8" s="22">
        <f>IF(COUNTIF('ACCU AUD'!$AD:$AD,I$3&amp;"-"&amp;$C8)=0,"",COUNTIF('ACCU AUD'!$AD:$AD,I$3&amp;"-"&amp;$C8))</f>
        <v/>
      </c>
      <c r="J8" s="22">
        <f>IF(COUNTIF('ACCU AUD'!$AD:$AD,J$3&amp;"-"&amp;$C8)=0,"",COUNTIF('ACCU AUD'!$AD:$AD,J$3&amp;"-"&amp;$C8))</f>
        <v/>
      </c>
      <c r="K8" s="21">
        <f>IF(COUNTIF('ACCU AUD'!$AD:$AD,K$3&amp;"-"&amp;$C8)=0,"",COUNTIF('ACCU AUD'!$AD:$AD,K$3&amp;"-"&amp;$C8))</f>
        <v/>
      </c>
      <c r="L8" s="20">
        <f>COUNTIF('ACCU AUD'!$AE:$AE,$C8)-SUM(E8:K8)</f>
        <v/>
      </c>
      <c r="N8" s="98">
        <f>SUMIF('ACCU AUD'!AE:AE,C8,'ACCU AUD'!R:R)</f>
        <v/>
      </c>
      <c r="O8" s="84">
        <f>N8/N$17</f>
        <v/>
      </c>
    </row>
    <row r="9" hidden="1" ht="16.5" customHeight="1" s="671" thickBot="1">
      <c r="B9" s="359" t="inlineStr">
        <is>
          <t>China Construction</t>
        </is>
      </c>
      <c r="C9" s="24" t="inlineStr">
        <is>
          <t>0939</t>
        </is>
      </c>
      <c r="D9" s="23">
        <f>SUM(E9:L9)</f>
        <v/>
      </c>
      <c r="E9" s="22">
        <f>IF(COUNTIF('ACCU AUD'!$AD:$AD,E$3&amp;"-"&amp;$C9)=0,"",COUNTIF('ACCU AUD'!$AD:$AD,E$3&amp;"-"&amp;$C9))</f>
        <v/>
      </c>
      <c r="F9" s="22">
        <f>IF(COUNTIF('ACCU AUD'!$AD:$AD,F$3&amp;"-"&amp;$C9)=0,"",COUNTIF('ACCU AUD'!$AD:$AD,F$3&amp;"-"&amp;$C9))</f>
        <v/>
      </c>
      <c r="G9" s="22">
        <f>IF(COUNTIF('ACCU AUD'!$AD:$AD,G$3&amp;"-"&amp;$C9)=0,"",COUNTIF('ACCU AUD'!$AD:$AD,G$3&amp;"-"&amp;$C9))</f>
        <v/>
      </c>
      <c r="H9" s="22">
        <f>IF(COUNTIF('ACCU AUD'!$AD:$AD,H$3&amp;"-"&amp;$C9)=0,"",COUNTIF('ACCU AUD'!$AD:$AD,H$3&amp;"-"&amp;$C9))</f>
        <v/>
      </c>
      <c r="I9" s="22">
        <f>IF(COUNTIF('ACCU AUD'!$AD:$AD,I$3&amp;"-"&amp;$C9)=0,"",COUNTIF('ACCU AUD'!$AD:$AD,I$3&amp;"-"&amp;$C9))</f>
        <v/>
      </c>
      <c r="J9" s="22">
        <f>IF(COUNTIF('ACCU AUD'!$AD:$AD,J$3&amp;"-"&amp;$C9)=0,"",COUNTIF('ACCU AUD'!$AD:$AD,J$3&amp;"-"&amp;$C9))</f>
        <v/>
      </c>
      <c r="K9" s="21">
        <f>IF(COUNTIF('ACCU AUD'!$AD:$AD,K$3&amp;"-"&amp;$C9)=0,"",COUNTIF('ACCU AUD'!$AD:$AD,K$3&amp;"-"&amp;$C9))</f>
        <v/>
      </c>
      <c r="L9" s="20">
        <f>COUNTIF('ACCU AUD'!$AE:$AE,$C9)-SUM(E9:K9)</f>
        <v/>
      </c>
      <c r="N9" s="98">
        <f>SUMIF('ACCU AUD'!AE:AE,C9,'ACCU AUD'!R:R)</f>
        <v/>
      </c>
      <c r="O9" s="84">
        <f>N9/N$17</f>
        <v/>
      </c>
    </row>
    <row r="10" hidden="1" ht="16.5" customHeight="1" s="671" thickBot="1">
      <c r="B10" s="359" t="inlineStr">
        <is>
          <t>BYD Company Limited</t>
        </is>
      </c>
      <c r="C10" s="24" t="inlineStr">
        <is>
          <t>1211</t>
        </is>
      </c>
      <c r="D10" s="23">
        <f>SUM(E10:L10)</f>
        <v/>
      </c>
      <c r="E10" s="22">
        <f>IF(COUNTIF('ACCU AUD'!$AD:$AD,E$3&amp;"-"&amp;$C10)=0,"",COUNTIF('ACCU AUD'!$AD:$AD,E$3&amp;"-"&amp;$C10))</f>
        <v/>
      </c>
      <c r="F10" s="22">
        <f>IF(COUNTIF('ACCU AUD'!$AD:$AD,F$3&amp;"-"&amp;$C10)=0,"",COUNTIF('ACCU AUD'!$AD:$AD,F$3&amp;"-"&amp;$C10))</f>
        <v/>
      </c>
      <c r="G10" s="22">
        <f>IF(COUNTIF('ACCU AUD'!$AD:$AD,G$3&amp;"-"&amp;$C10)=0,"",COUNTIF('ACCU AUD'!$AD:$AD,G$3&amp;"-"&amp;$C10))</f>
        <v/>
      </c>
      <c r="H10" s="22">
        <f>IF(COUNTIF('ACCU AUD'!$AD:$AD,H$3&amp;"-"&amp;$C10)=0,"",COUNTIF('ACCU AUD'!$AD:$AD,H$3&amp;"-"&amp;$C10))</f>
        <v/>
      </c>
      <c r="I10" s="22">
        <f>IF(COUNTIF('ACCU AUD'!$AD:$AD,I$3&amp;"-"&amp;$C10)=0,"",COUNTIF('ACCU AUD'!$AD:$AD,I$3&amp;"-"&amp;$C10))</f>
        <v/>
      </c>
      <c r="J10" s="22">
        <f>IF(COUNTIF('ACCU AUD'!$AD:$AD,J$3&amp;"-"&amp;$C10)=0,"",COUNTIF('ACCU AUD'!$AD:$AD,J$3&amp;"-"&amp;$C10))</f>
        <v/>
      </c>
      <c r="K10" s="21">
        <f>IF(COUNTIF('ACCU AUD'!$AD:$AD,K$3&amp;"-"&amp;$C10)=0,"",COUNTIF('ACCU AUD'!$AD:$AD,K$3&amp;"-"&amp;$C10))</f>
        <v/>
      </c>
      <c r="L10" s="20">
        <f>COUNTIF('ACCU AUD'!$AE:$AE,$C10)-SUM(E10:K10)</f>
        <v/>
      </c>
      <c r="N10" s="98">
        <f>SUMIF('ACCU AUD'!AE:AE,C10,'ACCU AUD'!R:R)</f>
        <v/>
      </c>
      <c r="O10" s="84">
        <f>N10/N$17</f>
        <v/>
      </c>
    </row>
    <row r="11" hidden="1" ht="16.5" customHeight="1" s="671" thickBot="1">
      <c r="B11" s="359" t="inlineStr">
        <is>
          <t>Agricultural Bank of China</t>
        </is>
      </c>
      <c r="C11" s="24" t="inlineStr">
        <is>
          <t>1288</t>
        </is>
      </c>
      <c r="D11" s="23">
        <f>SUM(E11:L11)</f>
        <v/>
      </c>
      <c r="E11" s="22">
        <f>IF(COUNTIF('ACCU AUD'!$AD:$AD,E$3&amp;"-"&amp;$C11)=0,"",COUNTIF('ACCU AUD'!$AD:$AD,E$3&amp;"-"&amp;$C11))</f>
        <v/>
      </c>
      <c r="F11" s="22">
        <f>IF(COUNTIF('ACCU AUD'!$AD:$AD,F$3&amp;"-"&amp;$C11)=0,"",COUNTIF('ACCU AUD'!$AD:$AD,F$3&amp;"-"&amp;$C11))</f>
        <v/>
      </c>
      <c r="G11" s="22">
        <f>IF(COUNTIF('ACCU AUD'!$AD:$AD,G$3&amp;"-"&amp;$C11)=0,"",COUNTIF('ACCU AUD'!$AD:$AD,G$3&amp;"-"&amp;$C11))</f>
        <v/>
      </c>
      <c r="H11" s="22">
        <f>IF(COUNTIF('ACCU AUD'!$AD:$AD,H$3&amp;"-"&amp;$C11)=0,"",COUNTIF('ACCU AUD'!$AD:$AD,H$3&amp;"-"&amp;$C11))</f>
        <v/>
      </c>
      <c r="I11" s="22">
        <f>IF(COUNTIF('ACCU AUD'!$AD:$AD,I$3&amp;"-"&amp;$C11)=0,"",COUNTIF('ACCU AUD'!$AD:$AD,I$3&amp;"-"&amp;$C11))</f>
        <v/>
      </c>
      <c r="J11" s="22">
        <f>IF(COUNTIF('ACCU AUD'!$AD:$AD,J$3&amp;"-"&amp;$C11)=0,"",COUNTIF('ACCU AUD'!$AD:$AD,J$3&amp;"-"&amp;$C11))</f>
        <v/>
      </c>
      <c r="K11" s="21">
        <f>IF(COUNTIF('ACCU AUD'!$AD:$AD,K$3&amp;"-"&amp;$C11)=0,"",COUNTIF('ACCU AUD'!$AD:$AD,K$3&amp;"-"&amp;$C11))</f>
        <v/>
      </c>
      <c r="L11" s="20">
        <f>COUNTIF('ACCU AUD'!$AE:$AE,$C11)-SUM(E11:K11)</f>
        <v/>
      </c>
      <c r="N11" s="98">
        <f>SUMIF('ACCU AUD'!AE:AE,C11,'ACCU AUD'!R:R)</f>
        <v/>
      </c>
      <c r="O11" s="84">
        <f>N11/N$17</f>
        <v/>
      </c>
    </row>
    <row r="12" hidden="1" ht="16.5" customHeight="1" s="671" thickBot="1">
      <c r="B12" s="359" t="inlineStr">
        <is>
          <t>Great Wall Motor</t>
        </is>
      </c>
      <c r="C12" s="24" t="inlineStr">
        <is>
          <t>2333</t>
        </is>
      </c>
      <c r="D12" s="23">
        <f>SUM(E12:L12)</f>
        <v/>
      </c>
      <c r="E12" s="22">
        <f>IF(COUNTIF('ACCU AUD'!$AD:$AD,E$3&amp;"-"&amp;$C12)=0,"",COUNTIF('ACCU AUD'!$AD:$AD,E$3&amp;"-"&amp;$C12))</f>
        <v/>
      </c>
      <c r="F12" s="22">
        <f>IF(COUNTIF('ACCU AUD'!$AD:$AD,F$3&amp;"-"&amp;$C12)=0,"",COUNTIF('ACCU AUD'!$AD:$AD,F$3&amp;"-"&amp;$C12))</f>
        <v/>
      </c>
      <c r="G12" s="22">
        <f>IF(COUNTIF('ACCU AUD'!$AD:$AD,G$3&amp;"-"&amp;$C12)=0,"",COUNTIF('ACCU AUD'!$AD:$AD,G$3&amp;"-"&amp;$C12))</f>
        <v/>
      </c>
      <c r="H12" s="22">
        <f>IF(COUNTIF('ACCU AUD'!$AD:$AD,H$3&amp;"-"&amp;$C12)=0,"",COUNTIF('ACCU AUD'!$AD:$AD,H$3&amp;"-"&amp;$C12))</f>
        <v/>
      </c>
      <c r="I12" s="22">
        <f>IF(COUNTIF('ACCU AUD'!$AD:$AD,I$3&amp;"-"&amp;$C12)=0,"",COUNTIF('ACCU AUD'!$AD:$AD,I$3&amp;"-"&amp;$C12))</f>
        <v/>
      </c>
      <c r="J12" s="22">
        <f>IF(COUNTIF('ACCU AUD'!$AD:$AD,J$3&amp;"-"&amp;$C12)=0,"",COUNTIF('ACCU AUD'!$AD:$AD,J$3&amp;"-"&amp;$C12))</f>
        <v/>
      </c>
      <c r="K12" s="21">
        <f>IF(COUNTIF('ACCU AUD'!$AD:$AD,K$3&amp;"-"&amp;$C12)=0,"",COUNTIF('ACCU AUD'!$AD:$AD,K$3&amp;"-"&amp;$C12))</f>
        <v/>
      </c>
      <c r="L12" s="20">
        <f>COUNTIF('ACCU AUD'!$AE:$AE,$C12)-SUM(E12:K12)</f>
        <v/>
      </c>
      <c r="N12" s="98">
        <f>SUMIF('ACCU AUD'!AE:AE,C12,'ACCU AUD'!R:R)</f>
        <v/>
      </c>
      <c r="O12" s="84">
        <f>N12/N$17</f>
        <v/>
      </c>
    </row>
    <row r="13" hidden="1" ht="16.5" customHeight="1" s="671" thickBot="1">
      <c r="B13" s="359" t="inlineStr">
        <is>
          <t>Zijin Mining</t>
        </is>
      </c>
      <c r="C13" s="24" t="inlineStr">
        <is>
          <t>2899</t>
        </is>
      </c>
      <c r="D13" s="23">
        <f>SUM(E13:L13)</f>
        <v/>
      </c>
      <c r="E13" s="22">
        <f>IF(COUNTIF('ACCU AUD'!$AD:$AD,E$3&amp;"-"&amp;$C13)=0,"",COUNTIF('ACCU AUD'!$AD:$AD,E$3&amp;"-"&amp;$C13))</f>
        <v/>
      </c>
      <c r="F13" s="22">
        <f>IF(COUNTIF('ACCU AUD'!$AD:$AD,F$3&amp;"-"&amp;$C13)=0,"",COUNTIF('ACCU AUD'!$AD:$AD,F$3&amp;"-"&amp;$C13))</f>
        <v/>
      </c>
      <c r="G13" s="22">
        <f>IF(COUNTIF('ACCU AUD'!$AD:$AD,G$3&amp;"-"&amp;$C13)=0,"",COUNTIF('ACCU AUD'!$AD:$AD,G$3&amp;"-"&amp;$C13))</f>
        <v/>
      </c>
      <c r="H13" s="22">
        <f>IF(COUNTIF('ACCU AUD'!$AD:$AD,H$3&amp;"-"&amp;$C13)=0,"",COUNTIF('ACCU AUD'!$AD:$AD,H$3&amp;"-"&amp;$C13))</f>
        <v/>
      </c>
      <c r="I13" s="22">
        <f>IF(COUNTIF('ACCU AUD'!$AD:$AD,I$3&amp;"-"&amp;$C13)=0,"",COUNTIF('ACCU AUD'!$AD:$AD,I$3&amp;"-"&amp;$C13))</f>
        <v/>
      </c>
      <c r="J13" s="22">
        <f>IF(COUNTIF('ACCU AUD'!$AD:$AD,J$3&amp;"-"&amp;$C13)=0,"",COUNTIF('ACCU AUD'!$AD:$AD,J$3&amp;"-"&amp;$C13))</f>
        <v/>
      </c>
      <c r="K13" s="21">
        <f>IF(COUNTIF('ACCU AUD'!$AD:$AD,K$3&amp;"-"&amp;$C13)=0,"",COUNTIF('ACCU AUD'!$AD:$AD,K$3&amp;"-"&amp;$C13))</f>
        <v/>
      </c>
      <c r="L13" s="20">
        <f>COUNTIF('ACCU AUD'!$AE:$AE,$C13)-SUM(E13:K13)</f>
        <v/>
      </c>
      <c r="N13" s="98">
        <f>SUMIF('ACCU AUD'!AE:AE,C13,'ACCU AUD'!R:R)</f>
        <v/>
      </c>
      <c r="O13" s="84">
        <f>N13/N$17</f>
        <v/>
      </c>
    </row>
    <row r="14" hidden="1" ht="16.5" customHeight="1" s="671" thickBot="1">
      <c r="B14" s="359" t="inlineStr">
        <is>
          <t>Bank of China</t>
        </is>
      </c>
      <c r="C14" s="24" t="inlineStr">
        <is>
          <t>3988</t>
        </is>
      </c>
      <c r="D14" s="23">
        <f>SUM(E14:L14)</f>
        <v/>
      </c>
      <c r="E14" s="22">
        <f>IF(COUNTIF('ACCU AUD'!$AD:$AD,E$3&amp;"-"&amp;$C14)=0,"",COUNTIF('ACCU AUD'!$AD:$AD,E$3&amp;"-"&amp;$C14))</f>
        <v/>
      </c>
      <c r="F14" s="22">
        <f>IF(COUNTIF('ACCU AUD'!$AD:$AD,F$3&amp;"-"&amp;$C14)=0,"",COUNTIF('ACCU AUD'!$AD:$AD,F$3&amp;"-"&amp;$C14))</f>
        <v/>
      </c>
      <c r="G14" s="22">
        <f>IF(COUNTIF('ACCU AUD'!$AD:$AD,G$3&amp;"-"&amp;$C14)=0,"",COUNTIF('ACCU AUD'!$AD:$AD,G$3&amp;"-"&amp;$C14))</f>
        <v/>
      </c>
      <c r="H14" s="22">
        <f>IF(COUNTIF('ACCU AUD'!$AD:$AD,H$3&amp;"-"&amp;$C14)=0,"",COUNTIF('ACCU AUD'!$AD:$AD,H$3&amp;"-"&amp;$C14))</f>
        <v/>
      </c>
      <c r="I14" s="22">
        <f>IF(COUNTIF('ACCU AUD'!$AD:$AD,I$3&amp;"-"&amp;$C14)=0,"",COUNTIF('ACCU AUD'!$AD:$AD,I$3&amp;"-"&amp;$C14))</f>
        <v/>
      </c>
      <c r="J14" s="22">
        <f>IF(COUNTIF('ACCU AUD'!$AD:$AD,J$3&amp;"-"&amp;$C14)=0,"",COUNTIF('ACCU AUD'!$AD:$AD,J$3&amp;"-"&amp;$C14))</f>
        <v/>
      </c>
      <c r="K14" s="21">
        <f>IF(COUNTIF('ACCU AUD'!$AD:$AD,K$3&amp;"-"&amp;$C14)=0,"",COUNTIF('ACCU AUD'!$AD:$AD,K$3&amp;"-"&amp;$C14))</f>
        <v/>
      </c>
      <c r="L14" s="20">
        <f>COUNTIF('ACCU AUD'!$AE:$AE,$C14)-SUM(E14:K14)</f>
        <v/>
      </c>
      <c r="N14" s="98">
        <f>SUMIF('ACCU AUD'!AE:AE,C14,'ACCU AUD'!R:R)</f>
        <v/>
      </c>
      <c r="O14" s="84">
        <f>N14/N$17</f>
        <v/>
      </c>
    </row>
    <row r="15" hidden="1" ht="16.5" customHeight="1" s="671" thickBot="1">
      <c r="B15" s="359" t="inlineStr">
        <is>
          <t>China Molybdenum</t>
        </is>
      </c>
      <c r="C15" s="24" t="inlineStr">
        <is>
          <t>3993</t>
        </is>
      </c>
      <c r="D15" s="23">
        <f>SUM(E15:L15)</f>
        <v/>
      </c>
      <c r="E15" s="22">
        <f>IF(COUNTIF('ACCU AUD'!$AD:$AD,E$3&amp;"-"&amp;$C15)=0,"",COUNTIF('ACCU AUD'!$AD:$AD,E$3&amp;"-"&amp;$C15))</f>
        <v/>
      </c>
      <c r="F15" s="22">
        <f>IF(COUNTIF('ACCU AUD'!$AD:$AD,F$3&amp;"-"&amp;$C15)=0,"",COUNTIF('ACCU AUD'!$AD:$AD,F$3&amp;"-"&amp;$C15))</f>
        <v/>
      </c>
      <c r="G15" s="22">
        <f>IF(COUNTIF('ACCU AUD'!$AD:$AD,G$3&amp;"-"&amp;$C15)=0,"",COUNTIF('ACCU AUD'!$AD:$AD,G$3&amp;"-"&amp;$C15))</f>
        <v/>
      </c>
      <c r="H15" s="22">
        <f>IF(COUNTIF('ACCU AUD'!$AD:$AD,H$3&amp;"-"&amp;$C15)=0,"",COUNTIF('ACCU AUD'!$AD:$AD,H$3&amp;"-"&amp;$C15))</f>
        <v/>
      </c>
      <c r="I15" s="22">
        <f>IF(COUNTIF('ACCU AUD'!$AD:$AD,I$3&amp;"-"&amp;$C15)=0,"",COUNTIF('ACCU AUD'!$AD:$AD,I$3&amp;"-"&amp;$C15))</f>
        <v/>
      </c>
      <c r="J15" s="22">
        <f>IF(COUNTIF('ACCU AUD'!$AD:$AD,J$3&amp;"-"&amp;$C15)=0,"",COUNTIF('ACCU AUD'!$AD:$AD,J$3&amp;"-"&amp;$C15))</f>
        <v/>
      </c>
      <c r="K15" s="21">
        <f>IF(COUNTIF('ACCU AUD'!$AD:$AD,K$3&amp;"-"&amp;$C15)=0,"",COUNTIF('ACCU AUD'!$AD:$AD,K$3&amp;"-"&amp;$C15))</f>
        <v/>
      </c>
      <c r="L15" s="20">
        <f>COUNTIF('ACCU AUD'!$AE:$AE,$C15)-SUM(E15:K15)</f>
        <v/>
      </c>
      <c r="N15" s="98">
        <f>SUMIF('ACCU AUD'!AE:AE,C15,'ACCU AUD'!R:R)</f>
        <v/>
      </c>
      <c r="O15" s="84">
        <f>N15/N$17</f>
        <v/>
      </c>
    </row>
    <row r="16" hidden="1" ht="16.15" customHeight="1" s="671" thickBot="1">
      <c r="B16" s="360" t="inlineStr">
        <is>
          <t>Citic Securities</t>
        </is>
      </c>
      <c r="C16" s="17" t="inlineStr">
        <is>
          <t>6030</t>
        </is>
      </c>
      <c r="D16" s="16">
        <f>SUM(E16:L16)</f>
        <v/>
      </c>
      <c r="E16" s="15">
        <f>IF(COUNTIF('ACCU AUD'!$AD:$AD,E$3&amp;"-"&amp;$C16)=0,"",COUNTIF('ACCU AUD'!$AD:$AD,E$3&amp;"-"&amp;$C16))</f>
        <v/>
      </c>
      <c r="F16" s="15">
        <f>IF(COUNTIF('ACCU AUD'!$AD:$AD,F$3&amp;"-"&amp;$C16)=0,"",COUNTIF('ACCU AUD'!$AD:$AD,F$3&amp;"-"&amp;$C16))</f>
        <v/>
      </c>
      <c r="G16" s="15">
        <f>IF(COUNTIF('ACCU AUD'!$AD:$AD,G$3&amp;"-"&amp;$C16)=0,"",COUNTIF('ACCU AUD'!$AD:$AD,G$3&amp;"-"&amp;$C16))</f>
        <v/>
      </c>
      <c r="H16" s="15">
        <f>IF(COUNTIF('ACCU AUD'!$AD:$AD,H$3&amp;"-"&amp;$C16)=0,"",COUNTIF('ACCU AUD'!$AD:$AD,H$3&amp;"-"&amp;$C16))</f>
        <v/>
      </c>
      <c r="I16" s="15">
        <f>IF(COUNTIF('ACCU AUD'!$AD:$AD,I$3&amp;"-"&amp;$C16)=0,"",COUNTIF('ACCU AUD'!$AD:$AD,I$3&amp;"-"&amp;$C16))</f>
        <v/>
      </c>
      <c r="J16" s="15">
        <f>IF(COUNTIF('ACCU AUD'!$AD:$AD,J$3&amp;"-"&amp;$C16)=0,"",COUNTIF('ACCU AUD'!$AD:$AD,J$3&amp;"-"&amp;$C16))</f>
        <v/>
      </c>
      <c r="K16" s="14">
        <f>IF(COUNTIF('ACCU AUD'!$AD:$AD,K$3&amp;"-"&amp;$C16)=0,"",COUNTIF('ACCU AUD'!$AD:$AD,K$3&amp;"-"&amp;$C16))</f>
        <v/>
      </c>
      <c r="L16" s="13">
        <f>COUNTIF('ACCU AUD'!$AE:$AE,$C16)-SUM(E16:K16)</f>
        <v/>
      </c>
      <c r="N16" s="98">
        <f>SUMIF('ACCU AUD'!AE:AE,C16,'ACCU AUD'!R:R)</f>
        <v/>
      </c>
      <c r="O16" s="84">
        <f>N16/N$17</f>
        <v/>
      </c>
    </row>
    <row r="17" ht="16.15" customHeight="1" s="671" thickBot="1">
      <c r="C17" s="371" t="inlineStr">
        <is>
          <t>TOTAL:</t>
        </is>
      </c>
      <c r="D17" s="12">
        <f>SUM(D4:D16)</f>
        <v/>
      </c>
      <c r="E17" s="11">
        <f>SUM(E4:E16)</f>
        <v/>
      </c>
      <c r="F17" s="11">
        <f>SUM(F4:F16)</f>
        <v/>
      </c>
      <c r="G17" s="11">
        <f>SUM(G4:G16)</f>
        <v/>
      </c>
      <c r="H17" s="11">
        <f>SUM(H4:H16)</f>
        <v/>
      </c>
      <c r="I17" s="11">
        <f>SUM(I4:I16)</f>
        <v/>
      </c>
      <c r="J17" s="11">
        <f>SUM(J4:J16)</f>
        <v/>
      </c>
      <c r="K17" s="10">
        <f>SUM(K4:K16)</f>
        <v/>
      </c>
      <c r="L17" s="9">
        <f>SUM(L4:L16)</f>
        <v/>
      </c>
      <c r="N17" s="336">
        <f>SUM(N4:N16)</f>
        <v/>
      </c>
      <c r="O17" s="84">
        <f>N17/N$17</f>
        <v/>
      </c>
    </row>
    <row r="18" ht="16.15" customHeight="1" s="671">
      <c r="E18" s="89" t="n"/>
      <c r="F18" s="89" t="n"/>
      <c r="G18" s="89" t="n"/>
      <c r="H18" s="89" t="n"/>
      <c r="I18" s="96" t="n"/>
      <c r="J18" s="89" t="n"/>
      <c r="M18" s="620" t="n"/>
    </row>
    <row r="19" ht="26.45" customHeight="1" s="671" thickBot="1">
      <c r="B19" s="364" t="inlineStr">
        <is>
          <t>DECUMULATORS</t>
        </is>
      </c>
      <c r="E19" s="381" t="n"/>
      <c r="F19" s="674">
        <f>F1</f>
        <v/>
      </c>
    </row>
    <row r="20" ht="29.25" customFormat="1" customHeight="1" s="356" thickBot="1">
      <c r="B20" s="366" t="inlineStr">
        <is>
          <t>AU Stock</t>
        </is>
      </c>
      <c r="C20" s="367" t="inlineStr">
        <is>
          <t>Code</t>
        </is>
      </c>
      <c r="D20" s="18" t="inlineStr">
        <is>
          <t>Total</t>
        </is>
      </c>
      <c r="E20" s="7">
        <f>E$2</f>
        <v/>
      </c>
      <c r="F20" s="373">
        <f>F$2</f>
        <v/>
      </c>
      <c r="G20" s="373">
        <f>G$2</f>
        <v/>
      </c>
      <c r="H20" s="373">
        <f>H$2</f>
        <v/>
      </c>
      <c r="I20" s="373">
        <f>I$2</f>
        <v/>
      </c>
      <c r="J20" s="373">
        <f>J$2</f>
        <v/>
      </c>
      <c r="K20" s="373">
        <f>K$2</f>
        <v/>
      </c>
      <c r="L20" s="374">
        <f>L$2</f>
        <v/>
      </c>
      <c r="N20" s="85" t="inlineStr">
        <is>
          <t>Estimated Amount</t>
        </is>
      </c>
      <c r="O20" s="86" t="inlineStr">
        <is>
          <t>%</t>
        </is>
      </c>
    </row>
    <row r="21" ht="16.15" customHeight="1" s="671" thickBot="1">
      <c r="B21" s="498" t="inlineStr">
        <is>
          <t>Rio Tinto</t>
        </is>
      </c>
      <c r="C21" s="29" t="inlineStr">
        <is>
          <t>RIO</t>
        </is>
      </c>
      <c r="D21" s="28">
        <f>SUM(E21:L21)</f>
        <v/>
      </c>
      <c r="E21" s="27">
        <f>IF(COUNTIF('DECU AUD'!$AD:$AD,E$3&amp;"-"&amp;$C21)=0,"",COUNTIF('DECU AUD'!$AD:$AD,E$3&amp;"-"&amp;$C21))</f>
        <v/>
      </c>
      <c r="F21" s="27">
        <f>IF(COUNTIF('DECU AUD'!$AD:$AD,F$3&amp;"-"&amp;$C21)=0,"",COUNTIF('DECU AUD'!$AD:$AD,F$3&amp;"-"&amp;$C21))</f>
        <v/>
      </c>
      <c r="G21" s="27">
        <f>IF(COUNTIF('DECU AUD'!$AD:$AD,G$3&amp;"-"&amp;$C21)=0,"",COUNTIF('DECU AUD'!$AD:$AD,G$3&amp;"-"&amp;$C21))</f>
        <v/>
      </c>
      <c r="H21" s="27">
        <f>IF(COUNTIF('DECU AUD'!$AD:$AD,H$3&amp;"-"&amp;$C21)=0,"",COUNTIF('DECU AUD'!$AD:$AD,H$3&amp;"-"&amp;$C21))</f>
        <v/>
      </c>
      <c r="I21" s="27">
        <f>IF(COUNTIF('DECU AUD'!$AD:$AD,I$3&amp;"-"&amp;$C21)=0,"",COUNTIF('DECU AUD'!$AD:$AD,I$3&amp;"-"&amp;$C21))</f>
        <v/>
      </c>
      <c r="J21" s="27">
        <f>IF(COUNTIF('DECU AUD'!$AD:$AD,J$3&amp;"-"&amp;$C21)=0,"",COUNTIF('DECU AUD'!$AD:$AD,J$3&amp;"-"&amp;$C21))</f>
        <v/>
      </c>
      <c r="K21" s="26">
        <f>IF(COUNTIF('DECU AUD'!$AD:$AD,K$3&amp;"-"&amp;$C21)=0,"",COUNTIF('DECU AUD'!$AD:$AD,K$3&amp;"-"&amp;$C21))</f>
        <v/>
      </c>
      <c r="L21" s="25">
        <f>COUNTIF('DECU AUD'!$AE:$AE,$C21)-SUM(E21:K21)</f>
        <v/>
      </c>
      <c r="N21" s="99">
        <f>SUMIF('DECU AUD'!AE:AE,C21,'DECU AUD'!R:R)</f>
        <v/>
      </c>
      <c r="O21" s="100">
        <f>N21/$N$22</f>
        <v/>
      </c>
    </row>
    <row r="22" ht="16.15" customHeight="1" s="671" thickBot="1">
      <c r="C22" s="371" t="inlineStr">
        <is>
          <t>TOTAL:</t>
        </is>
      </c>
      <c r="D22" s="12">
        <f>SUM(D21:D21)</f>
        <v/>
      </c>
      <c r="E22" s="11">
        <f>SUM(E21:E21)</f>
        <v/>
      </c>
      <c r="F22" s="11">
        <f>SUM(F21:F21)</f>
        <v/>
      </c>
      <c r="G22" s="11">
        <f>SUM(G21:G21)</f>
        <v/>
      </c>
      <c r="H22" s="11">
        <f>SUM(H21:H21)</f>
        <v/>
      </c>
      <c r="I22" s="11">
        <f>SUM(I21:I21)</f>
        <v/>
      </c>
      <c r="J22" s="11">
        <f>SUM(J21:J21)</f>
        <v/>
      </c>
      <c r="K22" s="10">
        <f>SUM(K21:K21)</f>
        <v/>
      </c>
      <c r="L22" s="9">
        <f>SUM(L21:L21)</f>
        <v/>
      </c>
      <c r="N22" s="337">
        <f>SUM(N21:N21)</f>
        <v/>
      </c>
      <c r="O22" s="101">
        <f>N22/N$22</f>
        <v/>
      </c>
    </row>
    <row r="23" ht="16.15" customHeight="1" s="671">
      <c r="E23" s="89" t="n"/>
      <c r="F23" s="89" t="n"/>
      <c r="G23" s="89" t="n"/>
      <c r="H23" s="89" t="n"/>
      <c r="I23" s="96" t="n"/>
      <c r="J23" s="89" t="n"/>
      <c r="M23" s="620" t="n"/>
    </row>
    <row r="24" hidden="1" ht="29.25" customFormat="1" customHeight="1" s="356" thickBot="1">
      <c r="B24" s="366" t="inlineStr">
        <is>
          <t>JP Stock</t>
        </is>
      </c>
      <c r="C24" s="367" t="inlineStr">
        <is>
          <t>Code</t>
        </is>
      </c>
      <c r="D24" s="18" t="inlineStr">
        <is>
          <t>Total</t>
        </is>
      </c>
      <c r="E24" s="7">
        <f>E$2</f>
        <v/>
      </c>
      <c r="F24" s="373">
        <f>F$2</f>
        <v/>
      </c>
      <c r="G24" s="373">
        <f>G$2</f>
        <v/>
      </c>
      <c r="H24" s="373">
        <f>H$2</f>
        <v/>
      </c>
      <c r="I24" s="373">
        <f>I$2</f>
        <v/>
      </c>
      <c r="J24" s="373">
        <f>J$2</f>
        <v/>
      </c>
      <c r="K24" s="373">
        <f>K$2</f>
        <v/>
      </c>
      <c r="L24" s="374">
        <f>L$2</f>
        <v/>
      </c>
    </row>
    <row r="25" hidden="1" ht="16.15" customHeight="1" s="671" thickBot="1">
      <c r="B25" s="360" t="inlineStr">
        <is>
          <t>Nomura</t>
        </is>
      </c>
      <c r="C25" s="17" t="inlineStr">
        <is>
          <t>8604</t>
        </is>
      </c>
      <c r="D25" s="16">
        <f>SUM(E25:L25)</f>
        <v/>
      </c>
      <c r="E25" s="15" t="n"/>
      <c r="F25" s="15" t="n"/>
      <c r="G25" s="15" t="n"/>
      <c r="H25" s="15" t="n"/>
      <c r="I25" s="15" t="n"/>
      <c r="J25" s="15" t="n"/>
      <c r="K25" s="14" t="n"/>
      <c r="L25" s="13" t="n">
        <v>0</v>
      </c>
    </row>
    <row r="26" hidden="1" ht="16.15" customHeight="1" s="671" thickBot="1">
      <c r="C26" s="371" t="inlineStr">
        <is>
          <t>TOTAL:</t>
        </is>
      </c>
      <c r="D26" s="12">
        <f>SUM(D25:D25)</f>
        <v/>
      </c>
      <c r="E26" s="11">
        <f>SUM(E25:E25)</f>
        <v/>
      </c>
      <c r="F26" s="11">
        <f>SUM(F25:F25)</f>
        <v/>
      </c>
      <c r="G26" s="11">
        <f>SUM(G25:G25)</f>
        <v/>
      </c>
      <c r="H26" s="11">
        <f>SUM(H25:H25)</f>
        <v/>
      </c>
      <c r="I26" s="11">
        <f>SUM(I25:I25)</f>
        <v/>
      </c>
      <c r="J26" s="11">
        <f>SUM(J25:J25)</f>
        <v/>
      </c>
      <c r="K26" s="10">
        <f>SUM(K25:K25)</f>
        <v/>
      </c>
      <c r="L26" s="9">
        <f>SUM(L25:L25)</f>
        <v/>
      </c>
    </row>
    <row r="27" hidden="1" ht="16.15" customHeight="1" s="671" thickBot="1"/>
    <row r="29" hidden="1" ht="29.25" customFormat="1" customHeight="1" s="356" thickBot="1">
      <c r="B29" s="366" t="inlineStr">
        <is>
          <t>US Stock</t>
        </is>
      </c>
      <c r="C29" s="367" t="inlineStr">
        <is>
          <t>Code</t>
        </is>
      </c>
      <c r="D29" s="18" t="inlineStr">
        <is>
          <t>Total</t>
        </is>
      </c>
      <c r="E29" s="7">
        <f>E$2</f>
        <v/>
      </c>
      <c r="F29" s="373">
        <f>F$2</f>
        <v/>
      </c>
      <c r="G29" s="373">
        <f>G$2</f>
        <v/>
      </c>
      <c r="H29" s="373">
        <f>H$2</f>
        <v/>
      </c>
      <c r="I29" s="373">
        <f>I$2</f>
        <v/>
      </c>
      <c r="J29" s="373">
        <f>J$2</f>
        <v/>
      </c>
      <c r="K29" s="373">
        <f>K$2</f>
        <v/>
      </c>
      <c r="L29" s="374">
        <f>L$2</f>
        <v/>
      </c>
    </row>
    <row r="30" hidden="1" ht="16.15" customHeight="1" s="671" thickBot="1">
      <c r="B30" s="360" t="inlineStr">
        <is>
          <t>General Electric</t>
        </is>
      </c>
      <c r="C30" s="17" t="inlineStr">
        <is>
          <t>GE</t>
        </is>
      </c>
      <c r="D30" s="16">
        <f>SUM(E30:L30)</f>
        <v/>
      </c>
      <c r="E30" s="15" t="n"/>
      <c r="F30" s="15" t="n"/>
      <c r="G30" s="15" t="n"/>
      <c r="H30" s="15" t="n"/>
      <c r="I30" s="15" t="n"/>
      <c r="J30" s="15" t="n"/>
      <c r="K30" s="14" t="n"/>
      <c r="L30" s="13" t="n">
        <v>0</v>
      </c>
    </row>
    <row r="31" hidden="1" ht="16.15" customHeight="1" s="671" thickBot="1">
      <c r="C31" s="371" t="inlineStr">
        <is>
          <t>TOTAL:</t>
        </is>
      </c>
      <c r="D31" s="12">
        <f>SUM(D30:D30)</f>
        <v/>
      </c>
      <c r="E31" s="11">
        <f>SUM(E30:E30)</f>
        <v/>
      </c>
      <c r="F31" s="11">
        <f>SUM(F30:F30)</f>
        <v/>
      </c>
      <c r="G31" s="11">
        <f>SUM(G30:G30)</f>
        <v/>
      </c>
      <c r="H31" s="11">
        <f>SUM(H30:H30)</f>
        <v/>
      </c>
      <c r="I31" s="11">
        <f>SUM(I30:I30)</f>
        <v/>
      </c>
      <c r="J31" s="11">
        <f>SUM(J30:J30)</f>
        <v/>
      </c>
      <c r="K31" s="10">
        <f>SUM(K30:K30)</f>
        <v/>
      </c>
      <c r="L31" s="9">
        <f>SUM(L30:L30)</f>
        <v/>
      </c>
    </row>
  </sheetData>
  <mergeCells count="2">
    <mergeCell ref="F1:L1"/>
    <mergeCell ref="F19:L19"/>
  </mergeCells>
  <pageMargins left="0.25" right="0.25" top="0.25" bottom="0.25" header="0.3" footer="0.3"/>
  <pageSetup orientation="landscape" paperSize="122" scale="35" fitToHeight="100" horizontalDpi="4294967293" verticalDpi="300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F19"/>
  <sheetViews>
    <sheetView view="pageBreakPreview" zoomScaleNormal="100" zoomScaleSheetLayoutView="100" workbookViewId="0">
      <pane xSplit="7" ySplit="6" topLeftCell="H7" activePane="bottomRight" state="frozen"/>
      <selection activeCell="L265" sqref="L265"/>
      <selection pane="topRight" activeCell="L265" sqref="L265"/>
      <selection pane="bottomLeft" activeCell="L265" sqref="L265"/>
      <selection pane="bottomRight" activeCell="L265" sqref="L265"/>
    </sheetView>
  </sheetViews>
  <sheetFormatPr baseColWidth="8" defaultColWidth="9.140625" defaultRowHeight="15" outlineLevelCol="1"/>
  <cols>
    <col width="4.28515625" customWidth="1" style="646" min="1" max="1"/>
    <col width="26.7109375" customWidth="1" style="642" min="2" max="2"/>
    <col width="5.5703125" customWidth="1" style="642" min="3" max="3"/>
    <col hidden="1" outlineLevel="1" width="14.140625" customWidth="1" style="642" min="4" max="4"/>
    <col collapsed="1" width="9.28515625" customWidth="1" style="642" min="5" max="5"/>
    <col width="1.42578125" customWidth="1" style="642" min="6" max="6"/>
    <col width="9.28515625" customWidth="1" style="642" min="7" max="7"/>
    <col width="9.5703125" customWidth="1" style="636" min="8" max="8"/>
    <col width="9.7109375" customWidth="1" style="635" min="9" max="9"/>
    <col width="9.28515625" customWidth="1" style="636" min="10" max="10"/>
    <col width="8.5703125" customWidth="1" style="646" min="11" max="13"/>
    <col width="10.5703125" customWidth="1" style="642" min="14" max="15"/>
    <col width="2.7109375" customWidth="1" style="642" min="16" max="16"/>
    <col width="17.7109375" customWidth="1" style="642" min="17" max="17"/>
    <col width="21.140625" customWidth="1" style="642" min="18" max="18"/>
    <col width="3" customWidth="1" style="642" min="19" max="19"/>
    <col width="19.42578125" customWidth="1" style="642" min="20" max="20"/>
    <col width="9.140625" customWidth="1" style="642" min="21" max="21"/>
    <col outlineLevel="1" width="9.5703125" customWidth="1" style="678" min="22" max="23"/>
    <col outlineLevel="1" width="9.140625" customWidth="1" style="678" min="24" max="24"/>
    <col outlineLevel="1" width="15.7109375" customWidth="1" style="154" min="25" max="25"/>
    <col outlineLevel="1" width="13.85546875" customWidth="1" style="154" min="26" max="26"/>
    <col width="9.140625" customWidth="1" style="642" min="27" max="27"/>
    <col outlineLevel="1" width="3" customWidth="1" style="642" min="28" max="28"/>
    <col outlineLevel="1" width="5" customWidth="1" style="642" min="29" max="29"/>
    <col outlineLevel="1" width="12.42578125" customWidth="1" style="642" min="30" max="30"/>
    <col outlineLevel="1" width="9.140625" customWidth="1" style="642" min="31" max="31"/>
    <col width="15.28515625" bestFit="1" customWidth="1" style="642" min="32" max="32"/>
    <col width="9.140625" customWidth="1" style="642" min="33" max="703"/>
    <col width="9.140625" customWidth="1" style="642" min="704" max="16384"/>
  </cols>
  <sheetData>
    <row r="1" ht="18" customHeight="1" s="671">
      <c r="A1" s="646">
        <f>SUM(A10)</f>
        <v/>
      </c>
      <c r="B1" s="679">
        <f>ALLHKD!C1</f>
        <v/>
      </c>
      <c r="F1" s="385" t="n"/>
      <c r="G1" s="381" t="n"/>
      <c r="H1" s="648" t="inlineStr">
        <is>
          <t>ACCUMULATORS</t>
        </is>
      </c>
      <c r="N1" s="680" t="inlineStr">
        <is>
          <t>For the Whole Structure</t>
        </is>
      </c>
    </row>
    <row r="2" ht="18" customHeight="1" s="671">
      <c r="B2" s="385" t="n"/>
      <c r="C2" s="385" t="n"/>
      <c r="D2" s="385" t="n"/>
      <c r="E2" s="385" t="n"/>
      <c r="F2" s="385" t="n"/>
      <c r="G2" s="381" t="n"/>
      <c r="H2" s="634" t="n"/>
    </row>
    <row r="3" ht="21" customHeight="1" s="671">
      <c r="A3" s="56" t="inlineStr">
        <is>
          <t>MORGAN STANLEY   (Perfect Legend w/ Lucio)</t>
        </is>
      </c>
      <c r="B3" s="67" t="n"/>
      <c r="C3" s="386" t="n"/>
      <c r="D3" s="386" t="n"/>
      <c r="E3" s="681" t="n"/>
      <c r="F3" s="681" t="n"/>
      <c r="G3" s="68" t="n"/>
      <c r="H3" s="245" t="n"/>
      <c r="I3" s="245" t="n"/>
      <c r="J3" s="246" t="n"/>
      <c r="K3" s="645" t="n"/>
    </row>
    <row r="4" ht="15" customHeight="1" s="671">
      <c r="A4" s="64" t="n"/>
      <c r="B4" s="388" t="n"/>
      <c r="C4" s="388" t="n"/>
      <c r="D4" s="388" t="n"/>
      <c r="E4" s="388" t="n"/>
      <c r="F4" s="388" t="n"/>
      <c r="G4" s="388" t="n"/>
      <c r="H4" s="247" t="n"/>
      <c r="I4" s="248" t="n"/>
      <c r="J4" s="247" t="n"/>
    </row>
    <row r="5" ht="15" customHeight="1" s="671">
      <c r="B5" s="640" t="inlineStr">
        <is>
          <t>ACCUMULATOR</t>
        </is>
      </c>
      <c r="C5" s="631" t="inlineStr">
        <is>
          <t>CODE</t>
        </is>
      </c>
      <c r="D5" s="631" t="n"/>
      <c r="E5" s="624" t="inlineStr">
        <is>
          <t>SHARES / DAY</t>
        </is>
      </c>
      <c r="F5" s="625" t="n"/>
      <c r="G5" s="626" t="n"/>
      <c r="H5" s="633" t="inlineStr">
        <is>
          <t>SPOT PRICE</t>
        </is>
      </c>
      <c r="I5" s="633" t="inlineStr">
        <is>
          <t>STRIKE PRICE</t>
        </is>
      </c>
      <c r="J5" s="633" t="inlineStr">
        <is>
          <t>K/O PRICE</t>
        </is>
      </c>
      <c r="K5" s="637" t="inlineStr">
        <is>
          <t>LIFE TERM OF CONTRACT</t>
        </is>
      </c>
      <c r="L5" s="638" t="n"/>
      <c r="M5" s="639" t="n"/>
      <c r="N5" s="622" t="inlineStr">
        <is>
          <t>START DATE</t>
        </is>
      </c>
      <c r="O5" s="622" t="inlineStr">
        <is>
          <t>END DATE</t>
        </is>
      </c>
      <c r="P5" s="682" t="n"/>
      <c r="Q5" s="632" t="inlineStr">
        <is>
          <t>Estimated Total Shares Remaining</t>
        </is>
      </c>
      <c r="R5" s="683" t="inlineStr">
        <is>
          <t>Estimated Amount</t>
        </is>
      </c>
      <c r="S5" s="682" t="n"/>
      <c r="T5" s="683" t="inlineStr">
        <is>
          <t>Estimated Amount per month</t>
        </is>
      </c>
      <c r="Y5" s="154" t="inlineStr">
        <is>
          <t>Month 1</t>
        </is>
      </c>
      <c r="Z5" s="154" t="inlineStr">
        <is>
          <t>Month 2</t>
        </is>
      </c>
    </row>
    <row r="6" ht="20.45" customHeight="1" s="671">
      <c r="B6" s="623" t="n"/>
      <c r="C6" s="623" t="n"/>
      <c r="D6" s="390" t="inlineStr">
        <is>
          <t>CB1</t>
        </is>
      </c>
      <c r="E6" s="627" t="n"/>
      <c r="F6" s="628" t="n"/>
      <c r="G6" s="629" t="n"/>
      <c r="H6" s="623" t="n"/>
      <c r="I6" s="623" t="n"/>
      <c r="J6" s="623" t="n"/>
      <c r="K6" s="637" t="inlineStr">
        <is>
          <t>RCVD DAYS</t>
        </is>
      </c>
      <c r="L6" s="637" t="inlineStr">
        <is>
          <t>REM DAYS</t>
        </is>
      </c>
      <c r="M6" s="637" t="inlineStr">
        <is>
          <t>Total DAYS</t>
        </is>
      </c>
      <c r="N6" s="623" t="n"/>
      <c r="O6" s="623" t="n"/>
      <c r="P6" s="682" t="n"/>
      <c r="Q6" s="623" t="n"/>
      <c r="R6" s="623" t="n"/>
      <c r="S6" s="682" t="n"/>
      <c r="T6" s="623" t="n"/>
      <c r="V6" s="678" t="inlineStr">
        <is>
          <t>NOW</t>
        </is>
      </c>
      <c r="W6" s="678" t="inlineStr">
        <is>
          <t>NEXT</t>
        </is>
      </c>
      <c r="X6" s="678" t="inlineStr">
        <is>
          <t>sd</t>
        </is>
      </c>
      <c r="Y6" s="154" t="inlineStr">
        <is>
          <t>hkd</t>
        </is>
      </c>
      <c r="Z6" s="154" t="inlineStr">
        <is>
          <t>hkd</t>
        </is>
      </c>
    </row>
    <row r="7">
      <c r="A7" s="158">
        <f>INDIRECT(ADDRESS(ROW()-1,COLUMN()))+1</f>
        <v/>
      </c>
      <c r="B7" s="416" t="inlineStr">
        <is>
          <t>Rio Tinto</t>
        </is>
      </c>
      <c r="C7" s="148" t="inlineStr">
        <is>
          <t>RIO</t>
        </is>
      </c>
      <c r="D7" s="141" t="inlineStr">
        <is>
          <t>GREATWALL - 26</t>
        </is>
      </c>
      <c r="E7" s="48" t="n">
        <v>81</v>
      </c>
      <c r="F7" s="277" t="inlineStr">
        <is>
          <t>/</t>
        </is>
      </c>
      <c r="G7" s="150">
        <f>E7*2</f>
        <v/>
      </c>
      <c r="H7" s="273" t="n">
        <v>103.7708</v>
      </c>
      <c r="I7" s="274" t="n">
        <v>89.8967</v>
      </c>
      <c r="J7" s="273" t="n">
        <v>108.9594</v>
      </c>
      <c r="K7" s="152" t="n">
        <v>108</v>
      </c>
      <c r="L7" s="152">
        <f>M7-K7</f>
        <v/>
      </c>
      <c r="M7" s="152" t="n">
        <v>255</v>
      </c>
      <c r="N7" s="338" t="n">
        <v>43615</v>
      </c>
      <c r="O7" s="338" t="n">
        <v>43980</v>
      </c>
      <c r="Q7" s="162">
        <f>E7*L7*X7</f>
        <v/>
      </c>
      <c r="R7" s="785">
        <f>E7*I7*L7*X7</f>
        <v/>
      </c>
      <c r="T7" s="784">
        <f>E7*I7*20*X7</f>
        <v/>
      </c>
      <c r="V7" s="280" t="n">
        <v>23</v>
      </c>
      <c r="W7" s="280" t="n">
        <v>42</v>
      </c>
      <c r="X7" s="678" t="n">
        <v>1</v>
      </c>
      <c r="Y7" s="173">
        <f>X7*V7*E7*I7</f>
        <v/>
      </c>
      <c r="Z7" s="173">
        <f>X7*W7*E7*I7</f>
        <v/>
      </c>
      <c r="AB7" s="642">
        <f>MONTH(O7)</f>
        <v/>
      </c>
      <c r="AC7" s="642">
        <f>YEAR(O7)</f>
        <v/>
      </c>
      <c r="AD7" s="642">
        <f>AB7&amp;"-"&amp;AC7&amp;"-"&amp;C7</f>
        <v/>
      </c>
      <c r="AE7" s="642">
        <f>C7</f>
        <v/>
      </c>
      <c r="AF7" s="685">
        <f>MATCH(AE7,#REF!,)</f>
        <v/>
      </c>
    </row>
    <row r="8">
      <c r="A8" s="158">
        <f>INDIRECT(ADDRESS(ROW()-1,COLUMN()))+1</f>
        <v/>
      </c>
      <c r="B8" s="416" t="inlineStr">
        <is>
          <t>Rio Tinto</t>
        </is>
      </c>
      <c r="C8" s="148" t="inlineStr">
        <is>
          <t>RIO</t>
        </is>
      </c>
      <c r="D8" s="141" t="inlineStr">
        <is>
          <t>JIANGXI - 40</t>
        </is>
      </c>
      <c r="E8" s="48" t="n">
        <v>61</v>
      </c>
      <c r="F8" s="277" t="inlineStr">
        <is>
          <t>/</t>
        </is>
      </c>
      <c r="G8" s="150">
        <f>E8*2</f>
        <v/>
      </c>
      <c r="H8" s="273" t="n">
        <v>101.6371</v>
      </c>
      <c r="I8" s="274" t="n">
        <v>87.5502</v>
      </c>
      <c r="J8" s="273" t="n">
        <v>106.7189</v>
      </c>
      <c r="K8" s="152" t="n">
        <v>88</v>
      </c>
      <c r="L8" s="152">
        <f>M8-K8</f>
        <v/>
      </c>
      <c r="M8" s="152" t="n">
        <v>255</v>
      </c>
      <c r="N8" s="338" t="n">
        <v>43629</v>
      </c>
      <c r="O8" s="338" t="n">
        <v>43994</v>
      </c>
      <c r="Q8" s="162">
        <f>E8*L8*X8</f>
        <v/>
      </c>
      <c r="R8" s="785">
        <f>E8*I8*L8*X8</f>
        <v/>
      </c>
      <c r="T8" s="784">
        <f>E8*I8*20*X8</f>
        <v/>
      </c>
      <c r="V8" s="280" t="n">
        <v>21</v>
      </c>
      <c r="W8" s="280" t="n">
        <v>43</v>
      </c>
      <c r="X8" s="678" t="n">
        <v>1</v>
      </c>
      <c r="Y8" s="173">
        <f>X8*V8*E8*I8</f>
        <v/>
      </c>
      <c r="Z8" s="173">
        <f>X8*W8*E8*I8</f>
        <v/>
      </c>
      <c r="AB8" s="642">
        <f>MONTH(O8)</f>
        <v/>
      </c>
      <c r="AC8" s="642">
        <f>YEAR(O8)</f>
        <v/>
      </c>
      <c r="AD8" s="642">
        <f>AB8&amp;"-"&amp;AC8&amp;"-"&amp;C8</f>
        <v/>
      </c>
      <c r="AE8" s="642">
        <f>C8</f>
        <v/>
      </c>
      <c r="AF8" s="685">
        <f>MATCH(AE8,#REF!,)</f>
        <v/>
      </c>
    </row>
    <row r="9">
      <c r="A9" s="158">
        <f>INDIRECT(ADDRESS(ROW()-1,COLUMN()))+1</f>
        <v/>
      </c>
      <c r="B9" s="416" t="inlineStr">
        <is>
          <t>Rio Tinto</t>
        </is>
      </c>
      <c r="C9" s="148" t="inlineStr">
        <is>
          <t>RIO</t>
        </is>
      </c>
      <c r="D9" s="141" t="inlineStr">
        <is>
          <t>JIANGXI - 40</t>
        </is>
      </c>
      <c r="E9" s="48" t="n">
        <v>101</v>
      </c>
      <c r="F9" s="277" t="inlineStr">
        <is>
          <t>/</t>
        </is>
      </c>
      <c r="G9" s="150">
        <f>E9*2</f>
        <v/>
      </c>
      <c r="H9" s="273" t="n">
        <v>103.5853</v>
      </c>
      <c r="I9" s="274" t="n">
        <v>88.7623</v>
      </c>
      <c r="J9" s="273" t="n">
        <v>108.7646</v>
      </c>
      <c r="K9" s="152" t="n">
        <v>66</v>
      </c>
      <c r="L9" s="152">
        <f>M9-K9</f>
        <v/>
      </c>
      <c r="M9" s="152" t="n">
        <v>254</v>
      </c>
      <c r="N9" s="338" t="n">
        <v>43654</v>
      </c>
      <c r="O9" s="338" t="n">
        <v>44018</v>
      </c>
      <c r="Q9" s="162">
        <f>E9*L9*X9</f>
        <v/>
      </c>
      <c r="R9" s="785">
        <f>E9*I9*L9*X9</f>
        <v/>
      </c>
      <c r="T9" s="784">
        <f>E9*I9*20*X9</f>
        <v/>
      </c>
      <c r="V9" s="280" t="n">
        <v>21</v>
      </c>
      <c r="W9" s="280" t="n">
        <v>43</v>
      </c>
      <c r="X9" s="678" t="n">
        <v>1</v>
      </c>
      <c r="Y9" s="173">
        <f>X9*V9*E9*I9</f>
        <v/>
      </c>
      <c r="Z9" s="173">
        <f>X9*W9*E9*I9</f>
        <v/>
      </c>
      <c r="AB9" s="642">
        <f>MONTH(O9)</f>
        <v/>
      </c>
      <c r="AC9" s="642">
        <f>YEAR(O9)</f>
        <v/>
      </c>
      <c r="AD9" s="642">
        <f>AB9&amp;"-"&amp;AC9&amp;"-"&amp;C9</f>
        <v/>
      </c>
      <c r="AE9" s="642">
        <f>C9</f>
        <v/>
      </c>
      <c r="AF9" s="685">
        <f>MATCH(AE9,#REF!,)</f>
        <v/>
      </c>
    </row>
    <row r="10">
      <c r="A10" s="158">
        <f>INDIRECT(ADDRESS(ROW()-1,COLUMN()))+1</f>
        <v/>
      </c>
      <c r="B10" s="416" t="inlineStr">
        <is>
          <t>Rio Tinto</t>
        </is>
      </c>
      <c r="C10" s="148" t="inlineStr">
        <is>
          <t>RIO</t>
        </is>
      </c>
      <c r="D10" s="141" t="inlineStr">
        <is>
          <t>JIANGXI - 40</t>
        </is>
      </c>
      <c r="E10" s="48" t="n">
        <v>121</v>
      </c>
      <c r="F10" s="277" t="inlineStr">
        <is>
          <t>/</t>
        </is>
      </c>
      <c r="G10" s="150">
        <f>E10*2</f>
        <v/>
      </c>
      <c r="H10" s="273" t="n">
        <v>103.3905</v>
      </c>
      <c r="I10" s="274" t="n">
        <v>87.7475</v>
      </c>
      <c r="J10" s="273" t="n">
        <v>108.5601</v>
      </c>
      <c r="K10" s="152" t="n">
        <v>66</v>
      </c>
      <c r="L10" s="152">
        <f>M10-K10</f>
        <v/>
      </c>
      <c r="M10" s="152" t="n">
        <v>255</v>
      </c>
      <c r="N10" s="338" t="n">
        <v>43656</v>
      </c>
      <c r="O10" s="338" t="n">
        <v>44021</v>
      </c>
      <c r="Q10" s="162">
        <f>E10*L10*X10</f>
        <v/>
      </c>
      <c r="R10" s="785">
        <f>E10*I10*L10*X10</f>
        <v/>
      </c>
      <c r="T10" s="784">
        <f>E10*I10*20*X10</f>
        <v/>
      </c>
      <c r="V10" s="280" t="n">
        <v>23</v>
      </c>
      <c r="W10" s="280" t="n">
        <v>43</v>
      </c>
      <c r="X10" s="678" t="n">
        <v>1</v>
      </c>
      <c r="Y10" s="173">
        <f>X10*V10*E10*I10</f>
        <v/>
      </c>
      <c r="Z10" s="173">
        <f>X10*W10*E10*I10</f>
        <v/>
      </c>
      <c r="AB10" s="642">
        <f>MONTH(O10)</f>
        <v/>
      </c>
      <c r="AC10" s="642">
        <f>YEAR(O10)</f>
        <v/>
      </c>
      <c r="AD10" s="642">
        <f>AB10&amp;"-"&amp;AC10&amp;"-"&amp;C10</f>
        <v/>
      </c>
      <c r="AE10" s="642">
        <f>C10</f>
        <v/>
      </c>
      <c r="AF10" s="685">
        <f>MATCH(AE10,#REF!,)</f>
        <v/>
      </c>
    </row>
    <row r="11" ht="15.6" customHeight="1" s="671">
      <c r="A11" s="64" t="n"/>
      <c r="B11" s="388" t="n"/>
      <c r="C11" s="388" t="n"/>
      <c r="D11" s="388" t="n"/>
      <c r="E11" s="388" t="n"/>
      <c r="F11" s="388" t="n"/>
      <c r="G11" s="388" t="n"/>
      <c r="H11" s="247" t="n"/>
      <c r="I11" s="248" t="n"/>
      <c r="J11" s="247" t="n"/>
      <c r="K11" s="64" t="n"/>
      <c r="N11" s="394" t="n"/>
      <c r="O11" s="394" t="n"/>
    </row>
    <row r="12" ht="15.6" customFormat="1" customHeight="1" s="353">
      <c r="A12" s="66" t="n"/>
      <c r="B12" s="395" t="n"/>
      <c r="C12" s="395" t="n"/>
      <c r="D12" s="395" t="n"/>
      <c r="E12" s="395" t="n"/>
      <c r="F12" s="395" t="n"/>
      <c r="G12" s="395" t="n"/>
      <c r="H12" s="251" t="n"/>
      <c r="I12" s="252" t="n"/>
      <c r="J12" s="251" t="n"/>
      <c r="K12" s="66" t="n"/>
      <c r="L12" s="54" t="n"/>
      <c r="M12" s="54" t="n"/>
      <c r="N12" s="394" t="n"/>
      <c r="O12" s="394" t="inlineStr">
        <is>
          <t>Total</t>
        </is>
      </c>
      <c r="P12" s="686" t="n"/>
      <c r="Q12" s="44">
        <f>SUM(Q6:Q11)</f>
        <v/>
      </c>
      <c r="R12" s="686">
        <f>SUM(R6:R11)</f>
        <v/>
      </c>
      <c r="S12" s="686" t="n"/>
      <c r="T12" s="686">
        <f>SUM(T6:T11)</f>
        <v/>
      </c>
      <c r="V12" s="687" t="n"/>
      <c r="W12" s="687" t="n"/>
      <c r="X12" s="687" t="n"/>
      <c r="Y12" s="43" t="n"/>
      <c r="Z12" s="43" t="n"/>
    </row>
    <row r="13" ht="15.6" customFormat="1" customHeight="1" s="353">
      <c r="A13" s="66" t="n"/>
      <c r="B13" s="395" t="n"/>
      <c r="C13" s="395" t="n"/>
      <c r="D13" s="395" t="n"/>
      <c r="E13" s="395" t="n"/>
      <c r="F13" s="395" t="n"/>
      <c r="G13" s="395" t="n"/>
      <c r="H13" s="251" t="n"/>
      <c r="I13" s="252" t="n"/>
      <c r="J13" s="251" t="n"/>
      <c r="K13" s="66" t="n"/>
      <c r="L13" s="54" t="n"/>
      <c r="M13" s="54" t="n"/>
      <c r="N13" s="394" t="n"/>
      <c r="O13" s="394" t="n"/>
      <c r="P13" s="686" t="n"/>
      <c r="Q13" s="44" t="n"/>
      <c r="R13" s="688" t="inlineStr">
        <is>
          <t>AUD</t>
        </is>
      </c>
      <c r="S13" s="688" t="n"/>
      <c r="T13" s="688" t="inlineStr">
        <is>
          <t>AUD</t>
        </is>
      </c>
      <c r="V13" s="687" t="n"/>
      <c r="W13" s="687" t="n"/>
      <c r="X13" s="687" t="n"/>
      <c r="Y13" s="43" t="n"/>
      <c r="Z13" s="43" t="n"/>
    </row>
    <row r="14" ht="15.6" customFormat="1" customHeight="1" s="353" thickBot="1">
      <c r="A14" s="66" t="n"/>
      <c r="B14" s="395" t="n"/>
      <c r="C14" s="395" t="n"/>
      <c r="D14" s="395" t="n"/>
      <c r="E14" s="395" t="n"/>
      <c r="F14" s="395" t="n"/>
      <c r="G14" s="395" t="n"/>
      <c r="H14" s="251" t="n"/>
      <c r="I14" s="252" t="n"/>
      <c r="J14" s="251" t="n"/>
      <c r="K14" s="66" t="n"/>
      <c r="L14" s="54" t="n"/>
      <c r="M14" s="54" t="n"/>
      <c r="N14" s="394" t="n"/>
      <c r="O14" s="394" t="n"/>
      <c r="P14" s="686" t="n"/>
      <c r="Q14" s="44" t="n"/>
      <c r="R14" s="688" t="n"/>
      <c r="S14" s="688" t="n"/>
      <c r="T14" s="688" t="n"/>
      <c r="V14" s="687" t="n"/>
      <c r="W14" s="687" t="n"/>
      <c r="X14" s="687" t="n"/>
      <c r="Y14" s="43" t="n"/>
      <c r="Z14" s="43" t="n"/>
    </row>
    <row r="15" ht="15.75" customHeight="1" s="671" thickBot="1">
      <c r="N15" s="435" t="inlineStr">
        <is>
          <t>RATE</t>
        </is>
      </c>
      <c r="O15" s="297" t="n">
        <v>1.44</v>
      </c>
    </row>
    <row r="16">
      <c r="H16" s="642" t="n"/>
      <c r="I16" s="642" t="n"/>
      <c r="J16" s="642" t="n"/>
      <c r="Q16" s="426" t="n"/>
      <c r="R16" s="426" t="inlineStr">
        <is>
          <t>AUD</t>
        </is>
      </c>
      <c r="T16" s="426" t="inlineStr">
        <is>
          <t>USD</t>
        </is>
      </c>
    </row>
    <row r="17" ht="16.9" customHeight="1" s="671">
      <c r="H17" s="642" t="n"/>
      <c r="I17" s="642" t="n"/>
      <c r="J17" s="642" t="n"/>
      <c r="N17" s="649">
        <f>ACCU!N178</f>
        <v/>
      </c>
      <c r="R17" s="736">
        <f>R12-Y17</f>
        <v/>
      </c>
      <c r="S17" s="737" t="n"/>
      <c r="T17" s="736">
        <f>R17/O15</f>
        <v/>
      </c>
      <c r="Y17" s="154">
        <f>SUM(Y6:Y16)</f>
        <v/>
      </c>
      <c r="Z17" s="154">
        <f>SUM(Z6:Z16)</f>
        <v/>
      </c>
    </row>
    <row r="18" ht="16.9" customHeight="1" s="671">
      <c r="H18" s="642" t="n"/>
      <c r="I18" s="642" t="n"/>
      <c r="J18" s="642" t="n"/>
      <c r="N18" s="644">
        <f>ACCU!N179</f>
        <v/>
      </c>
      <c r="R18" s="738">
        <f>R12-Z17</f>
        <v/>
      </c>
      <c r="S18" s="739" t="n"/>
      <c r="T18" s="738">
        <f>R18/O15</f>
        <v/>
      </c>
    </row>
    <row r="19" hidden="1" ht="16.9" customHeight="1" s="671">
      <c r="H19" s="642" t="n"/>
      <c r="I19" s="642" t="n"/>
      <c r="J19" s="642" t="n"/>
      <c r="N19" s="647" t="inlineStr">
        <is>
          <t>Remaining End of August 2019</t>
        </is>
      </c>
      <c r="R19" s="740">
        <f>R18-T12</f>
        <v/>
      </c>
      <c r="S19" s="441" t="n"/>
      <c r="T19" s="740">
        <f>R19/O15</f>
        <v/>
      </c>
    </row>
  </sheetData>
  <mergeCells count="20">
    <mergeCell ref="O5:O6"/>
    <mergeCell ref="Q5:Q6"/>
    <mergeCell ref="H2:J2"/>
    <mergeCell ref="N5:N6"/>
    <mergeCell ref="E5:G6"/>
    <mergeCell ref="I5:I6"/>
    <mergeCell ref="K3:R4"/>
    <mergeCell ref="B5:B6"/>
    <mergeCell ref="N18:Q18"/>
    <mergeCell ref="H1:J1"/>
    <mergeCell ref="R5:R6"/>
    <mergeCell ref="H5:H6"/>
    <mergeCell ref="B1:E1"/>
    <mergeCell ref="J5:J6"/>
    <mergeCell ref="N17:Q17"/>
    <mergeCell ref="K5:M5"/>
    <mergeCell ref="N1:Q1"/>
    <mergeCell ref="C5:C6"/>
    <mergeCell ref="T5:T6"/>
    <mergeCell ref="N19:Q19"/>
  </mergeCells>
  <pageMargins left="0.25" right="0.25" top="0.25" bottom="0.25" header="0.3" footer="0.3"/>
  <pageSetup orientation="landscape" paperSize="122" scale="27" fitToHeight="100" horizontalDpi="4294967293" verticalDpi="300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AF18"/>
  <sheetViews>
    <sheetView view="pageBreakPreview" zoomScaleNormal="100" zoomScaleSheetLayoutView="100" workbookViewId="0">
      <pane xSplit="7" ySplit="6" topLeftCell="P7" activePane="bottomRight" state="frozen"/>
      <selection activeCell="L265" sqref="L265"/>
      <selection pane="topRight" activeCell="L265" sqref="L265"/>
      <selection pane="bottomLeft" activeCell="L265" sqref="L265"/>
      <selection pane="bottomRight" activeCell="L265" sqref="L265"/>
    </sheetView>
  </sheetViews>
  <sheetFormatPr baseColWidth="8" defaultColWidth="9.140625" defaultRowHeight="15" outlineLevelCol="1"/>
  <cols>
    <col width="4.28515625" customWidth="1" style="646" min="1" max="1"/>
    <col width="26.7109375" customWidth="1" style="642" min="2" max="2"/>
    <col width="5.5703125" customWidth="1" style="642" min="3" max="3"/>
    <col hidden="1" outlineLevel="1" width="14.140625" customWidth="1" style="642" min="4" max="4"/>
    <col collapsed="1" width="9.28515625" customWidth="1" style="642" min="5" max="5"/>
    <col width="1.42578125" customWidth="1" style="642" min="6" max="6"/>
    <col width="9.28515625" customWidth="1" style="642" min="7" max="7"/>
    <col width="9.5703125" customWidth="1" style="636" min="8" max="8"/>
    <col width="9.7109375" customWidth="1" style="635" min="9" max="9"/>
    <col width="9.28515625" customWidth="1" style="636" min="10" max="10"/>
    <col width="8.5703125" customWidth="1" style="646" min="11" max="13"/>
    <col width="10.5703125" customWidth="1" style="642" min="14" max="15"/>
    <col width="2.7109375" customWidth="1" style="642" min="16" max="16"/>
    <col width="17.7109375" customWidth="1" style="642" min="17" max="17"/>
    <col width="21.140625" customWidth="1" style="642" min="18" max="18"/>
    <col width="3" customWidth="1" style="642" min="19" max="19"/>
    <col width="19.42578125" customWidth="1" style="642" min="20" max="20"/>
    <col width="9.140625" customWidth="1" style="642" min="21" max="21"/>
    <col outlineLevel="1" width="9.5703125" customWidth="1" style="678" min="22" max="23"/>
    <col outlineLevel="1" width="9.140625" customWidth="1" style="678" min="24" max="24"/>
    <col outlineLevel="1" width="15.7109375" customWidth="1" style="154" min="25" max="25"/>
    <col outlineLevel="1" width="13.85546875" customWidth="1" style="154" min="26" max="26"/>
    <col width="9.140625" customWidth="1" style="642" min="27" max="27"/>
    <col outlineLevel="1" width="3" customWidth="1" style="642" min="28" max="28"/>
    <col outlineLevel="1" width="5" customWidth="1" style="642" min="29" max="29"/>
    <col outlineLevel="1" width="12.42578125" customWidth="1" style="642" min="30" max="30"/>
    <col outlineLevel="1" width="9.140625" customWidth="1" style="642" min="31" max="31"/>
    <col width="15.28515625" bestFit="1" customWidth="1" style="642" min="32" max="32"/>
    <col width="9.140625" customWidth="1" style="642" min="33" max="703"/>
    <col width="9.140625" customWidth="1" style="642" min="704" max="16384"/>
  </cols>
  <sheetData>
    <row r="1" ht="18" customHeight="1" s="671">
      <c r="A1" s="646">
        <f>SUM(A9)</f>
        <v/>
      </c>
      <c r="B1" s="679">
        <f>ALLHKD!C1</f>
        <v/>
      </c>
      <c r="F1" s="385" t="n"/>
      <c r="G1" s="381" t="n"/>
      <c r="H1" s="648" t="inlineStr">
        <is>
          <t>DECUMULATORS</t>
        </is>
      </c>
      <c r="N1" s="680" t="inlineStr">
        <is>
          <t>For the Whole Structure</t>
        </is>
      </c>
    </row>
    <row r="2" ht="18" customHeight="1" s="671">
      <c r="B2" s="385" t="n"/>
      <c r="C2" s="385" t="n"/>
      <c r="D2" s="385" t="n"/>
      <c r="E2" s="385" t="n"/>
      <c r="F2" s="385" t="n"/>
      <c r="G2" s="381" t="n"/>
      <c r="H2" s="634" t="n"/>
    </row>
    <row r="3" ht="21" customHeight="1" s="671">
      <c r="A3" s="56" t="inlineStr">
        <is>
          <t>MORGAN STANLEY   (Perfect Legend w/ Lucio)</t>
        </is>
      </c>
      <c r="B3" s="67" t="n"/>
      <c r="C3" s="386" t="n"/>
      <c r="D3" s="386" t="n"/>
      <c r="E3" s="681" t="n"/>
      <c r="F3" s="681" t="n"/>
      <c r="G3" s="68" t="n"/>
      <c r="H3" s="245" t="n"/>
      <c r="I3" s="245" t="n"/>
      <c r="J3" s="246" t="n"/>
      <c r="K3" s="645" t="n"/>
    </row>
    <row r="4" ht="15" customHeight="1" s="671">
      <c r="A4" s="64" t="n"/>
      <c r="B4" s="388" t="n"/>
      <c r="C4" s="388" t="n"/>
      <c r="D4" s="388" t="n"/>
      <c r="E4" s="388" t="n"/>
      <c r="F4" s="388" t="n"/>
      <c r="G4" s="388" t="n"/>
      <c r="H4" s="247" t="n"/>
      <c r="I4" s="248" t="n"/>
      <c r="J4" s="247" t="n"/>
    </row>
    <row r="5" ht="15" customHeight="1" s="671">
      <c r="B5" s="640" t="inlineStr">
        <is>
          <t>DECUMULATOR</t>
        </is>
      </c>
      <c r="C5" s="631" t="inlineStr">
        <is>
          <t>CODE</t>
        </is>
      </c>
      <c r="D5" s="631" t="n"/>
      <c r="E5" s="624" t="inlineStr">
        <is>
          <t>SHARES / DAY</t>
        </is>
      </c>
      <c r="F5" s="625" t="n"/>
      <c r="G5" s="626" t="n"/>
      <c r="H5" s="633" t="inlineStr">
        <is>
          <t>SPOT PRICE</t>
        </is>
      </c>
      <c r="I5" s="633" t="inlineStr">
        <is>
          <t>STRIKE PRICE</t>
        </is>
      </c>
      <c r="J5" s="633" t="inlineStr">
        <is>
          <t>K/O PRICE</t>
        </is>
      </c>
      <c r="K5" s="637" t="inlineStr">
        <is>
          <t>LIFE TERM OF CONTRACT</t>
        </is>
      </c>
      <c r="L5" s="638" t="n"/>
      <c r="M5" s="639" t="n"/>
      <c r="N5" s="622" t="inlineStr">
        <is>
          <t>START DATE</t>
        </is>
      </c>
      <c r="O5" s="622" t="inlineStr">
        <is>
          <t>END DATE</t>
        </is>
      </c>
      <c r="P5" s="682" t="n"/>
      <c r="Q5" s="632" t="inlineStr">
        <is>
          <t>Estimated Total Shares Remaining</t>
        </is>
      </c>
      <c r="R5" s="683" t="inlineStr">
        <is>
          <t>Estimated Amount</t>
        </is>
      </c>
      <c r="S5" s="682" t="n"/>
      <c r="T5" s="683" t="inlineStr">
        <is>
          <t>Estimated Amount per month</t>
        </is>
      </c>
      <c r="Y5" s="154" t="inlineStr">
        <is>
          <t>Month 1</t>
        </is>
      </c>
      <c r="Z5" s="154" t="inlineStr">
        <is>
          <t>Month 2</t>
        </is>
      </c>
    </row>
    <row r="6" ht="20.45" customHeight="1" s="671">
      <c r="B6" s="623" t="n"/>
      <c r="C6" s="623" t="n"/>
      <c r="D6" s="390" t="inlineStr">
        <is>
          <t>CB1</t>
        </is>
      </c>
      <c r="E6" s="627" t="n"/>
      <c r="F6" s="628" t="n"/>
      <c r="G6" s="629" t="n"/>
      <c r="H6" s="623" t="n"/>
      <c r="I6" s="623" t="n"/>
      <c r="J6" s="623" t="n"/>
      <c r="K6" s="637" t="inlineStr">
        <is>
          <t>RCVD DAYS</t>
        </is>
      </c>
      <c r="L6" s="637" t="inlineStr">
        <is>
          <t>REM DAYS</t>
        </is>
      </c>
      <c r="M6" s="637" t="inlineStr">
        <is>
          <t>Total DAYS</t>
        </is>
      </c>
      <c r="N6" s="623" t="n"/>
      <c r="O6" s="623" t="n"/>
      <c r="P6" s="682" t="n"/>
      <c r="Q6" s="623" t="n"/>
      <c r="R6" s="623" t="n"/>
      <c r="S6" s="682" t="n"/>
      <c r="T6" s="623" t="n"/>
      <c r="V6" s="678" t="inlineStr">
        <is>
          <t>NOW</t>
        </is>
      </c>
      <c r="W6" s="678" t="inlineStr">
        <is>
          <t>NEXT</t>
        </is>
      </c>
      <c r="X6" s="678" t="inlineStr">
        <is>
          <t>sd</t>
        </is>
      </c>
      <c r="Y6" s="154" t="inlineStr">
        <is>
          <t>hkd</t>
        </is>
      </c>
      <c r="Z6" s="154" t="inlineStr">
        <is>
          <t>hkd</t>
        </is>
      </c>
    </row>
    <row r="7">
      <c r="A7" s="158">
        <f>INDIRECT(ADDRESS(ROW()-1,COLUMN()))+1</f>
        <v/>
      </c>
      <c r="B7" s="416" t="inlineStr">
        <is>
          <t>Rio Tinto</t>
        </is>
      </c>
      <c r="C7" s="148" t="inlineStr">
        <is>
          <t>RIO</t>
        </is>
      </c>
      <c r="D7" s="141" t="inlineStr">
        <is>
          <t>GREATWALL - 26</t>
        </is>
      </c>
      <c r="E7" s="48" t="n">
        <v>150</v>
      </c>
      <c r="F7" s="277" t="inlineStr">
        <is>
          <t>/</t>
        </is>
      </c>
      <c r="G7" s="97">
        <f>E7*2</f>
        <v/>
      </c>
      <c r="H7" s="273" t="n">
        <v>85.2381</v>
      </c>
      <c r="I7" s="274" t="n">
        <v>95.06610000000001</v>
      </c>
      <c r="J7" s="273" t="n">
        <v>80.97620000000001</v>
      </c>
      <c r="K7" s="152" t="n">
        <v>45</v>
      </c>
      <c r="L7" s="152">
        <f>M7-K7</f>
        <v/>
      </c>
      <c r="M7" s="152" t="n">
        <v>190</v>
      </c>
      <c r="N7" s="338" t="n">
        <v>43690</v>
      </c>
      <c r="O7" s="338" t="n">
        <v>43963</v>
      </c>
      <c r="Q7" s="162">
        <f>E7*L7*X7</f>
        <v/>
      </c>
      <c r="R7" s="785">
        <f>E7*I7*L7*X7</f>
        <v/>
      </c>
      <c r="T7" s="784">
        <f>E7*I7*20*X7</f>
        <v/>
      </c>
      <c r="V7" s="280" t="n">
        <v>21</v>
      </c>
      <c r="W7" s="280" t="n">
        <v>43</v>
      </c>
      <c r="X7" s="678" t="n">
        <v>1</v>
      </c>
      <c r="Y7" s="173">
        <f>X7*V7*E7*I7</f>
        <v/>
      </c>
      <c r="Z7" s="173">
        <f>X7*W7*E7*I7</f>
        <v/>
      </c>
      <c r="AB7" s="642">
        <f>MONTH(O7)</f>
        <v/>
      </c>
      <c r="AC7" s="642">
        <f>YEAR(O7)</f>
        <v/>
      </c>
      <c r="AD7" s="642">
        <f>AB7&amp;"-"&amp;AC7&amp;"-"&amp;C7</f>
        <v/>
      </c>
      <c r="AE7" s="642">
        <f>C7</f>
        <v/>
      </c>
      <c r="AF7" s="685">
        <f>MATCH(AE7,#REF!,)</f>
        <v/>
      </c>
    </row>
    <row r="8">
      <c r="A8" s="158">
        <f>INDIRECT(ADDRESS(ROW()-1,COLUMN()))+1</f>
        <v/>
      </c>
      <c r="B8" s="416" t="inlineStr">
        <is>
          <t>Rio Tinto</t>
        </is>
      </c>
      <c r="C8" s="148" t="inlineStr">
        <is>
          <t>RIO</t>
        </is>
      </c>
      <c r="D8" s="141" t="inlineStr">
        <is>
          <t>GREATWALL - 26</t>
        </is>
      </c>
      <c r="E8" s="48" t="n">
        <v>120</v>
      </c>
      <c r="F8" s="277" t="inlineStr">
        <is>
          <t>/</t>
        </is>
      </c>
      <c r="G8" s="97">
        <f>E8*2</f>
        <v/>
      </c>
      <c r="H8" s="273" t="n">
        <v>85.6981</v>
      </c>
      <c r="I8" s="274" t="n">
        <v>96.77889999999999</v>
      </c>
      <c r="J8" s="273" t="n">
        <v>81.4132</v>
      </c>
      <c r="K8" s="152" t="n">
        <v>44</v>
      </c>
      <c r="L8" s="152" t="n">
        <v>255</v>
      </c>
      <c r="M8" s="152" t="n">
        <v>255</v>
      </c>
      <c r="N8" s="338" t="n">
        <v>43691</v>
      </c>
      <c r="O8" s="338" t="n">
        <v>44056</v>
      </c>
      <c r="Q8" s="162">
        <f>E8*L8*X8</f>
        <v/>
      </c>
      <c r="R8" s="785">
        <f>E8*I8*L8*X8</f>
        <v/>
      </c>
      <c r="T8" s="784">
        <f>E8*I8*20*X8</f>
        <v/>
      </c>
      <c r="V8" s="280" t="n">
        <v>22</v>
      </c>
      <c r="W8" s="280" t="n">
        <v>44</v>
      </c>
      <c r="X8" s="678" t="n">
        <v>1</v>
      </c>
      <c r="Y8" s="173">
        <f>X8*V8*E8*I8</f>
        <v/>
      </c>
      <c r="Z8" s="173">
        <f>X8*W8*E8*I8</f>
        <v/>
      </c>
      <c r="AB8" s="642">
        <f>MONTH(O8)</f>
        <v/>
      </c>
      <c r="AC8" s="642">
        <f>YEAR(O8)</f>
        <v/>
      </c>
      <c r="AD8" s="642">
        <f>AB8&amp;"-"&amp;AC8&amp;"-"&amp;C8</f>
        <v/>
      </c>
      <c r="AE8" s="642">
        <f>C8</f>
        <v/>
      </c>
      <c r="AF8" s="685">
        <f>MATCH(AE8,#REF!,)</f>
        <v/>
      </c>
    </row>
    <row r="9">
      <c r="A9" s="158">
        <f>INDIRECT(ADDRESS(ROW()-1,COLUMN()))+1</f>
        <v/>
      </c>
      <c r="B9" s="416" t="inlineStr">
        <is>
          <t>Rio Tinto</t>
        </is>
      </c>
      <c r="C9" s="148" t="inlineStr">
        <is>
          <t>RIO</t>
        </is>
      </c>
      <c r="D9" s="141" t="inlineStr">
        <is>
          <t>GREATWALL - 26</t>
        </is>
      </c>
      <c r="E9" s="48" t="n">
        <v>60</v>
      </c>
      <c r="F9" s="277" t="inlineStr">
        <is>
          <t>/</t>
        </is>
      </c>
      <c r="G9" s="97">
        <f>E9*2</f>
        <v/>
      </c>
      <c r="H9" s="273" t="n">
        <v>87.97110000000001</v>
      </c>
      <c r="I9" s="274" t="n">
        <v>96.0908</v>
      </c>
      <c r="J9" s="273" t="n">
        <v>83.57250000000001</v>
      </c>
      <c r="K9" s="152" t="n">
        <v>0</v>
      </c>
      <c r="L9" s="152" t="n">
        <v>189</v>
      </c>
      <c r="M9" s="152" t="n">
        <v>189</v>
      </c>
      <c r="N9" s="338" t="n">
        <v>43748</v>
      </c>
      <c r="O9" s="338" t="n">
        <v>44021</v>
      </c>
      <c r="Q9" s="162">
        <f>E9*L9*X9</f>
        <v/>
      </c>
      <c r="R9" s="785">
        <f>E9*I9*L9*X9</f>
        <v/>
      </c>
      <c r="T9" s="784">
        <f>E9*I9*20*X9</f>
        <v/>
      </c>
      <c r="V9" s="280" t="n">
        <v>23</v>
      </c>
      <c r="W9" s="280" t="n">
        <v>43</v>
      </c>
      <c r="X9" s="678" t="n">
        <v>1</v>
      </c>
      <c r="Y9" s="173">
        <f>X9*V9*E9*I9</f>
        <v/>
      </c>
      <c r="Z9" s="173">
        <f>X9*W9*E9*I9</f>
        <v/>
      </c>
      <c r="AB9" s="642">
        <f>MONTH(O9)</f>
        <v/>
      </c>
      <c r="AC9" s="642">
        <f>YEAR(O9)</f>
        <v/>
      </c>
      <c r="AD9" s="642">
        <f>AB9&amp;"-"&amp;AC9&amp;"-"&amp;C9</f>
        <v/>
      </c>
      <c r="AE9" s="642">
        <f>C9</f>
        <v/>
      </c>
      <c r="AF9" s="685">
        <f>MATCH(AE9,#REF!,)</f>
        <v/>
      </c>
    </row>
    <row r="10" ht="15.6" customHeight="1" s="671">
      <c r="A10" s="64" t="n"/>
      <c r="B10" s="388" t="n"/>
      <c r="C10" s="388" t="n"/>
      <c r="D10" s="388" t="n"/>
      <c r="E10" s="388" t="n"/>
      <c r="F10" s="388" t="n"/>
      <c r="G10" s="388" t="n"/>
      <c r="H10" s="247" t="n"/>
      <c r="I10" s="248" t="n"/>
      <c r="J10" s="247" t="n"/>
      <c r="K10" s="64" t="n"/>
      <c r="N10" s="394" t="n"/>
      <c r="O10" s="394" t="n"/>
    </row>
    <row r="11" ht="15.6" customFormat="1" customHeight="1" s="353">
      <c r="A11" s="66" t="n"/>
      <c r="B11" s="395" t="n"/>
      <c r="C11" s="395" t="n"/>
      <c r="D11" s="395" t="n"/>
      <c r="E11" s="395" t="n"/>
      <c r="F11" s="395" t="n"/>
      <c r="G11" s="395" t="n"/>
      <c r="H11" s="251" t="n"/>
      <c r="I11" s="252" t="n"/>
      <c r="J11" s="251" t="n"/>
      <c r="K11" s="66" t="n"/>
      <c r="L11" s="54" t="n"/>
      <c r="M11" s="54" t="n"/>
      <c r="N11" s="394" t="n"/>
      <c r="O11" s="394" t="inlineStr">
        <is>
          <t>Total</t>
        </is>
      </c>
      <c r="P11" s="686" t="n"/>
      <c r="Q11" s="44">
        <f>SUM(Q6:Q10)</f>
        <v/>
      </c>
      <c r="R11" s="686">
        <f>SUM(R6:R10)</f>
        <v/>
      </c>
      <c r="S11" s="686" t="n"/>
      <c r="T11" s="686">
        <f>SUM(T6:T10)</f>
        <v/>
      </c>
      <c r="V11" s="687" t="n"/>
      <c r="W11" s="687" t="n"/>
      <c r="X11" s="687" t="n"/>
      <c r="Y11" s="43" t="n"/>
      <c r="Z11" s="43" t="n"/>
    </row>
    <row r="12" ht="15.6" customFormat="1" customHeight="1" s="353">
      <c r="A12" s="66" t="n"/>
      <c r="B12" s="395" t="n"/>
      <c r="C12" s="395" t="n"/>
      <c r="D12" s="395" t="n"/>
      <c r="E12" s="395" t="n"/>
      <c r="F12" s="395" t="n"/>
      <c r="G12" s="395" t="n"/>
      <c r="H12" s="251" t="n"/>
      <c r="I12" s="252" t="n"/>
      <c r="J12" s="251" t="n"/>
      <c r="K12" s="66" t="n"/>
      <c r="L12" s="54" t="n"/>
      <c r="M12" s="54" t="n"/>
      <c r="N12" s="394" t="n"/>
      <c r="O12" s="394" t="n"/>
      <c r="P12" s="686" t="n"/>
      <c r="Q12" s="44" t="n"/>
      <c r="R12" s="688" t="inlineStr">
        <is>
          <t>AUD</t>
        </is>
      </c>
      <c r="S12" s="688" t="n"/>
      <c r="T12" s="688" t="inlineStr">
        <is>
          <t>AUD</t>
        </is>
      </c>
      <c r="V12" s="687" t="n"/>
      <c r="W12" s="687" t="n"/>
      <c r="X12" s="687" t="n"/>
      <c r="Y12" s="43" t="n"/>
      <c r="Z12" s="43" t="n"/>
    </row>
    <row r="13" ht="15.6" customFormat="1" customHeight="1" s="353" thickBot="1">
      <c r="A13" s="66" t="n"/>
      <c r="B13" s="395" t="n"/>
      <c r="C13" s="395" t="n"/>
      <c r="D13" s="395" t="n"/>
      <c r="E13" s="395" t="n"/>
      <c r="F13" s="395" t="n"/>
      <c r="G13" s="395" t="n"/>
      <c r="H13" s="251" t="n"/>
      <c r="I13" s="252" t="n"/>
      <c r="J13" s="251" t="n"/>
      <c r="K13" s="66" t="n"/>
      <c r="L13" s="54" t="n"/>
      <c r="M13" s="54" t="n"/>
      <c r="N13" s="394" t="n"/>
      <c r="O13" s="394" t="n"/>
      <c r="P13" s="686" t="n"/>
      <c r="Q13" s="44" t="n"/>
      <c r="R13" s="688" t="n"/>
      <c r="S13" s="688" t="n"/>
      <c r="T13" s="688" t="n"/>
      <c r="V13" s="687" t="n"/>
      <c r="W13" s="687" t="n"/>
      <c r="X13" s="687" t="n"/>
      <c r="Y13" s="43" t="n"/>
      <c r="Z13" s="43" t="n"/>
    </row>
    <row r="14" ht="15.75" customHeight="1" s="671" thickBot="1">
      <c r="N14" s="435" t="inlineStr">
        <is>
          <t>RATE</t>
        </is>
      </c>
      <c r="O14" s="297" t="n">
        <v>1.44</v>
      </c>
    </row>
    <row r="15">
      <c r="H15" s="642" t="n"/>
      <c r="I15" s="642" t="n"/>
      <c r="J15" s="642" t="n"/>
      <c r="Q15" s="426" t="n"/>
      <c r="R15" s="426" t="inlineStr">
        <is>
          <t>AUD</t>
        </is>
      </c>
      <c r="T15" s="426" t="inlineStr">
        <is>
          <t>USD</t>
        </is>
      </c>
    </row>
    <row r="16" ht="16.9" customHeight="1" s="671">
      <c r="H16" s="642" t="n"/>
      <c r="I16" s="642" t="n"/>
      <c r="J16" s="642" t="n"/>
      <c r="N16" s="649">
        <f>'ACCU AUD'!N17:Q17</f>
        <v/>
      </c>
      <c r="R16" s="736">
        <f>R11-Y16</f>
        <v/>
      </c>
      <c r="S16" s="737" t="n"/>
      <c r="T16" s="736">
        <f>R16/O14</f>
        <v/>
      </c>
      <c r="Y16" s="154">
        <f>SUM(Y6:Y15)</f>
        <v/>
      </c>
      <c r="Z16" s="154">
        <f>SUM(Z6:Z15)</f>
        <v/>
      </c>
    </row>
    <row r="17" ht="16.9" customHeight="1" s="671">
      <c r="H17" s="642" t="n"/>
      <c r="I17" s="642" t="n"/>
      <c r="J17" s="642" t="n"/>
      <c r="N17" s="644">
        <f>'ACCU AUD'!N18:Q18</f>
        <v/>
      </c>
      <c r="R17" s="738">
        <f>R11-Z16</f>
        <v/>
      </c>
      <c r="S17" s="739" t="n"/>
      <c r="T17" s="738">
        <f>R17/O14</f>
        <v/>
      </c>
    </row>
    <row r="18" hidden="1" ht="16.9" customHeight="1" s="671">
      <c r="H18" s="642" t="n"/>
      <c r="I18" s="642" t="n"/>
      <c r="J18" s="642" t="n"/>
      <c r="N18" s="647" t="inlineStr">
        <is>
          <t>Remaining End of August 2019</t>
        </is>
      </c>
      <c r="R18" s="740">
        <f>R17-T11</f>
        <v/>
      </c>
      <c r="S18" s="441" t="n"/>
      <c r="T18" s="740">
        <f>R18/O14</f>
        <v/>
      </c>
    </row>
  </sheetData>
  <mergeCells count="20">
    <mergeCell ref="O5:O6"/>
    <mergeCell ref="Q5:Q6"/>
    <mergeCell ref="H2:J2"/>
    <mergeCell ref="N5:N6"/>
    <mergeCell ref="E5:G6"/>
    <mergeCell ref="N16:Q16"/>
    <mergeCell ref="I5:I6"/>
    <mergeCell ref="K3:R4"/>
    <mergeCell ref="B5:B6"/>
    <mergeCell ref="N18:Q18"/>
    <mergeCell ref="H1:J1"/>
    <mergeCell ref="R5:R6"/>
    <mergeCell ref="B1:E1"/>
    <mergeCell ref="H5:H6"/>
    <mergeCell ref="J5:J6"/>
    <mergeCell ref="K5:M5"/>
    <mergeCell ref="N17:Q17"/>
    <mergeCell ref="N1:Q1"/>
    <mergeCell ref="T5:T6"/>
    <mergeCell ref="C5:C6"/>
  </mergeCells>
  <pageMargins left="0.25" right="0.25" top="0.25" bottom="0.25" header="0.3" footer="0.3"/>
  <pageSetup orientation="landscape" paperSize="122" scale="27" fitToHeight="100" horizontalDpi="4294967293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LTV Equity Stocks</dc:creator>
  <dcterms:created xsi:type="dcterms:W3CDTF">2018-07-06T08:13:36Z</dcterms:created>
  <dcterms:modified xsi:type="dcterms:W3CDTF">2026-07-31T09:39:15Z</dcterms:modified>
  <cp:lastModifiedBy>Alvin Cruz</cp:lastModifiedBy>
  <cp:lastPrinted>2026-06-15T08:51:17Z</cp:lastPrinted>
</cp:coreProperties>
</file>